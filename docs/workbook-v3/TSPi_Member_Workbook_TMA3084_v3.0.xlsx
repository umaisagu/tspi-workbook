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UP" sheetId="2" state="visible" r:id="rId2"/>
    <sheet xmlns:r="http://schemas.openxmlformats.org/officeDocument/2006/relationships" name="MYTASK" sheetId="3" state="visible" r:id="rId3"/>
    <sheet xmlns:r="http://schemas.openxmlformats.org/officeDocument/2006/relationships" name="MYSCHEDULE" sheetId="4" state="visible" r:id="rId4"/>
    <sheet xmlns:r="http://schemas.openxmlformats.org/officeDocument/2006/relationships" name="LOGT" sheetId="5" state="visible" r:id="rId5"/>
    <sheet xmlns:r="http://schemas.openxmlformats.org/officeDocument/2006/relationships" name="LOGD" sheetId="6" state="visible" r:id="rId6"/>
    <sheet xmlns:r="http://schemas.openxmlformats.org/officeDocument/2006/relationships" name="LOGTEST" sheetId="7" state="visible" r:id="rId7"/>
    <sheet xmlns:r="http://schemas.openxmlformats.org/officeDocument/2006/relationships" name="LOGAI" sheetId="8" state="visible" r:id="rId8"/>
    <sheet xmlns:r="http://schemas.openxmlformats.org/officeDocument/2006/relationships" name="MYSUMP" sheetId="9" state="visible" r:id="rId9"/>
    <sheet xmlns:r="http://schemas.openxmlformats.org/officeDocument/2006/relationships" name="MYSUMQ" sheetId="10" state="visible" r:id="rId10"/>
    <sheet xmlns:r="http://schemas.openxmlformats.org/officeDocument/2006/relationships" name="EXPORT" sheetId="11" state="visible" r:id="rId11"/>
    <sheet xmlns:r="http://schemas.openxmlformats.org/officeDocument/2006/relationships" name="PHASES" sheetId="12" state="visible" r:id="rId12"/>
    <sheet xmlns:r="http://schemas.openxmlformats.org/officeDocument/2006/relationships" name="DEFECTTYPES" sheetId="13" state="visible" r:id="rId13"/>
    <sheet xmlns:r="http://schemas.openxmlformats.org/officeDocument/2006/relationships" name="LISTS" sheetId="14" state="visible" r:id="rId14"/>
  </sheets>
  <definedNames>
    <definedName name="_xlnm.Print_Titles" localSheetId="2">'MYTASK'!$1:$6</definedName>
    <definedName name="_xlnm.Print_Titles" localSheetId="4">'LOGT'!$1:$6</definedName>
    <definedName name="_xlnm.Print_Titles" localSheetId="5">'LOGD'!$1:$6</definedName>
    <definedName name="_xlnm.Print_Titles" localSheetId="6">'LOGTEST'!$1:$6</definedName>
    <definedName name="_xlnm.Print_Titles" localSheetId="7">'LOGAI'!$1:$6</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dd-mmm-yy"/>
    <numFmt numFmtId="167" formatCode="hh:mm"/>
    <numFmt numFmtId="168" formatCode="yyyy-mm-dd"/>
  </numFmts>
  <fonts count="17">
    <font>
      <name val="Calibri"/>
      <family val="2"/>
      <color theme="1"/>
      <sz val="11"/>
      <scheme val="minor"/>
    </font>
    <font>
      <name val="Calibri"/>
      <b val="1"/>
      <color rgb="00FFFFFF"/>
      <sz val="15"/>
    </font>
    <font>
      <name val="Calibri"/>
      <i val="1"/>
      <color rgb="00FFFFFF"/>
      <sz val="9"/>
    </font>
    <font>
      <name val="Calibri"/>
      <b val="1"/>
      <color rgb="00FFFFFF"/>
      <sz val="9"/>
    </font>
    <font>
      <name val="Calibri"/>
      <color rgb="001A1A1A"/>
      <sz val="9"/>
    </font>
    <font>
      <name val="Calibri"/>
      <b val="1"/>
      <color rgb="0014505C"/>
      <sz val="10"/>
    </font>
    <font>
      <name val="Calibri"/>
      <color rgb="001A1A1A"/>
      <sz val="9.5"/>
    </font>
    <font>
      <name val="Calibri"/>
      <b val="1"/>
      <color rgb="00FFFFFF"/>
      <sz val="10"/>
    </font>
    <font>
      <name val="Calibri"/>
      <color rgb="000B3139"/>
      <sz val="9.5"/>
    </font>
    <font>
      <name val="Calibri"/>
      <b val="1"/>
      <color rgb="001A1A1A"/>
      <sz val="9"/>
    </font>
    <font>
      <name val="Calibri"/>
      <color rgb="00333333"/>
      <sz val="9"/>
    </font>
    <font>
      <name val="Calibri"/>
      <b val="1"/>
      <color rgb="00333333"/>
      <sz val="9"/>
    </font>
    <font>
      <name val="Calibri"/>
      <b val="1"/>
      <color rgb="00B4531A"/>
      <sz val="8.5"/>
    </font>
    <font>
      <name val="Calibri"/>
      <b val="1"/>
      <color rgb="0014505C"/>
      <sz val="9"/>
    </font>
    <font>
      <name val="Calibri"/>
      <color rgb="006B7A7E"/>
      <sz val="8.5"/>
    </font>
    <font>
      <name val="Calibri"/>
      <color rgb="006B7A7E"/>
      <sz val="9"/>
    </font>
    <font>
      <name val="Calibri"/>
      <b val="1"/>
      <color rgb="007A3B0E"/>
      <sz val="11"/>
    </font>
  </fonts>
  <fills count="9">
    <fill>
      <patternFill/>
    </fill>
    <fill>
      <patternFill patternType="gray125"/>
    </fill>
    <fill>
      <patternFill patternType="solid">
        <fgColor rgb="0014505C"/>
      </patternFill>
    </fill>
    <fill>
      <patternFill patternType="solid">
        <fgColor rgb="000B3139"/>
      </patternFill>
    </fill>
    <fill>
      <patternFill patternType="solid">
        <fgColor rgb="00B4531A"/>
      </patternFill>
    </fill>
    <fill>
      <patternFill patternType="solid">
        <fgColor rgb="00FFF8E1"/>
      </patternFill>
    </fill>
    <fill>
      <patternFill patternType="solid">
        <fgColor rgb="00EDEDED"/>
      </patternFill>
    </fill>
    <fill>
      <patternFill patternType="solid">
        <fgColor rgb="00F4F8F9"/>
      </patternFill>
    </fill>
    <fill>
      <patternFill patternType="solid">
        <fgColor rgb="00E6EFF1"/>
      </patternFill>
    </fill>
  </fills>
  <borders count="3">
    <border>
      <left/>
      <right/>
      <top/>
      <bottom/>
      <diagonal/>
    </border>
    <border>
      <left style="thin">
        <color rgb="00BFC9CC"/>
      </left>
      <right style="thin">
        <color rgb="00BFC9CC"/>
      </right>
      <top style="thin">
        <color rgb="00BFC9CC"/>
      </top>
      <bottom style="thin">
        <color rgb="00BFC9CC"/>
      </bottom>
    </border>
    <border>
      <left style="medium">
        <color rgb="00B4531A"/>
      </left>
      <right style="medium">
        <color rgb="00B4531A"/>
      </right>
      <top style="medium">
        <color rgb="00B4531A"/>
      </top>
      <bottom style="medium">
        <color rgb="00B4531A"/>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5" fillId="0" borderId="0" applyAlignment="1" pivotButton="0" quotePrefix="0" xfId="0">
      <alignment horizontal="left" vertical="top"/>
    </xf>
    <xf numFmtId="0" fontId="6" fillId="0" borderId="0" applyAlignment="1" pivotButton="0" quotePrefix="0" xfId="0">
      <alignment horizontal="left" vertical="top" wrapText="1"/>
    </xf>
    <xf numFmtId="0" fontId="7" fillId="4" borderId="0" applyAlignment="1" pivotButton="0" quotePrefix="0" xfId="0">
      <alignment horizontal="left" vertical="center" indent="1"/>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4" fillId="5" borderId="1" applyAlignment="1" pivotButton="0" quotePrefix="0" xfId="0">
      <alignment horizontal="left" vertical="center"/>
    </xf>
    <xf numFmtId="0" fontId="4" fillId="5" borderId="1" applyAlignment="1" pivotButton="0" quotePrefix="0" xfId="0">
      <alignment horizontal="center" vertical="center"/>
    </xf>
    <xf numFmtId="0" fontId="10" fillId="6" borderId="1" applyAlignment="1" pivotButton="0" quotePrefix="0" xfId="0">
      <alignment horizontal="left" vertical="center"/>
    </xf>
    <xf numFmtId="1" fontId="11" fillId="6" borderId="1" applyAlignment="1" pivotButton="0" quotePrefix="0" xfId="0">
      <alignment horizontal="center" vertical="center"/>
    </xf>
    <xf numFmtId="164" fontId="11" fillId="6" borderId="1" applyAlignment="1" pivotButton="0" quotePrefix="0" xfId="0">
      <alignment horizontal="center" vertical="center"/>
    </xf>
    <xf numFmtId="0" fontId="3" fillId="2" borderId="1" applyAlignment="1" pivotButton="0" quotePrefix="0" xfId="0">
      <alignment horizontal="center" vertical="center" wrapText="1"/>
    </xf>
    <xf numFmtId="164" fontId="4" fillId="5" borderId="1" applyAlignment="1" pivotButton="0" quotePrefix="0" xfId="0">
      <alignment horizontal="center" vertical="center"/>
    </xf>
    <xf numFmtId="1" fontId="4" fillId="5" borderId="1" applyAlignment="1" pivotButton="0" quotePrefix="0" xfId="0">
      <alignment horizontal="center" vertical="center"/>
    </xf>
    <xf numFmtId="164" fontId="10" fillId="6" borderId="1" applyAlignment="1" pivotButton="0" quotePrefix="0" xfId="0">
      <alignment horizontal="center" vertical="center"/>
    </xf>
    <xf numFmtId="1" fontId="10" fillId="6" borderId="1" applyAlignment="1" pivotButton="0" quotePrefix="0" xfId="0">
      <alignment horizontal="center" vertical="center"/>
    </xf>
    <xf numFmtId="165" fontId="10" fillId="6" borderId="1" applyAlignment="1" pivotButton="0" quotePrefix="0" xfId="0">
      <alignment horizontal="center" vertical="center"/>
    </xf>
    <xf numFmtId="0" fontId="9" fillId="6" borderId="1" applyAlignment="1" pivotButton="0" quotePrefix="0" xfId="0">
      <alignment horizontal="center" vertical="center"/>
    </xf>
    <xf numFmtId="166" fontId="4" fillId="6" borderId="1" applyAlignment="1" pivotButton="0" quotePrefix="0" xfId="0">
      <alignment horizontal="center" vertical="center"/>
    </xf>
    <xf numFmtId="0" fontId="12" fillId="5" borderId="1" applyAlignment="1" pivotButton="0" quotePrefix="0" xfId="0">
      <alignment horizontal="left" vertical="center"/>
    </xf>
    <xf numFmtId="166" fontId="4" fillId="5" borderId="1" applyAlignment="1" pivotButton="0" quotePrefix="0" xfId="0">
      <alignment horizontal="center" vertical="center"/>
    </xf>
    <xf numFmtId="167" fontId="4" fillId="5" borderId="1" applyAlignment="1" pivotButton="0" quotePrefix="0" xfId="0">
      <alignment horizontal="center" vertical="center"/>
    </xf>
    <xf numFmtId="165" fontId="11" fillId="6" borderId="1" applyAlignment="1" pivotButton="0" quotePrefix="0" xfId="0">
      <alignment horizontal="center" vertical="center"/>
    </xf>
    <xf numFmtId="9" fontId="10" fillId="6" borderId="1" applyAlignment="1" pivotButton="0" quotePrefix="0" xfId="0">
      <alignment horizontal="center" vertical="center"/>
    </xf>
    <xf numFmtId="0" fontId="13" fillId="7" borderId="1" applyAlignment="1" pivotButton="0" quotePrefix="0" xfId="0">
      <alignment horizontal="left" vertical="center"/>
    </xf>
    <xf numFmtId="0" fontId="14" fillId="0" borderId="0" pivotButton="0" quotePrefix="0" xfId="0"/>
    <xf numFmtId="0" fontId="9" fillId="6" borderId="1" applyAlignment="1" pivotButton="0" quotePrefix="0" xfId="0">
      <alignment horizontal="left" vertical="center"/>
    </xf>
    <xf numFmtId="0" fontId="4" fillId="0" borderId="1" applyAlignment="1" pivotButton="0" quotePrefix="0" xfId="0">
      <alignment horizontal="left" vertical="center"/>
    </xf>
    <xf numFmtId="3" fontId="4" fillId="5" borderId="1" applyAlignment="1" pivotButton="0" quotePrefix="0" xfId="0">
      <alignment horizontal="center" vertical="center"/>
    </xf>
    <xf numFmtId="3" fontId="10" fillId="6" borderId="1" applyAlignment="1" pivotButton="0" quotePrefix="0" xfId="0">
      <alignment horizontal="center" vertical="center"/>
    </xf>
    <xf numFmtId="0" fontId="0" fillId="6" borderId="1" pivotButton="0" quotePrefix="0" xfId="0"/>
    <xf numFmtId="0" fontId="14" fillId="0" borderId="0" applyAlignment="1" pivotButton="0" quotePrefix="0" xfId="0">
      <alignment horizontal="left" vertical="center"/>
    </xf>
    <xf numFmtId="2" fontId="11" fillId="6" borderId="1" applyAlignment="1" pivotButton="0" quotePrefix="0" xfId="0">
      <alignment horizontal="center" vertical="center"/>
    </xf>
    <xf numFmtId="2" fontId="15" fillId="6" borderId="1" applyAlignment="1" pivotButton="0" quotePrefix="0" xfId="0">
      <alignment horizontal="center" vertical="center"/>
    </xf>
    <xf numFmtId="0" fontId="11" fillId="6" borderId="1" applyAlignment="1" pivotButton="0" quotePrefix="0" xfId="0">
      <alignment horizontal="center" vertical="center"/>
    </xf>
    <xf numFmtId="164" fontId="15" fillId="6" borderId="1" applyAlignment="1" pivotButton="0" quotePrefix="0" xfId="0">
      <alignment horizontal="center" vertical="center"/>
    </xf>
    <xf numFmtId="165" fontId="15" fillId="6" borderId="1" applyAlignment="1" pivotButton="0" quotePrefix="0" xfId="0">
      <alignment horizontal="center" vertical="center"/>
    </xf>
    <xf numFmtId="1" fontId="15" fillId="6" borderId="1" applyAlignment="1" pivotButton="0" quotePrefix="0" xfId="0">
      <alignment horizontal="center" vertical="center"/>
    </xf>
    <xf numFmtId="0" fontId="10" fillId="6" borderId="1" applyAlignment="1" pivotButton="0" quotePrefix="0" xfId="0">
      <alignment horizontal="center" vertical="center"/>
    </xf>
    <xf numFmtId="1" fontId="16" fillId="5" borderId="2" applyAlignment="1" pivotButton="0" quotePrefix="0" xfId="0">
      <alignment horizontal="center" vertical="center"/>
    </xf>
    <xf numFmtId="164" fontId="16" fillId="5" borderId="2" applyAlignment="1" pivotButton="0" quotePrefix="0" xfId="0">
      <alignment horizontal="center" vertical="center"/>
    </xf>
    <xf numFmtId="166" fontId="16" fillId="5" borderId="2" applyAlignment="1" pivotButton="0" quotePrefix="0" xfId="0">
      <alignment horizontal="center" vertical="center"/>
    </xf>
    <xf numFmtId="0" fontId="9" fillId="0" borderId="0" pivotButton="0" quotePrefix="0" xfId="0"/>
    <xf numFmtId="0" fontId="4" fillId="8" borderId="0" applyAlignment="1" pivotButton="0" quotePrefix="0" xfId="0">
      <alignment horizontal="left" vertical="top" wrapText="1" indent="1"/>
    </xf>
    <xf numFmtId="0" fontId="9" fillId="7" borderId="1" pivotButton="0" quotePrefix="0" xfId="0"/>
    <xf numFmtId="0" fontId="13" fillId="7" borderId="1" pivotButton="0" quotePrefix="0" xfId="0"/>
    <xf numFmtId="0" fontId="4" fillId="0" borderId="1" applyAlignment="1" pivotButton="0" quotePrefix="0" xfId="0">
      <alignment horizontal="center" vertical="center"/>
    </xf>
    <xf numFmtId="0" fontId="13" fillId="7" borderId="1" applyAlignment="1" pivotButton="0" quotePrefix="0" xfId="0">
      <alignment horizontal="center" vertical="center"/>
    </xf>
    <xf numFmtId="0" fontId="9" fillId="0" borderId="1" pivotButton="0" quotePrefix="0" xfId="0"/>
    <xf numFmtId="0" fontId="4" fillId="0" borderId="1" applyAlignment="1" pivotButton="0" quotePrefix="0" xfId="0">
      <alignment horizontal="left" vertical="top" wrapText="1"/>
    </xf>
    <xf numFmtId="0" fontId="4" fillId="0" borderId="0" pivotButton="0" quotePrefix="0" xfId="0"/>
  </cellXfs>
  <cellStyles count="1">
    <cellStyle name="Normal" xfId="0" builtinId="0" hidden="0"/>
  </cellStyles>
  <dxfs count="6">
    <dxf>
      <fill>
        <patternFill patternType="solid">
          <fgColor rgb="00D6EBD6"/>
        </patternFill>
      </fill>
    </dxf>
    <dxf>
      <fill>
        <patternFill patternType="solid">
          <fgColor rgb="00FDE9CF"/>
        </patternFill>
      </fill>
    </dxf>
    <dxf>
      <font>
        <name val="Calibri"/>
        <b val="1"/>
        <color rgb="009C1F1F"/>
        <sz val="9"/>
      </font>
      <fill>
        <patternFill patternType="solid">
          <fgColor rgb="00F7D4D4"/>
        </patternFill>
      </fill>
    </dxf>
    <dxf>
      <fill>
        <patternFill patternType="solid">
          <fgColor rgb="00F7D4D4"/>
        </patternFill>
      </fill>
    </dxf>
    <dxf>
      <font>
        <name val="Calibri"/>
        <b val="1"/>
        <color rgb="001A1A1A"/>
        <sz val="9"/>
      </font>
      <fill>
        <patternFill patternType="solid">
          <fgColor rgb="00D6EBD6"/>
        </patternFill>
      </fill>
    </dxf>
    <dxf>
      <font>
        <name val="Calibri"/>
        <b val="1"/>
        <color rgb="001A1A1A"/>
        <sz val="9"/>
      </font>
      <fill>
        <patternFill patternType="solid">
          <fgColor rgb="00F7D4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TMA3084 Workbook</author>
  </authors>
  <commentList>
    <comment ref="A7" authorId="0" shapeId="0">
      <text>
        <t>Use the same Task IDs as the team master, so your hours line up with the team plan when you consolidate.</t>
      </text>
    </comment>
  </commentList>
</comments>
</file>

<file path=xl/comments/comment2.xml><?xml version="1.0" encoding="utf-8"?>
<comments xmlns="http://schemas.openxmlformats.org/spreadsheetml/2006/main">
  <authors>
    <author>TMA3084 Workbook</author>
  </authors>
  <commentList>
    <comment ref="J6" authorId="0" shapeId="0">
      <text>
        <t>A teammate's name. Your own name here is self-review, which does not satisfy the rule - the cell turns 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B4531A"/>
    <outlinePr summaryBelow="1" summaryRight="1"/>
    <pageSetUpPr fitToPage="1"/>
  </sheetPr>
  <dimension ref="A1:D15"/>
  <sheetViews>
    <sheetView showGridLines="0" workbookViewId="0">
      <selection activeCell="A1" sqref="A1"/>
    </sheetView>
  </sheetViews>
  <sheetFormatPr baseColWidth="8" defaultRowHeight="15"/>
  <cols>
    <col width="3" customWidth="1" min="1" max="1"/>
    <col width="24" customWidth="1" min="2" max="2"/>
    <col width="96" customWidth="1" min="3" max="3"/>
    <col width="3" customWidth="1" min="4" max="4"/>
  </cols>
  <sheetData>
    <row r="1" ht="30" customHeight="1">
      <c r="A1" s="1" t="inlineStr">
        <is>
          <t>My TSPi Workbook  -  TMA3084 Software Engineering Laboratory</t>
        </is>
      </c>
    </row>
    <row r="2" ht="16" customHeight="1">
      <c r="A2" s="2" t="inlineStr">
        <is>
          <t>Faculty of Computer Science &amp; Information Technology, UNIMAS   |   Semester 1, Session 2026/2027   |   Member workbook v3.0</t>
        </is>
      </c>
    </row>
    <row r="4" ht="38" customHeight="1">
      <c r="B4" s="3" t="inlineStr">
        <is>
          <t>What this is</t>
        </is>
      </c>
      <c r="C4" s="4" t="inlineStr">
        <is>
          <t>Your own copy of the TSPi workbook. You record your work here - your time, your defects, your tests, your AI-assisted changes - and nobody else types in this file.</t>
        </is>
      </c>
    </row>
    <row r="5" ht="50" customHeight="1">
      <c r="B5" s="3" t="inlineStr">
        <is>
          <t>How it fits together</t>
        </is>
      </c>
      <c r="C5" s="4" t="inlineStr">
        <is>
          <t>Your team also keeps one master workbook. Once a week, at the team meeting, you open the EXPORT sheet here and paste its numbers into your row on the master's TEAM sheet, then paste your log rows into the master's shared logs. That is the whole handover.</t>
        </is>
      </c>
    </row>
    <row r="6" ht="38" customHeight="1">
      <c r="B6" s="3" t="inlineStr">
        <is>
          <t>Fill in SETUP first</t>
        </is>
      </c>
      <c r="C6" s="4" t="inlineStr">
        <is>
          <t>Your name and matric number on SETUP are what the EXPORT sheet stamps onto your numbers, so the team can tell whose row is whose.</t>
        </is>
      </c>
    </row>
    <row r="7" ht="38" customHeight="1">
      <c r="B7" s="3" t="inlineStr">
        <is>
          <t>Colour convention</t>
        </is>
      </c>
      <c r="C7" s="4" t="inlineStr">
        <is>
          <t>AMBER cells are yours to fill in. GREY cells are calculated - typing over one breaks the summary that depends on it.</t>
        </is>
      </c>
    </row>
    <row r="8" ht="50" customHeight="1">
      <c r="B8" s="3" t="inlineStr">
        <is>
          <t>The honest bit</t>
        </is>
      </c>
      <c r="C8" s="4" t="inlineStr">
        <is>
          <t>This file is the evidence behind your individual mark. Logging work you did not do is academic dishonesty, and because the master cross-checks your reported hours against the rows you paste in, a workbook that disagrees with itself is visible immediately.</t>
        </is>
      </c>
    </row>
    <row r="10" ht="19" customHeight="1">
      <c r="A10" s="5" t="inlineStr">
        <is>
          <t>The weekly routine</t>
        </is>
      </c>
    </row>
    <row r="11">
      <c r="C11" s="6" t="inlineStr">
        <is>
          <t>Every working session:  start a LOGT row when you sit down, close it when you get up.</t>
        </is>
      </c>
    </row>
    <row r="12">
      <c r="C12" s="6" t="inlineStr">
        <is>
          <t>Every defect you fix:   a LOGD row, with the phase the mistake was made in.</t>
        </is>
      </c>
    </row>
    <row r="13">
      <c r="C13" s="6" t="inlineStr">
        <is>
          <t>Every test you run:     a LOGTEST row.</t>
        </is>
      </c>
    </row>
    <row r="14">
      <c r="C14" s="6" t="inlineStr">
        <is>
          <t>Every AI-assisted change: a LOGAI row, with a teammate named as reviewer.</t>
        </is>
      </c>
    </row>
    <row r="15">
      <c r="C15" s="6" t="inlineStr">
        <is>
          <t>Every week at the meeting: open EXPORT, paste into the master, done.</t>
        </is>
      </c>
    </row>
  </sheetData>
  <mergeCells count="3">
    <mergeCell ref="A1:D1"/>
    <mergeCell ref="A10:D10"/>
    <mergeCell ref="A2:D2"/>
  </mergeCells>
  <printOptions horizontalCentered="1"/>
  <pageMargins left="0.75" right="0.75" top="1" bottom="1" header="0.5" footer="0.5"/>
  <pageSetup orientation="portrait" paperSize="9" fitToHeight="1" fitToWidth="1"/>
  <headerFooter>
    <oddHeader/>
    <oddFooter>&amp;R&amp;8 TMA3084 member workbook v3.0  -  &amp;P of &amp;N</oddFooter>
    <evenHeader/>
    <evenFooter/>
    <firstHeader/>
    <firstFooter/>
  </headerFooter>
</worksheet>
</file>

<file path=xl/worksheets/sheet2.xml><?xml version="1.0" encoding="utf-8"?>
<worksheet xmlns="http://schemas.openxmlformats.org/spreadsheetml/2006/main">
  <sheetPr>
    <tabColor rgb="00B4531A"/>
    <outlinePr summaryBelow="1" summaryRight="1"/>
    <pageSetUpPr fitToPage="1"/>
  </sheetPr>
  <dimension ref="A1:D16"/>
  <sheetViews>
    <sheetView showGridLines="0" workbookViewId="0">
      <selection activeCell="A1" sqref="A1"/>
    </sheetView>
  </sheetViews>
  <sheetFormatPr baseColWidth="8" defaultRowHeight="15"/>
  <cols>
    <col width="3" customWidth="1" min="1" max="1"/>
    <col width="30" customWidth="1" min="2" max="2"/>
    <col width="42" customWidth="1" min="3" max="3"/>
    <col width="3" customWidth="1" min="4" max="4"/>
  </cols>
  <sheetData>
    <row r="1" ht="30" customHeight="1">
      <c r="A1" s="1" t="inlineStr">
        <is>
          <t>My Details</t>
        </is>
      </c>
    </row>
    <row r="2" ht="16" customHeight="1">
      <c r="A2" s="2" t="inlineStr">
        <is>
          <t>Fill this once. Everything else in this workbook reads from here.</t>
        </is>
      </c>
    </row>
    <row r="4" ht="19" customHeight="1">
      <c r="A4" s="5" t="inlineStr">
        <is>
          <t>Member</t>
        </is>
      </c>
    </row>
    <row r="5">
      <c r="B5" s="7" t="inlineStr">
        <is>
          <t>Full name</t>
        </is>
      </c>
      <c r="C5" s="8" t="n"/>
    </row>
    <row r="6">
      <c r="B6" s="7" t="inlineStr">
        <is>
          <t>Matric number</t>
        </is>
      </c>
      <c r="C6" s="8" t="n"/>
    </row>
    <row r="7">
      <c r="B7" s="7" t="inlineStr">
        <is>
          <t>Team</t>
        </is>
      </c>
      <c r="C7" s="8" t="n"/>
    </row>
    <row r="8">
      <c r="B8" s="7" t="inlineStr">
        <is>
          <t>Project</t>
        </is>
      </c>
      <c r="C8" s="8" t="n"/>
    </row>
    <row r="9">
      <c r="B9" s="7" t="inlineStr">
        <is>
          <t>Course</t>
        </is>
      </c>
      <c r="C9" s="8" t="inlineStr">
        <is>
          <t>TMA3084 Software Engineering Laboratory</t>
        </is>
      </c>
    </row>
    <row r="10">
      <c r="B10" s="7" t="inlineStr">
        <is>
          <t>Semester</t>
        </is>
      </c>
      <c r="C10" s="8" t="inlineStr">
        <is>
          <t>Semester 1, Session 2026/2027</t>
        </is>
      </c>
    </row>
    <row r="11">
      <c r="B11" s="7" t="inlineStr">
        <is>
          <t>Instructor</t>
        </is>
      </c>
      <c r="C11" s="8" t="inlineStr">
        <is>
          <t>Ts. Nurfauza Jali</t>
        </is>
      </c>
    </row>
    <row r="13" ht="19" customHeight="1">
      <c r="A13" s="5" t="inlineStr">
        <is>
          <t>My commitment</t>
        </is>
      </c>
    </row>
    <row r="14">
      <c r="B14" s="7" t="inlineStr">
        <is>
          <t>Hours per week I am committing to</t>
        </is>
      </c>
      <c r="C14" s="9" t="n">
        <v>10</v>
      </c>
    </row>
    <row r="15">
      <c r="B15" s="7" t="inlineStr">
        <is>
          <t>My main role this cycle</t>
        </is>
      </c>
      <c r="C15" s="8" t="n"/>
    </row>
    <row r="16">
      <c r="B16" s="7" t="inlineStr">
        <is>
          <t>My second role, if I have one</t>
        </is>
      </c>
      <c r="C16" s="8" t="n"/>
    </row>
  </sheetData>
  <mergeCells count="4">
    <mergeCell ref="A1:D1"/>
    <mergeCell ref="A4:D4"/>
    <mergeCell ref="A13:D13"/>
    <mergeCell ref="A2:D2"/>
  </mergeCells>
  <printOptions horizontalCentered="1"/>
  <pageMargins left="0.75" right="0.75" top="1" bottom="1" header="0.5" footer="0.5"/>
  <pageSetup orientation="portrait" paperSize="9" fitToHeight="1" fitToWidth="1"/>
  <headerFooter>
    <oddHeader/>
    <oddFooter>&amp;R&amp;8 TMA3084 member workbook v3.0  -  &amp;P of &amp;N</oddFooter>
    <evenHeader/>
    <evenFooter/>
    <firstHeader/>
    <firstFooter/>
  </headerFooter>
</worksheet>
</file>

<file path=xl/worksheets/sheet3.xml><?xml version="1.0" encoding="utf-8"?>
<worksheet xmlns="http://schemas.openxmlformats.org/spreadsheetml/2006/main">
  <sheetPr>
    <tabColor rgb="0014505C"/>
    <outlinePr summaryBelow="1" summaryRight="1"/>
    <pageSetUpPr fitToPage="1"/>
  </sheetPr>
  <dimension ref="A1:L87"/>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11" customWidth="1" min="3" max="3"/>
    <col width="24" customWidth="1" min="4" max="4"/>
    <col width="42" customWidth="1" min="5" max="5"/>
    <col width="10" customWidth="1" min="6" max="6"/>
    <col width="9" customWidth="1" min="7" max="7"/>
    <col width="11" customWidth="1" min="8" max="8"/>
    <col width="9" customWidth="1" min="9" max="9"/>
    <col width="13" customWidth="1" min="10" max="10"/>
    <col width="11" customWidth="1" min="11" max="11"/>
    <col width="11" customWidth="1" min="12" max="12"/>
  </cols>
  <sheetData>
    <row r="1" ht="30" customHeight="1">
      <c r="A1" s="1" t="inlineStr">
        <is>
          <t>My Task Plan</t>
        </is>
      </c>
    </row>
    <row r="2" ht="16" customHeight="1">
      <c r="A2" s="2" t="inlineStr">
        <is>
          <t>Only the tasks you own. Actual hours arrive from LOGT by themselves.</t>
        </is>
      </c>
    </row>
    <row r="4">
      <c r="A4" s="7" t="inlineStr">
        <is>
          <t>Member</t>
        </is>
      </c>
      <c r="B4" s="10">
        <f>SETUP!$C$5</f>
        <v/>
      </c>
      <c r="E4" s="7" t="inlineStr">
        <is>
          <t>My tasks</t>
        </is>
      </c>
      <c r="F4" s="11">
        <f>COUNTA(MYTASK!$A$8:$A$87)</f>
        <v/>
      </c>
      <c r="G4" s="7" t="inlineStr">
        <is>
          <t>Plan hrs</t>
        </is>
      </c>
      <c r="H4" s="12">
        <f>SUM(MYTASK!$F$8:$F$87)</f>
        <v/>
      </c>
      <c r="I4" s="7" t="inlineStr">
        <is>
          <t>Actual hrs</t>
        </is>
      </c>
      <c r="J4" s="12">
        <f>SUM(MYTASK!$H$8:$H$87)</f>
        <v/>
      </c>
      <c r="K4" s="7" t="inlineStr">
        <is>
          <t>Complete</t>
        </is>
      </c>
      <c r="L4" s="11">
        <f>COUNTIF(MYTASK!$J$8:$J$87,"Complete")</f>
        <v/>
      </c>
    </row>
    <row r="7" ht="30" customHeight="1">
      <c r="A7" s="13" t="inlineStr">
        <is>
          <t>Task ID</t>
        </is>
      </c>
      <c r="B7" s="13" t="inlineStr">
        <is>
          <t>M/stone</t>
        </is>
      </c>
      <c r="C7" s="13" t="inlineStr">
        <is>
          <t>Phase</t>
        </is>
      </c>
      <c r="D7" s="13" t="inlineStr">
        <is>
          <t>Component</t>
        </is>
      </c>
      <c r="E7" s="13" t="inlineStr">
        <is>
          <t>Task</t>
        </is>
      </c>
      <c r="F7" s="13" t="inlineStr">
        <is>
          <t>Plan hrs</t>
        </is>
      </c>
      <c r="G7" s="13" t="inlineStr">
        <is>
          <t>Plan wk</t>
        </is>
      </c>
      <c r="H7" s="13" t="inlineStr">
        <is>
          <t>Actual hrs</t>
        </is>
      </c>
      <c r="I7" s="13" t="inlineStr">
        <is>
          <t>Act. wk</t>
        </is>
      </c>
      <c r="J7" s="13" t="inlineStr">
        <is>
          <t>Status</t>
        </is>
      </c>
      <c r="K7" s="13" t="inlineStr">
        <is>
          <t>Plan value</t>
        </is>
      </c>
      <c r="L7" s="13" t="inlineStr">
        <is>
          <t>Earned value</t>
        </is>
      </c>
    </row>
    <row r="8">
      <c r="A8" s="9" t="n"/>
      <c r="B8" s="9" t="n"/>
      <c r="C8" s="9" t="n"/>
      <c r="D8" s="8" t="n"/>
      <c r="E8" s="8" t="n"/>
      <c r="F8" s="14" t="n"/>
      <c r="G8" s="15" t="n"/>
      <c r="H8" s="16">
        <f>IF($A8="","",SUMIFS(LOGT!$I$7:$I$206,LOGT!$D$7:$D$206,$A8)/60)</f>
        <v/>
      </c>
      <c r="I8" s="17">
        <f>IFERROR(IF(N($H8)=0,"",3+INT((SUMPRODUCT(MAX((LOGT!$D$7:$D$206=$A8)*LOGT!$A$7:$A$206))-DATE(2026,10,5))/7)),"")</f>
        <v/>
      </c>
      <c r="J8" s="9" t="n"/>
      <c r="K8" s="18">
        <f>IF(OR($A8="",SUM(MYTASK!$F$8:$F$87)=0),"",$F8/SUM(MYTASK!$F$8:$F$87))</f>
        <v/>
      </c>
      <c r="L8" s="18">
        <f>IF($A8="","",IF($J8="Complete",$K8,0))</f>
        <v/>
      </c>
    </row>
    <row r="9">
      <c r="A9" s="9" t="n"/>
      <c r="B9" s="9" t="n"/>
      <c r="C9" s="9" t="n"/>
      <c r="D9" s="8" t="n"/>
      <c r="E9" s="8" t="n"/>
      <c r="F9" s="14" t="n"/>
      <c r="G9" s="15" t="n"/>
      <c r="H9" s="16">
        <f>IF($A9="","",SUMIFS(LOGT!$I$7:$I$206,LOGT!$D$7:$D$206,$A9)/60)</f>
        <v/>
      </c>
      <c r="I9" s="17">
        <f>IFERROR(IF(N($H9)=0,"",3+INT((SUMPRODUCT(MAX((LOGT!$D$7:$D$206=$A9)*LOGT!$A$7:$A$206))-DATE(2026,10,5))/7)),"")</f>
        <v/>
      </c>
      <c r="J9" s="9" t="n"/>
      <c r="K9" s="18">
        <f>IF(OR($A9="",SUM(MYTASK!$F$8:$F$87)=0),"",$F9/SUM(MYTASK!$F$8:$F$87))</f>
        <v/>
      </c>
      <c r="L9" s="18">
        <f>IF($A9="","",IF($J9="Complete",$K9,0))</f>
        <v/>
      </c>
    </row>
    <row r="10">
      <c r="A10" s="9" t="n"/>
      <c r="B10" s="9" t="n"/>
      <c r="C10" s="9" t="n"/>
      <c r="D10" s="8" t="n"/>
      <c r="E10" s="8" t="n"/>
      <c r="F10" s="14" t="n"/>
      <c r="G10" s="15" t="n"/>
      <c r="H10" s="16">
        <f>IF($A10="","",SUMIFS(LOGT!$I$7:$I$206,LOGT!$D$7:$D$206,$A10)/60)</f>
        <v/>
      </c>
      <c r="I10" s="17">
        <f>IFERROR(IF(N($H10)=0,"",3+INT((SUMPRODUCT(MAX((LOGT!$D$7:$D$206=$A10)*LOGT!$A$7:$A$206))-DATE(2026,10,5))/7)),"")</f>
        <v/>
      </c>
      <c r="J10" s="9" t="n"/>
      <c r="K10" s="18">
        <f>IF(OR($A10="",SUM(MYTASK!$F$8:$F$87)=0),"",$F10/SUM(MYTASK!$F$8:$F$87))</f>
        <v/>
      </c>
      <c r="L10" s="18">
        <f>IF($A10="","",IF($J10="Complete",$K10,0))</f>
        <v/>
      </c>
    </row>
    <row r="11">
      <c r="A11" s="9" t="n"/>
      <c r="B11" s="9" t="n"/>
      <c r="C11" s="9" t="n"/>
      <c r="D11" s="8" t="n"/>
      <c r="E11" s="8" t="n"/>
      <c r="F11" s="14" t="n"/>
      <c r="G11" s="15" t="n"/>
      <c r="H11" s="16">
        <f>IF($A11="","",SUMIFS(LOGT!$I$7:$I$206,LOGT!$D$7:$D$206,$A11)/60)</f>
        <v/>
      </c>
      <c r="I11" s="17">
        <f>IFERROR(IF(N($H11)=0,"",3+INT((SUMPRODUCT(MAX((LOGT!$D$7:$D$206=$A11)*LOGT!$A$7:$A$206))-DATE(2026,10,5))/7)),"")</f>
        <v/>
      </c>
      <c r="J11" s="9" t="n"/>
      <c r="K11" s="18">
        <f>IF(OR($A11="",SUM(MYTASK!$F$8:$F$87)=0),"",$F11/SUM(MYTASK!$F$8:$F$87))</f>
        <v/>
      </c>
      <c r="L11" s="18">
        <f>IF($A11="","",IF($J11="Complete",$K11,0))</f>
        <v/>
      </c>
    </row>
    <row r="12">
      <c r="A12" s="9" t="n"/>
      <c r="B12" s="9" t="n"/>
      <c r="C12" s="9" t="n"/>
      <c r="D12" s="8" t="n"/>
      <c r="E12" s="8" t="n"/>
      <c r="F12" s="14" t="n"/>
      <c r="G12" s="15" t="n"/>
      <c r="H12" s="16">
        <f>IF($A12="","",SUMIFS(LOGT!$I$7:$I$206,LOGT!$D$7:$D$206,$A12)/60)</f>
        <v/>
      </c>
      <c r="I12" s="17">
        <f>IFERROR(IF(N($H12)=0,"",3+INT((SUMPRODUCT(MAX((LOGT!$D$7:$D$206=$A12)*LOGT!$A$7:$A$206))-DATE(2026,10,5))/7)),"")</f>
        <v/>
      </c>
      <c r="J12" s="9" t="n"/>
      <c r="K12" s="18">
        <f>IF(OR($A12="",SUM(MYTASK!$F$8:$F$87)=0),"",$F12/SUM(MYTASK!$F$8:$F$87))</f>
        <v/>
      </c>
      <c r="L12" s="18">
        <f>IF($A12="","",IF($J12="Complete",$K12,0))</f>
        <v/>
      </c>
    </row>
    <row r="13">
      <c r="A13" s="9" t="n"/>
      <c r="B13" s="9" t="n"/>
      <c r="C13" s="9" t="n"/>
      <c r="D13" s="8" t="n"/>
      <c r="E13" s="8" t="n"/>
      <c r="F13" s="14" t="n"/>
      <c r="G13" s="15" t="n"/>
      <c r="H13" s="16">
        <f>IF($A13="","",SUMIFS(LOGT!$I$7:$I$206,LOGT!$D$7:$D$206,$A13)/60)</f>
        <v/>
      </c>
      <c r="I13" s="17">
        <f>IFERROR(IF(N($H13)=0,"",3+INT((SUMPRODUCT(MAX((LOGT!$D$7:$D$206=$A13)*LOGT!$A$7:$A$206))-DATE(2026,10,5))/7)),"")</f>
        <v/>
      </c>
      <c r="J13" s="9" t="n"/>
      <c r="K13" s="18">
        <f>IF(OR($A13="",SUM(MYTASK!$F$8:$F$87)=0),"",$F13/SUM(MYTASK!$F$8:$F$87))</f>
        <v/>
      </c>
      <c r="L13" s="18">
        <f>IF($A13="","",IF($J13="Complete",$K13,0))</f>
        <v/>
      </c>
    </row>
    <row r="14">
      <c r="A14" s="9" t="n"/>
      <c r="B14" s="9" t="n"/>
      <c r="C14" s="9" t="n"/>
      <c r="D14" s="8" t="n"/>
      <c r="E14" s="8" t="n"/>
      <c r="F14" s="14" t="n"/>
      <c r="G14" s="15" t="n"/>
      <c r="H14" s="16">
        <f>IF($A14="","",SUMIFS(LOGT!$I$7:$I$206,LOGT!$D$7:$D$206,$A14)/60)</f>
        <v/>
      </c>
      <c r="I14" s="17">
        <f>IFERROR(IF(N($H14)=0,"",3+INT((SUMPRODUCT(MAX((LOGT!$D$7:$D$206=$A14)*LOGT!$A$7:$A$206))-DATE(2026,10,5))/7)),"")</f>
        <v/>
      </c>
      <c r="J14" s="9" t="n"/>
      <c r="K14" s="18">
        <f>IF(OR($A14="",SUM(MYTASK!$F$8:$F$87)=0),"",$F14/SUM(MYTASK!$F$8:$F$87))</f>
        <v/>
      </c>
      <c r="L14" s="18">
        <f>IF($A14="","",IF($J14="Complete",$K14,0))</f>
        <v/>
      </c>
    </row>
    <row r="15">
      <c r="A15" s="9" t="n"/>
      <c r="B15" s="9" t="n"/>
      <c r="C15" s="9" t="n"/>
      <c r="D15" s="8" t="n"/>
      <c r="E15" s="8" t="n"/>
      <c r="F15" s="14" t="n"/>
      <c r="G15" s="15" t="n"/>
      <c r="H15" s="16">
        <f>IF($A15="","",SUMIFS(LOGT!$I$7:$I$206,LOGT!$D$7:$D$206,$A15)/60)</f>
        <v/>
      </c>
      <c r="I15" s="17">
        <f>IFERROR(IF(N($H15)=0,"",3+INT((SUMPRODUCT(MAX((LOGT!$D$7:$D$206=$A15)*LOGT!$A$7:$A$206))-DATE(2026,10,5))/7)),"")</f>
        <v/>
      </c>
      <c r="J15" s="9" t="n"/>
      <c r="K15" s="18">
        <f>IF(OR($A15="",SUM(MYTASK!$F$8:$F$87)=0),"",$F15/SUM(MYTASK!$F$8:$F$87))</f>
        <v/>
      </c>
      <c r="L15" s="18">
        <f>IF($A15="","",IF($J15="Complete",$K15,0))</f>
        <v/>
      </c>
    </row>
    <row r="16">
      <c r="A16" s="9" t="n"/>
      <c r="B16" s="9" t="n"/>
      <c r="C16" s="9" t="n"/>
      <c r="D16" s="8" t="n"/>
      <c r="E16" s="8" t="n"/>
      <c r="F16" s="14" t="n"/>
      <c r="G16" s="15" t="n"/>
      <c r="H16" s="16">
        <f>IF($A16="","",SUMIFS(LOGT!$I$7:$I$206,LOGT!$D$7:$D$206,$A16)/60)</f>
        <v/>
      </c>
      <c r="I16" s="17">
        <f>IFERROR(IF(N($H16)=0,"",3+INT((SUMPRODUCT(MAX((LOGT!$D$7:$D$206=$A16)*LOGT!$A$7:$A$206))-DATE(2026,10,5))/7)),"")</f>
        <v/>
      </c>
      <c r="J16" s="9" t="n"/>
      <c r="K16" s="18">
        <f>IF(OR($A16="",SUM(MYTASK!$F$8:$F$87)=0),"",$F16/SUM(MYTASK!$F$8:$F$87))</f>
        <v/>
      </c>
      <c r="L16" s="18">
        <f>IF($A16="","",IF($J16="Complete",$K16,0))</f>
        <v/>
      </c>
    </row>
    <row r="17">
      <c r="A17" s="9" t="n"/>
      <c r="B17" s="9" t="n"/>
      <c r="C17" s="9" t="n"/>
      <c r="D17" s="8" t="n"/>
      <c r="E17" s="8" t="n"/>
      <c r="F17" s="14" t="n"/>
      <c r="G17" s="15" t="n"/>
      <c r="H17" s="16">
        <f>IF($A17="","",SUMIFS(LOGT!$I$7:$I$206,LOGT!$D$7:$D$206,$A17)/60)</f>
        <v/>
      </c>
      <c r="I17" s="17">
        <f>IFERROR(IF(N($H17)=0,"",3+INT((SUMPRODUCT(MAX((LOGT!$D$7:$D$206=$A17)*LOGT!$A$7:$A$206))-DATE(2026,10,5))/7)),"")</f>
        <v/>
      </c>
      <c r="J17" s="9" t="n"/>
      <c r="K17" s="18">
        <f>IF(OR($A17="",SUM(MYTASK!$F$8:$F$87)=0),"",$F17/SUM(MYTASK!$F$8:$F$87))</f>
        <v/>
      </c>
      <c r="L17" s="18">
        <f>IF($A17="","",IF($J17="Complete",$K17,0))</f>
        <v/>
      </c>
    </row>
    <row r="18">
      <c r="A18" s="9" t="n"/>
      <c r="B18" s="9" t="n"/>
      <c r="C18" s="9" t="n"/>
      <c r="D18" s="8" t="n"/>
      <c r="E18" s="8" t="n"/>
      <c r="F18" s="14" t="n"/>
      <c r="G18" s="15" t="n"/>
      <c r="H18" s="16">
        <f>IF($A18="","",SUMIFS(LOGT!$I$7:$I$206,LOGT!$D$7:$D$206,$A18)/60)</f>
        <v/>
      </c>
      <c r="I18" s="17">
        <f>IFERROR(IF(N($H18)=0,"",3+INT((SUMPRODUCT(MAX((LOGT!$D$7:$D$206=$A18)*LOGT!$A$7:$A$206))-DATE(2026,10,5))/7)),"")</f>
        <v/>
      </c>
      <c r="J18" s="9" t="n"/>
      <c r="K18" s="18">
        <f>IF(OR($A18="",SUM(MYTASK!$F$8:$F$87)=0),"",$F18/SUM(MYTASK!$F$8:$F$87))</f>
        <v/>
      </c>
      <c r="L18" s="18">
        <f>IF($A18="","",IF($J18="Complete",$K18,0))</f>
        <v/>
      </c>
    </row>
    <row r="19">
      <c r="A19" s="9" t="n"/>
      <c r="B19" s="9" t="n"/>
      <c r="C19" s="9" t="n"/>
      <c r="D19" s="8" t="n"/>
      <c r="E19" s="8" t="n"/>
      <c r="F19" s="14" t="n"/>
      <c r="G19" s="15" t="n"/>
      <c r="H19" s="16">
        <f>IF($A19="","",SUMIFS(LOGT!$I$7:$I$206,LOGT!$D$7:$D$206,$A19)/60)</f>
        <v/>
      </c>
      <c r="I19" s="17">
        <f>IFERROR(IF(N($H19)=0,"",3+INT((SUMPRODUCT(MAX((LOGT!$D$7:$D$206=$A19)*LOGT!$A$7:$A$206))-DATE(2026,10,5))/7)),"")</f>
        <v/>
      </c>
      <c r="J19" s="9" t="n"/>
      <c r="K19" s="18">
        <f>IF(OR($A19="",SUM(MYTASK!$F$8:$F$87)=0),"",$F19/SUM(MYTASK!$F$8:$F$87))</f>
        <v/>
      </c>
      <c r="L19" s="18">
        <f>IF($A19="","",IF($J19="Complete",$K19,0))</f>
        <v/>
      </c>
    </row>
    <row r="20">
      <c r="A20" s="9" t="n"/>
      <c r="B20" s="9" t="n"/>
      <c r="C20" s="9" t="n"/>
      <c r="D20" s="8" t="n"/>
      <c r="E20" s="8" t="n"/>
      <c r="F20" s="14" t="n"/>
      <c r="G20" s="15" t="n"/>
      <c r="H20" s="16">
        <f>IF($A20="","",SUMIFS(LOGT!$I$7:$I$206,LOGT!$D$7:$D$206,$A20)/60)</f>
        <v/>
      </c>
      <c r="I20" s="17">
        <f>IFERROR(IF(N($H20)=0,"",3+INT((SUMPRODUCT(MAX((LOGT!$D$7:$D$206=$A20)*LOGT!$A$7:$A$206))-DATE(2026,10,5))/7)),"")</f>
        <v/>
      </c>
      <c r="J20" s="9" t="n"/>
      <c r="K20" s="18">
        <f>IF(OR($A20="",SUM(MYTASK!$F$8:$F$87)=0),"",$F20/SUM(MYTASK!$F$8:$F$87))</f>
        <v/>
      </c>
      <c r="L20" s="18">
        <f>IF($A20="","",IF($J20="Complete",$K20,0))</f>
        <v/>
      </c>
    </row>
    <row r="21">
      <c r="A21" s="9" t="n"/>
      <c r="B21" s="9" t="n"/>
      <c r="C21" s="9" t="n"/>
      <c r="D21" s="8" t="n"/>
      <c r="E21" s="8" t="n"/>
      <c r="F21" s="14" t="n"/>
      <c r="G21" s="15" t="n"/>
      <c r="H21" s="16">
        <f>IF($A21="","",SUMIFS(LOGT!$I$7:$I$206,LOGT!$D$7:$D$206,$A21)/60)</f>
        <v/>
      </c>
      <c r="I21" s="17">
        <f>IFERROR(IF(N($H21)=0,"",3+INT((SUMPRODUCT(MAX((LOGT!$D$7:$D$206=$A21)*LOGT!$A$7:$A$206))-DATE(2026,10,5))/7)),"")</f>
        <v/>
      </c>
      <c r="J21" s="9" t="n"/>
      <c r="K21" s="18">
        <f>IF(OR($A21="",SUM(MYTASK!$F$8:$F$87)=0),"",$F21/SUM(MYTASK!$F$8:$F$87))</f>
        <v/>
      </c>
      <c r="L21" s="18">
        <f>IF($A21="","",IF($J21="Complete",$K21,0))</f>
        <v/>
      </c>
    </row>
    <row r="22">
      <c r="A22" s="9" t="n"/>
      <c r="B22" s="9" t="n"/>
      <c r="C22" s="9" t="n"/>
      <c r="D22" s="8" t="n"/>
      <c r="E22" s="8" t="n"/>
      <c r="F22" s="14" t="n"/>
      <c r="G22" s="15" t="n"/>
      <c r="H22" s="16">
        <f>IF($A22="","",SUMIFS(LOGT!$I$7:$I$206,LOGT!$D$7:$D$206,$A22)/60)</f>
        <v/>
      </c>
      <c r="I22" s="17">
        <f>IFERROR(IF(N($H22)=0,"",3+INT((SUMPRODUCT(MAX((LOGT!$D$7:$D$206=$A22)*LOGT!$A$7:$A$206))-DATE(2026,10,5))/7)),"")</f>
        <v/>
      </c>
      <c r="J22" s="9" t="n"/>
      <c r="K22" s="18">
        <f>IF(OR($A22="",SUM(MYTASK!$F$8:$F$87)=0),"",$F22/SUM(MYTASK!$F$8:$F$87))</f>
        <v/>
      </c>
      <c r="L22" s="18">
        <f>IF($A22="","",IF($J22="Complete",$K22,0))</f>
        <v/>
      </c>
    </row>
    <row r="23">
      <c r="A23" s="9" t="n"/>
      <c r="B23" s="9" t="n"/>
      <c r="C23" s="9" t="n"/>
      <c r="D23" s="8" t="n"/>
      <c r="E23" s="8" t="n"/>
      <c r="F23" s="14" t="n"/>
      <c r="G23" s="15" t="n"/>
      <c r="H23" s="16">
        <f>IF($A23="","",SUMIFS(LOGT!$I$7:$I$206,LOGT!$D$7:$D$206,$A23)/60)</f>
        <v/>
      </c>
      <c r="I23" s="17">
        <f>IFERROR(IF(N($H23)=0,"",3+INT((SUMPRODUCT(MAX((LOGT!$D$7:$D$206=$A23)*LOGT!$A$7:$A$206))-DATE(2026,10,5))/7)),"")</f>
        <v/>
      </c>
      <c r="J23" s="9" t="n"/>
      <c r="K23" s="18">
        <f>IF(OR($A23="",SUM(MYTASK!$F$8:$F$87)=0),"",$F23/SUM(MYTASK!$F$8:$F$87))</f>
        <v/>
      </c>
      <c r="L23" s="18">
        <f>IF($A23="","",IF($J23="Complete",$K23,0))</f>
        <v/>
      </c>
    </row>
    <row r="24">
      <c r="A24" s="9" t="n"/>
      <c r="B24" s="9" t="n"/>
      <c r="C24" s="9" t="n"/>
      <c r="D24" s="8" t="n"/>
      <c r="E24" s="8" t="n"/>
      <c r="F24" s="14" t="n"/>
      <c r="G24" s="15" t="n"/>
      <c r="H24" s="16">
        <f>IF($A24="","",SUMIFS(LOGT!$I$7:$I$206,LOGT!$D$7:$D$206,$A24)/60)</f>
        <v/>
      </c>
      <c r="I24" s="17">
        <f>IFERROR(IF(N($H24)=0,"",3+INT((SUMPRODUCT(MAX((LOGT!$D$7:$D$206=$A24)*LOGT!$A$7:$A$206))-DATE(2026,10,5))/7)),"")</f>
        <v/>
      </c>
      <c r="J24" s="9" t="n"/>
      <c r="K24" s="18">
        <f>IF(OR($A24="",SUM(MYTASK!$F$8:$F$87)=0),"",$F24/SUM(MYTASK!$F$8:$F$87))</f>
        <v/>
      </c>
      <c r="L24" s="18">
        <f>IF($A24="","",IF($J24="Complete",$K24,0))</f>
        <v/>
      </c>
    </row>
    <row r="25">
      <c r="A25" s="9" t="n"/>
      <c r="B25" s="9" t="n"/>
      <c r="C25" s="9" t="n"/>
      <c r="D25" s="8" t="n"/>
      <c r="E25" s="8" t="n"/>
      <c r="F25" s="14" t="n"/>
      <c r="G25" s="15" t="n"/>
      <c r="H25" s="16">
        <f>IF($A25="","",SUMIFS(LOGT!$I$7:$I$206,LOGT!$D$7:$D$206,$A25)/60)</f>
        <v/>
      </c>
      <c r="I25" s="17">
        <f>IFERROR(IF(N($H25)=0,"",3+INT((SUMPRODUCT(MAX((LOGT!$D$7:$D$206=$A25)*LOGT!$A$7:$A$206))-DATE(2026,10,5))/7)),"")</f>
        <v/>
      </c>
      <c r="J25" s="9" t="n"/>
      <c r="K25" s="18">
        <f>IF(OR($A25="",SUM(MYTASK!$F$8:$F$87)=0),"",$F25/SUM(MYTASK!$F$8:$F$87))</f>
        <v/>
      </c>
      <c r="L25" s="18">
        <f>IF($A25="","",IF($J25="Complete",$K25,0))</f>
        <v/>
      </c>
    </row>
    <row r="26">
      <c r="A26" s="9" t="n"/>
      <c r="B26" s="9" t="n"/>
      <c r="C26" s="9" t="n"/>
      <c r="D26" s="8" t="n"/>
      <c r="E26" s="8" t="n"/>
      <c r="F26" s="14" t="n"/>
      <c r="G26" s="15" t="n"/>
      <c r="H26" s="16">
        <f>IF($A26="","",SUMIFS(LOGT!$I$7:$I$206,LOGT!$D$7:$D$206,$A26)/60)</f>
        <v/>
      </c>
      <c r="I26" s="17">
        <f>IFERROR(IF(N($H26)=0,"",3+INT((SUMPRODUCT(MAX((LOGT!$D$7:$D$206=$A26)*LOGT!$A$7:$A$206))-DATE(2026,10,5))/7)),"")</f>
        <v/>
      </c>
      <c r="J26" s="9" t="n"/>
      <c r="K26" s="18">
        <f>IF(OR($A26="",SUM(MYTASK!$F$8:$F$87)=0),"",$F26/SUM(MYTASK!$F$8:$F$87))</f>
        <v/>
      </c>
      <c r="L26" s="18">
        <f>IF($A26="","",IF($J26="Complete",$K26,0))</f>
        <v/>
      </c>
    </row>
    <row r="27">
      <c r="A27" s="9" t="n"/>
      <c r="B27" s="9" t="n"/>
      <c r="C27" s="9" t="n"/>
      <c r="D27" s="8" t="n"/>
      <c r="E27" s="8" t="n"/>
      <c r="F27" s="14" t="n"/>
      <c r="G27" s="15" t="n"/>
      <c r="H27" s="16">
        <f>IF($A27="","",SUMIFS(LOGT!$I$7:$I$206,LOGT!$D$7:$D$206,$A27)/60)</f>
        <v/>
      </c>
      <c r="I27" s="17">
        <f>IFERROR(IF(N($H27)=0,"",3+INT((SUMPRODUCT(MAX((LOGT!$D$7:$D$206=$A27)*LOGT!$A$7:$A$206))-DATE(2026,10,5))/7)),"")</f>
        <v/>
      </c>
      <c r="J27" s="9" t="n"/>
      <c r="K27" s="18">
        <f>IF(OR($A27="",SUM(MYTASK!$F$8:$F$87)=0),"",$F27/SUM(MYTASK!$F$8:$F$87))</f>
        <v/>
      </c>
      <c r="L27" s="18">
        <f>IF($A27="","",IF($J27="Complete",$K27,0))</f>
        <v/>
      </c>
    </row>
    <row r="28">
      <c r="A28" s="9" t="n"/>
      <c r="B28" s="9" t="n"/>
      <c r="C28" s="9" t="n"/>
      <c r="D28" s="8" t="n"/>
      <c r="E28" s="8" t="n"/>
      <c r="F28" s="14" t="n"/>
      <c r="G28" s="15" t="n"/>
      <c r="H28" s="16">
        <f>IF($A28="","",SUMIFS(LOGT!$I$7:$I$206,LOGT!$D$7:$D$206,$A28)/60)</f>
        <v/>
      </c>
      <c r="I28" s="17">
        <f>IFERROR(IF(N($H28)=0,"",3+INT((SUMPRODUCT(MAX((LOGT!$D$7:$D$206=$A28)*LOGT!$A$7:$A$206))-DATE(2026,10,5))/7)),"")</f>
        <v/>
      </c>
      <c r="J28" s="9" t="n"/>
      <c r="K28" s="18">
        <f>IF(OR($A28="",SUM(MYTASK!$F$8:$F$87)=0),"",$F28/SUM(MYTASK!$F$8:$F$87))</f>
        <v/>
      </c>
      <c r="L28" s="18">
        <f>IF($A28="","",IF($J28="Complete",$K28,0))</f>
        <v/>
      </c>
    </row>
    <row r="29">
      <c r="A29" s="9" t="n"/>
      <c r="B29" s="9" t="n"/>
      <c r="C29" s="9" t="n"/>
      <c r="D29" s="8" t="n"/>
      <c r="E29" s="8" t="n"/>
      <c r="F29" s="14" t="n"/>
      <c r="G29" s="15" t="n"/>
      <c r="H29" s="16">
        <f>IF($A29="","",SUMIFS(LOGT!$I$7:$I$206,LOGT!$D$7:$D$206,$A29)/60)</f>
        <v/>
      </c>
      <c r="I29" s="17">
        <f>IFERROR(IF(N($H29)=0,"",3+INT((SUMPRODUCT(MAX((LOGT!$D$7:$D$206=$A29)*LOGT!$A$7:$A$206))-DATE(2026,10,5))/7)),"")</f>
        <v/>
      </c>
      <c r="J29" s="9" t="n"/>
      <c r="K29" s="18">
        <f>IF(OR($A29="",SUM(MYTASK!$F$8:$F$87)=0),"",$F29/SUM(MYTASK!$F$8:$F$87))</f>
        <v/>
      </c>
      <c r="L29" s="18">
        <f>IF($A29="","",IF($J29="Complete",$K29,0))</f>
        <v/>
      </c>
    </row>
    <row r="30">
      <c r="A30" s="9" t="n"/>
      <c r="B30" s="9" t="n"/>
      <c r="C30" s="9" t="n"/>
      <c r="D30" s="8" t="n"/>
      <c r="E30" s="8" t="n"/>
      <c r="F30" s="14" t="n"/>
      <c r="G30" s="15" t="n"/>
      <c r="H30" s="16">
        <f>IF($A30="","",SUMIFS(LOGT!$I$7:$I$206,LOGT!$D$7:$D$206,$A30)/60)</f>
        <v/>
      </c>
      <c r="I30" s="17">
        <f>IFERROR(IF(N($H30)=0,"",3+INT((SUMPRODUCT(MAX((LOGT!$D$7:$D$206=$A30)*LOGT!$A$7:$A$206))-DATE(2026,10,5))/7)),"")</f>
        <v/>
      </c>
      <c r="J30" s="9" t="n"/>
      <c r="K30" s="18">
        <f>IF(OR($A30="",SUM(MYTASK!$F$8:$F$87)=0),"",$F30/SUM(MYTASK!$F$8:$F$87))</f>
        <v/>
      </c>
      <c r="L30" s="18">
        <f>IF($A30="","",IF($J30="Complete",$K30,0))</f>
        <v/>
      </c>
    </row>
    <row r="31">
      <c r="A31" s="9" t="n"/>
      <c r="B31" s="9" t="n"/>
      <c r="C31" s="9" t="n"/>
      <c r="D31" s="8" t="n"/>
      <c r="E31" s="8" t="n"/>
      <c r="F31" s="14" t="n"/>
      <c r="G31" s="15" t="n"/>
      <c r="H31" s="16">
        <f>IF($A31="","",SUMIFS(LOGT!$I$7:$I$206,LOGT!$D$7:$D$206,$A31)/60)</f>
        <v/>
      </c>
      <c r="I31" s="17">
        <f>IFERROR(IF(N($H31)=0,"",3+INT((SUMPRODUCT(MAX((LOGT!$D$7:$D$206=$A31)*LOGT!$A$7:$A$206))-DATE(2026,10,5))/7)),"")</f>
        <v/>
      </c>
      <c r="J31" s="9" t="n"/>
      <c r="K31" s="18">
        <f>IF(OR($A31="",SUM(MYTASK!$F$8:$F$87)=0),"",$F31/SUM(MYTASK!$F$8:$F$87))</f>
        <v/>
      </c>
      <c r="L31" s="18">
        <f>IF($A31="","",IF($J31="Complete",$K31,0))</f>
        <v/>
      </c>
    </row>
    <row r="32">
      <c r="A32" s="9" t="n"/>
      <c r="B32" s="9" t="n"/>
      <c r="C32" s="9" t="n"/>
      <c r="D32" s="8" t="n"/>
      <c r="E32" s="8" t="n"/>
      <c r="F32" s="14" t="n"/>
      <c r="G32" s="15" t="n"/>
      <c r="H32" s="16">
        <f>IF($A32="","",SUMIFS(LOGT!$I$7:$I$206,LOGT!$D$7:$D$206,$A32)/60)</f>
        <v/>
      </c>
      <c r="I32" s="17">
        <f>IFERROR(IF(N($H32)=0,"",3+INT((SUMPRODUCT(MAX((LOGT!$D$7:$D$206=$A32)*LOGT!$A$7:$A$206))-DATE(2026,10,5))/7)),"")</f>
        <v/>
      </c>
      <c r="J32" s="9" t="n"/>
      <c r="K32" s="18">
        <f>IF(OR($A32="",SUM(MYTASK!$F$8:$F$87)=0),"",$F32/SUM(MYTASK!$F$8:$F$87))</f>
        <v/>
      </c>
      <c r="L32" s="18">
        <f>IF($A32="","",IF($J32="Complete",$K32,0))</f>
        <v/>
      </c>
    </row>
    <row r="33">
      <c r="A33" s="9" t="n"/>
      <c r="B33" s="9" t="n"/>
      <c r="C33" s="9" t="n"/>
      <c r="D33" s="8" t="n"/>
      <c r="E33" s="8" t="n"/>
      <c r="F33" s="14" t="n"/>
      <c r="G33" s="15" t="n"/>
      <c r="H33" s="16">
        <f>IF($A33="","",SUMIFS(LOGT!$I$7:$I$206,LOGT!$D$7:$D$206,$A33)/60)</f>
        <v/>
      </c>
      <c r="I33" s="17">
        <f>IFERROR(IF(N($H33)=0,"",3+INT((SUMPRODUCT(MAX((LOGT!$D$7:$D$206=$A33)*LOGT!$A$7:$A$206))-DATE(2026,10,5))/7)),"")</f>
        <v/>
      </c>
      <c r="J33" s="9" t="n"/>
      <c r="K33" s="18">
        <f>IF(OR($A33="",SUM(MYTASK!$F$8:$F$87)=0),"",$F33/SUM(MYTASK!$F$8:$F$87))</f>
        <v/>
      </c>
      <c r="L33" s="18">
        <f>IF($A33="","",IF($J33="Complete",$K33,0))</f>
        <v/>
      </c>
    </row>
    <row r="34">
      <c r="A34" s="9" t="n"/>
      <c r="B34" s="9" t="n"/>
      <c r="C34" s="9" t="n"/>
      <c r="D34" s="8" t="n"/>
      <c r="E34" s="8" t="n"/>
      <c r="F34" s="14" t="n"/>
      <c r="G34" s="15" t="n"/>
      <c r="H34" s="16">
        <f>IF($A34="","",SUMIFS(LOGT!$I$7:$I$206,LOGT!$D$7:$D$206,$A34)/60)</f>
        <v/>
      </c>
      <c r="I34" s="17">
        <f>IFERROR(IF(N($H34)=0,"",3+INT((SUMPRODUCT(MAX((LOGT!$D$7:$D$206=$A34)*LOGT!$A$7:$A$206))-DATE(2026,10,5))/7)),"")</f>
        <v/>
      </c>
      <c r="J34" s="9" t="n"/>
      <c r="K34" s="18">
        <f>IF(OR($A34="",SUM(MYTASK!$F$8:$F$87)=0),"",$F34/SUM(MYTASK!$F$8:$F$87))</f>
        <v/>
      </c>
      <c r="L34" s="18">
        <f>IF($A34="","",IF($J34="Complete",$K34,0))</f>
        <v/>
      </c>
    </row>
    <row r="35">
      <c r="A35" s="9" t="n"/>
      <c r="B35" s="9" t="n"/>
      <c r="C35" s="9" t="n"/>
      <c r="D35" s="8" t="n"/>
      <c r="E35" s="8" t="n"/>
      <c r="F35" s="14" t="n"/>
      <c r="G35" s="15" t="n"/>
      <c r="H35" s="16">
        <f>IF($A35="","",SUMIFS(LOGT!$I$7:$I$206,LOGT!$D$7:$D$206,$A35)/60)</f>
        <v/>
      </c>
      <c r="I35" s="17">
        <f>IFERROR(IF(N($H35)=0,"",3+INT((SUMPRODUCT(MAX((LOGT!$D$7:$D$206=$A35)*LOGT!$A$7:$A$206))-DATE(2026,10,5))/7)),"")</f>
        <v/>
      </c>
      <c r="J35" s="9" t="n"/>
      <c r="K35" s="18">
        <f>IF(OR($A35="",SUM(MYTASK!$F$8:$F$87)=0),"",$F35/SUM(MYTASK!$F$8:$F$87))</f>
        <v/>
      </c>
      <c r="L35" s="18">
        <f>IF($A35="","",IF($J35="Complete",$K35,0))</f>
        <v/>
      </c>
    </row>
    <row r="36">
      <c r="A36" s="9" t="n"/>
      <c r="B36" s="9" t="n"/>
      <c r="C36" s="9" t="n"/>
      <c r="D36" s="8" t="n"/>
      <c r="E36" s="8" t="n"/>
      <c r="F36" s="14" t="n"/>
      <c r="G36" s="15" t="n"/>
      <c r="H36" s="16">
        <f>IF($A36="","",SUMIFS(LOGT!$I$7:$I$206,LOGT!$D$7:$D$206,$A36)/60)</f>
        <v/>
      </c>
      <c r="I36" s="17">
        <f>IFERROR(IF(N($H36)=0,"",3+INT((SUMPRODUCT(MAX((LOGT!$D$7:$D$206=$A36)*LOGT!$A$7:$A$206))-DATE(2026,10,5))/7)),"")</f>
        <v/>
      </c>
      <c r="J36" s="9" t="n"/>
      <c r="K36" s="18">
        <f>IF(OR($A36="",SUM(MYTASK!$F$8:$F$87)=0),"",$F36/SUM(MYTASK!$F$8:$F$87))</f>
        <v/>
      </c>
      <c r="L36" s="18">
        <f>IF($A36="","",IF($J36="Complete",$K36,0))</f>
        <v/>
      </c>
    </row>
    <row r="37">
      <c r="A37" s="9" t="n"/>
      <c r="B37" s="9" t="n"/>
      <c r="C37" s="9" t="n"/>
      <c r="D37" s="8" t="n"/>
      <c r="E37" s="8" t="n"/>
      <c r="F37" s="14" t="n"/>
      <c r="G37" s="15" t="n"/>
      <c r="H37" s="16">
        <f>IF($A37="","",SUMIFS(LOGT!$I$7:$I$206,LOGT!$D$7:$D$206,$A37)/60)</f>
        <v/>
      </c>
      <c r="I37" s="17">
        <f>IFERROR(IF(N($H37)=0,"",3+INT((SUMPRODUCT(MAX((LOGT!$D$7:$D$206=$A37)*LOGT!$A$7:$A$206))-DATE(2026,10,5))/7)),"")</f>
        <v/>
      </c>
      <c r="J37" s="9" t="n"/>
      <c r="K37" s="18">
        <f>IF(OR($A37="",SUM(MYTASK!$F$8:$F$87)=0),"",$F37/SUM(MYTASK!$F$8:$F$87))</f>
        <v/>
      </c>
      <c r="L37" s="18">
        <f>IF($A37="","",IF($J37="Complete",$K37,0))</f>
        <v/>
      </c>
    </row>
    <row r="38">
      <c r="A38" s="9" t="n"/>
      <c r="B38" s="9" t="n"/>
      <c r="C38" s="9" t="n"/>
      <c r="D38" s="8" t="n"/>
      <c r="E38" s="8" t="n"/>
      <c r="F38" s="14" t="n"/>
      <c r="G38" s="15" t="n"/>
      <c r="H38" s="16">
        <f>IF($A38="","",SUMIFS(LOGT!$I$7:$I$206,LOGT!$D$7:$D$206,$A38)/60)</f>
        <v/>
      </c>
      <c r="I38" s="17">
        <f>IFERROR(IF(N($H38)=0,"",3+INT((SUMPRODUCT(MAX((LOGT!$D$7:$D$206=$A38)*LOGT!$A$7:$A$206))-DATE(2026,10,5))/7)),"")</f>
        <v/>
      </c>
      <c r="J38" s="9" t="n"/>
      <c r="K38" s="18">
        <f>IF(OR($A38="",SUM(MYTASK!$F$8:$F$87)=0),"",$F38/SUM(MYTASK!$F$8:$F$87))</f>
        <v/>
      </c>
      <c r="L38" s="18">
        <f>IF($A38="","",IF($J38="Complete",$K38,0))</f>
        <v/>
      </c>
    </row>
    <row r="39">
      <c r="A39" s="9" t="n"/>
      <c r="B39" s="9" t="n"/>
      <c r="C39" s="9" t="n"/>
      <c r="D39" s="8" t="n"/>
      <c r="E39" s="8" t="n"/>
      <c r="F39" s="14" t="n"/>
      <c r="G39" s="15" t="n"/>
      <c r="H39" s="16">
        <f>IF($A39="","",SUMIFS(LOGT!$I$7:$I$206,LOGT!$D$7:$D$206,$A39)/60)</f>
        <v/>
      </c>
      <c r="I39" s="17">
        <f>IFERROR(IF(N($H39)=0,"",3+INT((SUMPRODUCT(MAX((LOGT!$D$7:$D$206=$A39)*LOGT!$A$7:$A$206))-DATE(2026,10,5))/7)),"")</f>
        <v/>
      </c>
      <c r="J39" s="9" t="n"/>
      <c r="K39" s="18">
        <f>IF(OR($A39="",SUM(MYTASK!$F$8:$F$87)=0),"",$F39/SUM(MYTASK!$F$8:$F$87))</f>
        <v/>
      </c>
      <c r="L39" s="18">
        <f>IF($A39="","",IF($J39="Complete",$K39,0))</f>
        <v/>
      </c>
    </row>
    <row r="40">
      <c r="A40" s="9" t="n"/>
      <c r="B40" s="9" t="n"/>
      <c r="C40" s="9" t="n"/>
      <c r="D40" s="8" t="n"/>
      <c r="E40" s="8" t="n"/>
      <c r="F40" s="14" t="n"/>
      <c r="G40" s="15" t="n"/>
      <c r="H40" s="16">
        <f>IF($A40="","",SUMIFS(LOGT!$I$7:$I$206,LOGT!$D$7:$D$206,$A40)/60)</f>
        <v/>
      </c>
      <c r="I40" s="17">
        <f>IFERROR(IF(N($H40)=0,"",3+INT((SUMPRODUCT(MAX((LOGT!$D$7:$D$206=$A40)*LOGT!$A$7:$A$206))-DATE(2026,10,5))/7)),"")</f>
        <v/>
      </c>
      <c r="J40" s="9" t="n"/>
      <c r="K40" s="18">
        <f>IF(OR($A40="",SUM(MYTASK!$F$8:$F$87)=0),"",$F40/SUM(MYTASK!$F$8:$F$87))</f>
        <v/>
      </c>
      <c r="L40" s="18">
        <f>IF($A40="","",IF($J40="Complete",$K40,0))</f>
        <v/>
      </c>
    </row>
    <row r="41">
      <c r="A41" s="9" t="n"/>
      <c r="B41" s="9" t="n"/>
      <c r="C41" s="9" t="n"/>
      <c r="D41" s="8" t="n"/>
      <c r="E41" s="8" t="n"/>
      <c r="F41" s="14" t="n"/>
      <c r="G41" s="15" t="n"/>
      <c r="H41" s="16">
        <f>IF($A41="","",SUMIFS(LOGT!$I$7:$I$206,LOGT!$D$7:$D$206,$A41)/60)</f>
        <v/>
      </c>
      <c r="I41" s="17">
        <f>IFERROR(IF(N($H41)=0,"",3+INT((SUMPRODUCT(MAX((LOGT!$D$7:$D$206=$A41)*LOGT!$A$7:$A$206))-DATE(2026,10,5))/7)),"")</f>
        <v/>
      </c>
      <c r="J41" s="9" t="n"/>
      <c r="K41" s="18">
        <f>IF(OR($A41="",SUM(MYTASK!$F$8:$F$87)=0),"",$F41/SUM(MYTASK!$F$8:$F$87))</f>
        <v/>
      </c>
      <c r="L41" s="18">
        <f>IF($A41="","",IF($J41="Complete",$K41,0))</f>
        <v/>
      </c>
    </row>
    <row r="42">
      <c r="A42" s="9" t="n"/>
      <c r="B42" s="9" t="n"/>
      <c r="C42" s="9" t="n"/>
      <c r="D42" s="8" t="n"/>
      <c r="E42" s="8" t="n"/>
      <c r="F42" s="14" t="n"/>
      <c r="G42" s="15" t="n"/>
      <c r="H42" s="16">
        <f>IF($A42="","",SUMIFS(LOGT!$I$7:$I$206,LOGT!$D$7:$D$206,$A42)/60)</f>
        <v/>
      </c>
      <c r="I42" s="17">
        <f>IFERROR(IF(N($H42)=0,"",3+INT((SUMPRODUCT(MAX((LOGT!$D$7:$D$206=$A42)*LOGT!$A$7:$A$206))-DATE(2026,10,5))/7)),"")</f>
        <v/>
      </c>
      <c r="J42" s="9" t="n"/>
      <c r="K42" s="18">
        <f>IF(OR($A42="",SUM(MYTASK!$F$8:$F$87)=0),"",$F42/SUM(MYTASK!$F$8:$F$87))</f>
        <v/>
      </c>
      <c r="L42" s="18">
        <f>IF($A42="","",IF($J42="Complete",$K42,0))</f>
        <v/>
      </c>
    </row>
    <row r="43">
      <c r="A43" s="9" t="n"/>
      <c r="B43" s="9" t="n"/>
      <c r="C43" s="9" t="n"/>
      <c r="D43" s="8" t="n"/>
      <c r="E43" s="8" t="n"/>
      <c r="F43" s="14" t="n"/>
      <c r="G43" s="15" t="n"/>
      <c r="H43" s="16">
        <f>IF($A43="","",SUMIFS(LOGT!$I$7:$I$206,LOGT!$D$7:$D$206,$A43)/60)</f>
        <v/>
      </c>
      <c r="I43" s="17">
        <f>IFERROR(IF(N($H43)=0,"",3+INT((SUMPRODUCT(MAX((LOGT!$D$7:$D$206=$A43)*LOGT!$A$7:$A$206))-DATE(2026,10,5))/7)),"")</f>
        <v/>
      </c>
      <c r="J43" s="9" t="n"/>
      <c r="K43" s="18">
        <f>IF(OR($A43="",SUM(MYTASK!$F$8:$F$87)=0),"",$F43/SUM(MYTASK!$F$8:$F$87))</f>
        <v/>
      </c>
      <c r="L43" s="18">
        <f>IF($A43="","",IF($J43="Complete",$K43,0))</f>
        <v/>
      </c>
    </row>
    <row r="44">
      <c r="A44" s="9" t="n"/>
      <c r="B44" s="9" t="n"/>
      <c r="C44" s="9" t="n"/>
      <c r="D44" s="8" t="n"/>
      <c r="E44" s="8" t="n"/>
      <c r="F44" s="14" t="n"/>
      <c r="G44" s="15" t="n"/>
      <c r="H44" s="16">
        <f>IF($A44="","",SUMIFS(LOGT!$I$7:$I$206,LOGT!$D$7:$D$206,$A44)/60)</f>
        <v/>
      </c>
      <c r="I44" s="17">
        <f>IFERROR(IF(N($H44)=0,"",3+INT((SUMPRODUCT(MAX((LOGT!$D$7:$D$206=$A44)*LOGT!$A$7:$A$206))-DATE(2026,10,5))/7)),"")</f>
        <v/>
      </c>
      <c r="J44" s="9" t="n"/>
      <c r="K44" s="18">
        <f>IF(OR($A44="",SUM(MYTASK!$F$8:$F$87)=0),"",$F44/SUM(MYTASK!$F$8:$F$87))</f>
        <v/>
      </c>
      <c r="L44" s="18">
        <f>IF($A44="","",IF($J44="Complete",$K44,0))</f>
        <v/>
      </c>
    </row>
    <row r="45">
      <c r="A45" s="9" t="n"/>
      <c r="B45" s="9" t="n"/>
      <c r="C45" s="9" t="n"/>
      <c r="D45" s="8" t="n"/>
      <c r="E45" s="8" t="n"/>
      <c r="F45" s="14" t="n"/>
      <c r="G45" s="15" t="n"/>
      <c r="H45" s="16">
        <f>IF($A45="","",SUMIFS(LOGT!$I$7:$I$206,LOGT!$D$7:$D$206,$A45)/60)</f>
        <v/>
      </c>
      <c r="I45" s="17">
        <f>IFERROR(IF(N($H45)=0,"",3+INT((SUMPRODUCT(MAX((LOGT!$D$7:$D$206=$A45)*LOGT!$A$7:$A$206))-DATE(2026,10,5))/7)),"")</f>
        <v/>
      </c>
      <c r="J45" s="9" t="n"/>
      <c r="K45" s="18">
        <f>IF(OR($A45="",SUM(MYTASK!$F$8:$F$87)=0),"",$F45/SUM(MYTASK!$F$8:$F$87))</f>
        <v/>
      </c>
      <c r="L45" s="18">
        <f>IF($A45="","",IF($J45="Complete",$K45,0))</f>
        <v/>
      </c>
    </row>
    <row r="46">
      <c r="A46" s="9" t="n"/>
      <c r="B46" s="9" t="n"/>
      <c r="C46" s="9" t="n"/>
      <c r="D46" s="8" t="n"/>
      <c r="E46" s="8" t="n"/>
      <c r="F46" s="14" t="n"/>
      <c r="G46" s="15" t="n"/>
      <c r="H46" s="16">
        <f>IF($A46="","",SUMIFS(LOGT!$I$7:$I$206,LOGT!$D$7:$D$206,$A46)/60)</f>
        <v/>
      </c>
      <c r="I46" s="17">
        <f>IFERROR(IF(N($H46)=0,"",3+INT((SUMPRODUCT(MAX((LOGT!$D$7:$D$206=$A46)*LOGT!$A$7:$A$206))-DATE(2026,10,5))/7)),"")</f>
        <v/>
      </c>
      <c r="J46" s="9" t="n"/>
      <c r="K46" s="18">
        <f>IF(OR($A46="",SUM(MYTASK!$F$8:$F$87)=0),"",$F46/SUM(MYTASK!$F$8:$F$87))</f>
        <v/>
      </c>
      <c r="L46" s="18">
        <f>IF($A46="","",IF($J46="Complete",$K46,0))</f>
        <v/>
      </c>
    </row>
    <row r="47">
      <c r="A47" s="9" t="n"/>
      <c r="B47" s="9" t="n"/>
      <c r="C47" s="9" t="n"/>
      <c r="D47" s="8" t="n"/>
      <c r="E47" s="8" t="n"/>
      <c r="F47" s="14" t="n"/>
      <c r="G47" s="15" t="n"/>
      <c r="H47" s="16">
        <f>IF($A47="","",SUMIFS(LOGT!$I$7:$I$206,LOGT!$D$7:$D$206,$A47)/60)</f>
        <v/>
      </c>
      <c r="I47" s="17">
        <f>IFERROR(IF(N($H47)=0,"",3+INT((SUMPRODUCT(MAX((LOGT!$D$7:$D$206=$A47)*LOGT!$A$7:$A$206))-DATE(2026,10,5))/7)),"")</f>
        <v/>
      </c>
      <c r="J47" s="9" t="n"/>
      <c r="K47" s="18">
        <f>IF(OR($A47="",SUM(MYTASK!$F$8:$F$87)=0),"",$F47/SUM(MYTASK!$F$8:$F$87))</f>
        <v/>
      </c>
      <c r="L47" s="18">
        <f>IF($A47="","",IF($J47="Complete",$K47,0))</f>
        <v/>
      </c>
    </row>
    <row r="48">
      <c r="A48" s="9" t="n"/>
      <c r="B48" s="9" t="n"/>
      <c r="C48" s="9" t="n"/>
      <c r="D48" s="8" t="n"/>
      <c r="E48" s="8" t="n"/>
      <c r="F48" s="14" t="n"/>
      <c r="G48" s="15" t="n"/>
      <c r="H48" s="16">
        <f>IF($A48="","",SUMIFS(LOGT!$I$7:$I$206,LOGT!$D$7:$D$206,$A48)/60)</f>
        <v/>
      </c>
      <c r="I48" s="17">
        <f>IFERROR(IF(N($H48)=0,"",3+INT((SUMPRODUCT(MAX((LOGT!$D$7:$D$206=$A48)*LOGT!$A$7:$A$206))-DATE(2026,10,5))/7)),"")</f>
        <v/>
      </c>
      <c r="J48" s="9" t="n"/>
      <c r="K48" s="18">
        <f>IF(OR($A48="",SUM(MYTASK!$F$8:$F$87)=0),"",$F48/SUM(MYTASK!$F$8:$F$87))</f>
        <v/>
      </c>
      <c r="L48" s="18">
        <f>IF($A48="","",IF($J48="Complete",$K48,0))</f>
        <v/>
      </c>
    </row>
    <row r="49">
      <c r="A49" s="9" t="n"/>
      <c r="B49" s="9" t="n"/>
      <c r="C49" s="9" t="n"/>
      <c r="D49" s="8" t="n"/>
      <c r="E49" s="8" t="n"/>
      <c r="F49" s="14" t="n"/>
      <c r="G49" s="15" t="n"/>
      <c r="H49" s="16">
        <f>IF($A49="","",SUMIFS(LOGT!$I$7:$I$206,LOGT!$D$7:$D$206,$A49)/60)</f>
        <v/>
      </c>
      <c r="I49" s="17">
        <f>IFERROR(IF(N($H49)=0,"",3+INT((SUMPRODUCT(MAX((LOGT!$D$7:$D$206=$A49)*LOGT!$A$7:$A$206))-DATE(2026,10,5))/7)),"")</f>
        <v/>
      </c>
      <c r="J49" s="9" t="n"/>
      <c r="K49" s="18">
        <f>IF(OR($A49="",SUM(MYTASK!$F$8:$F$87)=0),"",$F49/SUM(MYTASK!$F$8:$F$87))</f>
        <v/>
      </c>
      <c r="L49" s="18">
        <f>IF($A49="","",IF($J49="Complete",$K49,0))</f>
        <v/>
      </c>
    </row>
    <row r="50">
      <c r="A50" s="9" t="n"/>
      <c r="B50" s="9" t="n"/>
      <c r="C50" s="9" t="n"/>
      <c r="D50" s="8" t="n"/>
      <c r="E50" s="8" t="n"/>
      <c r="F50" s="14" t="n"/>
      <c r="G50" s="15" t="n"/>
      <c r="H50" s="16">
        <f>IF($A50="","",SUMIFS(LOGT!$I$7:$I$206,LOGT!$D$7:$D$206,$A50)/60)</f>
        <v/>
      </c>
      <c r="I50" s="17">
        <f>IFERROR(IF(N($H50)=0,"",3+INT((SUMPRODUCT(MAX((LOGT!$D$7:$D$206=$A50)*LOGT!$A$7:$A$206))-DATE(2026,10,5))/7)),"")</f>
        <v/>
      </c>
      <c r="J50" s="9" t="n"/>
      <c r="K50" s="18">
        <f>IF(OR($A50="",SUM(MYTASK!$F$8:$F$87)=0),"",$F50/SUM(MYTASK!$F$8:$F$87))</f>
        <v/>
      </c>
      <c r="L50" s="18">
        <f>IF($A50="","",IF($J50="Complete",$K50,0))</f>
        <v/>
      </c>
    </row>
    <row r="51">
      <c r="A51" s="9" t="n"/>
      <c r="B51" s="9" t="n"/>
      <c r="C51" s="9" t="n"/>
      <c r="D51" s="8" t="n"/>
      <c r="E51" s="8" t="n"/>
      <c r="F51" s="14" t="n"/>
      <c r="G51" s="15" t="n"/>
      <c r="H51" s="16">
        <f>IF($A51="","",SUMIFS(LOGT!$I$7:$I$206,LOGT!$D$7:$D$206,$A51)/60)</f>
        <v/>
      </c>
      <c r="I51" s="17">
        <f>IFERROR(IF(N($H51)=0,"",3+INT((SUMPRODUCT(MAX((LOGT!$D$7:$D$206=$A51)*LOGT!$A$7:$A$206))-DATE(2026,10,5))/7)),"")</f>
        <v/>
      </c>
      <c r="J51" s="9" t="n"/>
      <c r="K51" s="18">
        <f>IF(OR($A51="",SUM(MYTASK!$F$8:$F$87)=0),"",$F51/SUM(MYTASK!$F$8:$F$87))</f>
        <v/>
      </c>
      <c r="L51" s="18">
        <f>IF($A51="","",IF($J51="Complete",$K51,0))</f>
        <v/>
      </c>
    </row>
    <row r="52">
      <c r="A52" s="9" t="n"/>
      <c r="B52" s="9" t="n"/>
      <c r="C52" s="9" t="n"/>
      <c r="D52" s="8" t="n"/>
      <c r="E52" s="8" t="n"/>
      <c r="F52" s="14" t="n"/>
      <c r="G52" s="15" t="n"/>
      <c r="H52" s="16">
        <f>IF($A52="","",SUMIFS(LOGT!$I$7:$I$206,LOGT!$D$7:$D$206,$A52)/60)</f>
        <v/>
      </c>
      <c r="I52" s="17">
        <f>IFERROR(IF(N($H52)=0,"",3+INT((SUMPRODUCT(MAX((LOGT!$D$7:$D$206=$A52)*LOGT!$A$7:$A$206))-DATE(2026,10,5))/7)),"")</f>
        <v/>
      </c>
      <c r="J52" s="9" t="n"/>
      <c r="K52" s="18">
        <f>IF(OR($A52="",SUM(MYTASK!$F$8:$F$87)=0),"",$F52/SUM(MYTASK!$F$8:$F$87))</f>
        <v/>
      </c>
      <c r="L52" s="18">
        <f>IF($A52="","",IF($J52="Complete",$K52,0))</f>
        <v/>
      </c>
    </row>
    <row r="53">
      <c r="A53" s="9" t="n"/>
      <c r="B53" s="9" t="n"/>
      <c r="C53" s="9" t="n"/>
      <c r="D53" s="8" t="n"/>
      <c r="E53" s="8" t="n"/>
      <c r="F53" s="14" t="n"/>
      <c r="G53" s="15" t="n"/>
      <c r="H53" s="16">
        <f>IF($A53="","",SUMIFS(LOGT!$I$7:$I$206,LOGT!$D$7:$D$206,$A53)/60)</f>
        <v/>
      </c>
      <c r="I53" s="17">
        <f>IFERROR(IF(N($H53)=0,"",3+INT((SUMPRODUCT(MAX((LOGT!$D$7:$D$206=$A53)*LOGT!$A$7:$A$206))-DATE(2026,10,5))/7)),"")</f>
        <v/>
      </c>
      <c r="J53" s="9" t="n"/>
      <c r="K53" s="18">
        <f>IF(OR($A53="",SUM(MYTASK!$F$8:$F$87)=0),"",$F53/SUM(MYTASK!$F$8:$F$87))</f>
        <v/>
      </c>
      <c r="L53" s="18">
        <f>IF($A53="","",IF($J53="Complete",$K53,0))</f>
        <v/>
      </c>
    </row>
    <row r="54">
      <c r="A54" s="9" t="n"/>
      <c r="B54" s="9" t="n"/>
      <c r="C54" s="9" t="n"/>
      <c r="D54" s="8" t="n"/>
      <c r="E54" s="8" t="n"/>
      <c r="F54" s="14" t="n"/>
      <c r="G54" s="15" t="n"/>
      <c r="H54" s="16">
        <f>IF($A54="","",SUMIFS(LOGT!$I$7:$I$206,LOGT!$D$7:$D$206,$A54)/60)</f>
        <v/>
      </c>
      <c r="I54" s="17">
        <f>IFERROR(IF(N($H54)=0,"",3+INT((SUMPRODUCT(MAX((LOGT!$D$7:$D$206=$A54)*LOGT!$A$7:$A$206))-DATE(2026,10,5))/7)),"")</f>
        <v/>
      </c>
      <c r="J54" s="9" t="n"/>
      <c r="K54" s="18">
        <f>IF(OR($A54="",SUM(MYTASK!$F$8:$F$87)=0),"",$F54/SUM(MYTASK!$F$8:$F$87))</f>
        <v/>
      </c>
      <c r="L54" s="18">
        <f>IF($A54="","",IF($J54="Complete",$K54,0))</f>
        <v/>
      </c>
    </row>
    <row r="55">
      <c r="A55" s="9" t="n"/>
      <c r="B55" s="9" t="n"/>
      <c r="C55" s="9" t="n"/>
      <c r="D55" s="8" t="n"/>
      <c r="E55" s="8" t="n"/>
      <c r="F55" s="14" t="n"/>
      <c r="G55" s="15" t="n"/>
      <c r="H55" s="16">
        <f>IF($A55="","",SUMIFS(LOGT!$I$7:$I$206,LOGT!$D$7:$D$206,$A55)/60)</f>
        <v/>
      </c>
      <c r="I55" s="17">
        <f>IFERROR(IF(N($H55)=0,"",3+INT((SUMPRODUCT(MAX((LOGT!$D$7:$D$206=$A55)*LOGT!$A$7:$A$206))-DATE(2026,10,5))/7)),"")</f>
        <v/>
      </c>
      <c r="J55" s="9" t="n"/>
      <c r="K55" s="18">
        <f>IF(OR($A55="",SUM(MYTASK!$F$8:$F$87)=0),"",$F55/SUM(MYTASK!$F$8:$F$87))</f>
        <v/>
      </c>
      <c r="L55" s="18">
        <f>IF($A55="","",IF($J55="Complete",$K55,0))</f>
        <v/>
      </c>
    </row>
    <row r="56">
      <c r="A56" s="9" t="n"/>
      <c r="B56" s="9" t="n"/>
      <c r="C56" s="9" t="n"/>
      <c r="D56" s="8" t="n"/>
      <c r="E56" s="8" t="n"/>
      <c r="F56" s="14" t="n"/>
      <c r="G56" s="15" t="n"/>
      <c r="H56" s="16">
        <f>IF($A56="","",SUMIFS(LOGT!$I$7:$I$206,LOGT!$D$7:$D$206,$A56)/60)</f>
        <v/>
      </c>
      <c r="I56" s="17">
        <f>IFERROR(IF(N($H56)=0,"",3+INT((SUMPRODUCT(MAX((LOGT!$D$7:$D$206=$A56)*LOGT!$A$7:$A$206))-DATE(2026,10,5))/7)),"")</f>
        <v/>
      </c>
      <c r="J56" s="9" t="n"/>
      <c r="K56" s="18">
        <f>IF(OR($A56="",SUM(MYTASK!$F$8:$F$87)=0),"",$F56/SUM(MYTASK!$F$8:$F$87))</f>
        <v/>
      </c>
      <c r="L56" s="18">
        <f>IF($A56="","",IF($J56="Complete",$K56,0))</f>
        <v/>
      </c>
    </row>
    <row r="57">
      <c r="A57" s="9" t="n"/>
      <c r="B57" s="9" t="n"/>
      <c r="C57" s="9" t="n"/>
      <c r="D57" s="8" t="n"/>
      <c r="E57" s="8" t="n"/>
      <c r="F57" s="14" t="n"/>
      <c r="G57" s="15" t="n"/>
      <c r="H57" s="16">
        <f>IF($A57="","",SUMIFS(LOGT!$I$7:$I$206,LOGT!$D$7:$D$206,$A57)/60)</f>
        <v/>
      </c>
      <c r="I57" s="17">
        <f>IFERROR(IF(N($H57)=0,"",3+INT((SUMPRODUCT(MAX((LOGT!$D$7:$D$206=$A57)*LOGT!$A$7:$A$206))-DATE(2026,10,5))/7)),"")</f>
        <v/>
      </c>
      <c r="J57" s="9" t="n"/>
      <c r="K57" s="18">
        <f>IF(OR($A57="",SUM(MYTASK!$F$8:$F$87)=0),"",$F57/SUM(MYTASK!$F$8:$F$87))</f>
        <v/>
      </c>
      <c r="L57" s="18">
        <f>IF($A57="","",IF($J57="Complete",$K57,0))</f>
        <v/>
      </c>
    </row>
    <row r="58">
      <c r="A58" s="9" t="n"/>
      <c r="B58" s="9" t="n"/>
      <c r="C58" s="9" t="n"/>
      <c r="D58" s="8" t="n"/>
      <c r="E58" s="8" t="n"/>
      <c r="F58" s="14" t="n"/>
      <c r="G58" s="15" t="n"/>
      <c r="H58" s="16">
        <f>IF($A58="","",SUMIFS(LOGT!$I$7:$I$206,LOGT!$D$7:$D$206,$A58)/60)</f>
        <v/>
      </c>
      <c r="I58" s="17">
        <f>IFERROR(IF(N($H58)=0,"",3+INT((SUMPRODUCT(MAX((LOGT!$D$7:$D$206=$A58)*LOGT!$A$7:$A$206))-DATE(2026,10,5))/7)),"")</f>
        <v/>
      </c>
      <c r="J58" s="9" t="n"/>
      <c r="K58" s="18">
        <f>IF(OR($A58="",SUM(MYTASK!$F$8:$F$87)=0),"",$F58/SUM(MYTASK!$F$8:$F$87))</f>
        <v/>
      </c>
      <c r="L58" s="18">
        <f>IF($A58="","",IF($J58="Complete",$K58,0))</f>
        <v/>
      </c>
    </row>
    <row r="59">
      <c r="A59" s="9" t="n"/>
      <c r="B59" s="9" t="n"/>
      <c r="C59" s="9" t="n"/>
      <c r="D59" s="8" t="n"/>
      <c r="E59" s="8" t="n"/>
      <c r="F59" s="14" t="n"/>
      <c r="G59" s="15" t="n"/>
      <c r="H59" s="16">
        <f>IF($A59="","",SUMIFS(LOGT!$I$7:$I$206,LOGT!$D$7:$D$206,$A59)/60)</f>
        <v/>
      </c>
      <c r="I59" s="17">
        <f>IFERROR(IF(N($H59)=0,"",3+INT((SUMPRODUCT(MAX((LOGT!$D$7:$D$206=$A59)*LOGT!$A$7:$A$206))-DATE(2026,10,5))/7)),"")</f>
        <v/>
      </c>
      <c r="J59" s="9" t="n"/>
      <c r="K59" s="18">
        <f>IF(OR($A59="",SUM(MYTASK!$F$8:$F$87)=0),"",$F59/SUM(MYTASK!$F$8:$F$87))</f>
        <v/>
      </c>
      <c r="L59" s="18">
        <f>IF($A59="","",IF($J59="Complete",$K59,0))</f>
        <v/>
      </c>
    </row>
    <row r="60">
      <c r="A60" s="9" t="n"/>
      <c r="B60" s="9" t="n"/>
      <c r="C60" s="9" t="n"/>
      <c r="D60" s="8" t="n"/>
      <c r="E60" s="8" t="n"/>
      <c r="F60" s="14" t="n"/>
      <c r="G60" s="15" t="n"/>
      <c r="H60" s="16">
        <f>IF($A60="","",SUMIFS(LOGT!$I$7:$I$206,LOGT!$D$7:$D$206,$A60)/60)</f>
        <v/>
      </c>
      <c r="I60" s="17">
        <f>IFERROR(IF(N($H60)=0,"",3+INT((SUMPRODUCT(MAX((LOGT!$D$7:$D$206=$A60)*LOGT!$A$7:$A$206))-DATE(2026,10,5))/7)),"")</f>
        <v/>
      </c>
      <c r="J60" s="9" t="n"/>
      <c r="K60" s="18">
        <f>IF(OR($A60="",SUM(MYTASK!$F$8:$F$87)=0),"",$F60/SUM(MYTASK!$F$8:$F$87))</f>
        <v/>
      </c>
      <c r="L60" s="18">
        <f>IF($A60="","",IF($J60="Complete",$K60,0))</f>
        <v/>
      </c>
    </row>
    <row r="61">
      <c r="A61" s="9" t="n"/>
      <c r="B61" s="9" t="n"/>
      <c r="C61" s="9" t="n"/>
      <c r="D61" s="8" t="n"/>
      <c r="E61" s="8" t="n"/>
      <c r="F61" s="14" t="n"/>
      <c r="G61" s="15" t="n"/>
      <c r="H61" s="16">
        <f>IF($A61="","",SUMIFS(LOGT!$I$7:$I$206,LOGT!$D$7:$D$206,$A61)/60)</f>
        <v/>
      </c>
      <c r="I61" s="17">
        <f>IFERROR(IF(N($H61)=0,"",3+INT((SUMPRODUCT(MAX((LOGT!$D$7:$D$206=$A61)*LOGT!$A$7:$A$206))-DATE(2026,10,5))/7)),"")</f>
        <v/>
      </c>
      <c r="J61" s="9" t="n"/>
      <c r="K61" s="18">
        <f>IF(OR($A61="",SUM(MYTASK!$F$8:$F$87)=0),"",$F61/SUM(MYTASK!$F$8:$F$87))</f>
        <v/>
      </c>
      <c r="L61" s="18">
        <f>IF($A61="","",IF($J61="Complete",$K61,0))</f>
        <v/>
      </c>
    </row>
    <row r="62">
      <c r="A62" s="9" t="n"/>
      <c r="B62" s="9" t="n"/>
      <c r="C62" s="9" t="n"/>
      <c r="D62" s="8" t="n"/>
      <c r="E62" s="8" t="n"/>
      <c r="F62" s="14" t="n"/>
      <c r="G62" s="15" t="n"/>
      <c r="H62" s="16">
        <f>IF($A62="","",SUMIFS(LOGT!$I$7:$I$206,LOGT!$D$7:$D$206,$A62)/60)</f>
        <v/>
      </c>
      <c r="I62" s="17">
        <f>IFERROR(IF(N($H62)=0,"",3+INT((SUMPRODUCT(MAX((LOGT!$D$7:$D$206=$A62)*LOGT!$A$7:$A$206))-DATE(2026,10,5))/7)),"")</f>
        <v/>
      </c>
      <c r="J62" s="9" t="n"/>
      <c r="K62" s="18">
        <f>IF(OR($A62="",SUM(MYTASK!$F$8:$F$87)=0),"",$F62/SUM(MYTASK!$F$8:$F$87))</f>
        <v/>
      </c>
      <c r="L62" s="18">
        <f>IF($A62="","",IF($J62="Complete",$K62,0))</f>
        <v/>
      </c>
    </row>
    <row r="63">
      <c r="A63" s="9" t="n"/>
      <c r="B63" s="9" t="n"/>
      <c r="C63" s="9" t="n"/>
      <c r="D63" s="8" t="n"/>
      <c r="E63" s="8" t="n"/>
      <c r="F63" s="14" t="n"/>
      <c r="G63" s="15" t="n"/>
      <c r="H63" s="16">
        <f>IF($A63="","",SUMIFS(LOGT!$I$7:$I$206,LOGT!$D$7:$D$206,$A63)/60)</f>
        <v/>
      </c>
      <c r="I63" s="17">
        <f>IFERROR(IF(N($H63)=0,"",3+INT((SUMPRODUCT(MAX((LOGT!$D$7:$D$206=$A63)*LOGT!$A$7:$A$206))-DATE(2026,10,5))/7)),"")</f>
        <v/>
      </c>
      <c r="J63" s="9" t="n"/>
      <c r="K63" s="18">
        <f>IF(OR($A63="",SUM(MYTASK!$F$8:$F$87)=0),"",$F63/SUM(MYTASK!$F$8:$F$87))</f>
        <v/>
      </c>
      <c r="L63" s="18">
        <f>IF($A63="","",IF($J63="Complete",$K63,0))</f>
        <v/>
      </c>
    </row>
    <row r="64">
      <c r="A64" s="9" t="n"/>
      <c r="B64" s="9" t="n"/>
      <c r="C64" s="9" t="n"/>
      <c r="D64" s="8" t="n"/>
      <c r="E64" s="8" t="n"/>
      <c r="F64" s="14" t="n"/>
      <c r="G64" s="15" t="n"/>
      <c r="H64" s="16">
        <f>IF($A64="","",SUMIFS(LOGT!$I$7:$I$206,LOGT!$D$7:$D$206,$A64)/60)</f>
        <v/>
      </c>
      <c r="I64" s="17">
        <f>IFERROR(IF(N($H64)=0,"",3+INT((SUMPRODUCT(MAX((LOGT!$D$7:$D$206=$A64)*LOGT!$A$7:$A$206))-DATE(2026,10,5))/7)),"")</f>
        <v/>
      </c>
      <c r="J64" s="9" t="n"/>
      <c r="K64" s="18">
        <f>IF(OR($A64="",SUM(MYTASK!$F$8:$F$87)=0),"",$F64/SUM(MYTASK!$F$8:$F$87))</f>
        <v/>
      </c>
      <c r="L64" s="18">
        <f>IF($A64="","",IF($J64="Complete",$K64,0))</f>
        <v/>
      </c>
    </row>
    <row r="65">
      <c r="A65" s="9" t="n"/>
      <c r="B65" s="9" t="n"/>
      <c r="C65" s="9" t="n"/>
      <c r="D65" s="8" t="n"/>
      <c r="E65" s="8" t="n"/>
      <c r="F65" s="14" t="n"/>
      <c r="G65" s="15" t="n"/>
      <c r="H65" s="16">
        <f>IF($A65="","",SUMIFS(LOGT!$I$7:$I$206,LOGT!$D$7:$D$206,$A65)/60)</f>
        <v/>
      </c>
      <c r="I65" s="17">
        <f>IFERROR(IF(N($H65)=0,"",3+INT((SUMPRODUCT(MAX((LOGT!$D$7:$D$206=$A65)*LOGT!$A$7:$A$206))-DATE(2026,10,5))/7)),"")</f>
        <v/>
      </c>
      <c r="J65" s="9" t="n"/>
      <c r="K65" s="18">
        <f>IF(OR($A65="",SUM(MYTASK!$F$8:$F$87)=0),"",$F65/SUM(MYTASK!$F$8:$F$87))</f>
        <v/>
      </c>
      <c r="L65" s="18">
        <f>IF($A65="","",IF($J65="Complete",$K65,0))</f>
        <v/>
      </c>
    </row>
    <row r="66">
      <c r="A66" s="9" t="n"/>
      <c r="B66" s="9" t="n"/>
      <c r="C66" s="9" t="n"/>
      <c r="D66" s="8" t="n"/>
      <c r="E66" s="8" t="n"/>
      <c r="F66" s="14" t="n"/>
      <c r="G66" s="15" t="n"/>
      <c r="H66" s="16">
        <f>IF($A66="","",SUMIFS(LOGT!$I$7:$I$206,LOGT!$D$7:$D$206,$A66)/60)</f>
        <v/>
      </c>
      <c r="I66" s="17">
        <f>IFERROR(IF(N($H66)=0,"",3+INT((SUMPRODUCT(MAX((LOGT!$D$7:$D$206=$A66)*LOGT!$A$7:$A$206))-DATE(2026,10,5))/7)),"")</f>
        <v/>
      </c>
      <c r="J66" s="9" t="n"/>
      <c r="K66" s="18">
        <f>IF(OR($A66="",SUM(MYTASK!$F$8:$F$87)=0),"",$F66/SUM(MYTASK!$F$8:$F$87))</f>
        <v/>
      </c>
      <c r="L66" s="18">
        <f>IF($A66="","",IF($J66="Complete",$K66,0))</f>
        <v/>
      </c>
    </row>
    <row r="67">
      <c r="A67" s="9" t="n"/>
      <c r="B67" s="9" t="n"/>
      <c r="C67" s="9" t="n"/>
      <c r="D67" s="8" t="n"/>
      <c r="E67" s="8" t="n"/>
      <c r="F67" s="14" t="n"/>
      <c r="G67" s="15" t="n"/>
      <c r="H67" s="16">
        <f>IF($A67="","",SUMIFS(LOGT!$I$7:$I$206,LOGT!$D$7:$D$206,$A67)/60)</f>
        <v/>
      </c>
      <c r="I67" s="17">
        <f>IFERROR(IF(N($H67)=0,"",3+INT((SUMPRODUCT(MAX((LOGT!$D$7:$D$206=$A67)*LOGT!$A$7:$A$206))-DATE(2026,10,5))/7)),"")</f>
        <v/>
      </c>
      <c r="J67" s="9" t="n"/>
      <c r="K67" s="18">
        <f>IF(OR($A67="",SUM(MYTASK!$F$8:$F$87)=0),"",$F67/SUM(MYTASK!$F$8:$F$87))</f>
        <v/>
      </c>
      <c r="L67" s="18">
        <f>IF($A67="","",IF($J67="Complete",$K67,0))</f>
        <v/>
      </c>
    </row>
    <row r="68">
      <c r="A68" s="9" t="n"/>
      <c r="B68" s="9" t="n"/>
      <c r="C68" s="9" t="n"/>
      <c r="D68" s="8" t="n"/>
      <c r="E68" s="8" t="n"/>
      <c r="F68" s="14" t="n"/>
      <c r="G68" s="15" t="n"/>
      <c r="H68" s="16">
        <f>IF($A68="","",SUMIFS(LOGT!$I$7:$I$206,LOGT!$D$7:$D$206,$A68)/60)</f>
        <v/>
      </c>
      <c r="I68" s="17">
        <f>IFERROR(IF(N($H68)=0,"",3+INT((SUMPRODUCT(MAX((LOGT!$D$7:$D$206=$A68)*LOGT!$A$7:$A$206))-DATE(2026,10,5))/7)),"")</f>
        <v/>
      </c>
      <c r="J68" s="9" t="n"/>
      <c r="K68" s="18">
        <f>IF(OR($A68="",SUM(MYTASK!$F$8:$F$87)=0),"",$F68/SUM(MYTASK!$F$8:$F$87))</f>
        <v/>
      </c>
      <c r="L68" s="18">
        <f>IF($A68="","",IF($J68="Complete",$K68,0))</f>
        <v/>
      </c>
    </row>
    <row r="69">
      <c r="A69" s="9" t="n"/>
      <c r="B69" s="9" t="n"/>
      <c r="C69" s="9" t="n"/>
      <c r="D69" s="8" t="n"/>
      <c r="E69" s="8" t="n"/>
      <c r="F69" s="14" t="n"/>
      <c r="G69" s="15" t="n"/>
      <c r="H69" s="16">
        <f>IF($A69="","",SUMIFS(LOGT!$I$7:$I$206,LOGT!$D$7:$D$206,$A69)/60)</f>
        <v/>
      </c>
      <c r="I69" s="17">
        <f>IFERROR(IF(N($H69)=0,"",3+INT((SUMPRODUCT(MAX((LOGT!$D$7:$D$206=$A69)*LOGT!$A$7:$A$206))-DATE(2026,10,5))/7)),"")</f>
        <v/>
      </c>
      <c r="J69" s="9" t="n"/>
      <c r="K69" s="18">
        <f>IF(OR($A69="",SUM(MYTASK!$F$8:$F$87)=0),"",$F69/SUM(MYTASK!$F$8:$F$87))</f>
        <v/>
      </c>
      <c r="L69" s="18">
        <f>IF($A69="","",IF($J69="Complete",$K69,0))</f>
        <v/>
      </c>
    </row>
    <row r="70">
      <c r="A70" s="9" t="n"/>
      <c r="B70" s="9" t="n"/>
      <c r="C70" s="9" t="n"/>
      <c r="D70" s="8" t="n"/>
      <c r="E70" s="8" t="n"/>
      <c r="F70" s="14" t="n"/>
      <c r="G70" s="15" t="n"/>
      <c r="H70" s="16">
        <f>IF($A70="","",SUMIFS(LOGT!$I$7:$I$206,LOGT!$D$7:$D$206,$A70)/60)</f>
        <v/>
      </c>
      <c r="I70" s="17">
        <f>IFERROR(IF(N($H70)=0,"",3+INT((SUMPRODUCT(MAX((LOGT!$D$7:$D$206=$A70)*LOGT!$A$7:$A$206))-DATE(2026,10,5))/7)),"")</f>
        <v/>
      </c>
      <c r="J70" s="9" t="n"/>
      <c r="K70" s="18">
        <f>IF(OR($A70="",SUM(MYTASK!$F$8:$F$87)=0),"",$F70/SUM(MYTASK!$F$8:$F$87))</f>
        <v/>
      </c>
      <c r="L70" s="18">
        <f>IF($A70="","",IF($J70="Complete",$K70,0))</f>
        <v/>
      </c>
    </row>
    <row r="71">
      <c r="A71" s="9" t="n"/>
      <c r="B71" s="9" t="n"/>
      <c r="C71" s="9" t="n"/>
      <c r="D71" s="8" t="n"/>
      <c r="E71" s="8" t="n"/>
      <c r="F71" s="14" t="n"/>
      <c r="G71" s="15" t="n"/>
      <c r="H71" s="16">
        <f>IF($A71="","",SUMIFS(LOGT!$I$7:$I$206,LOGT!$D$7:$D$206,$A71)/60)</f>
        <v/>
      </c>
      <c r="I71" s="17">
        <f>IFERROR(IF(N($H71)=0,"",3+INT((SUMPRODUCT(MAX((LOGT!$D$7:$D$206=$A71)*LOGT!$A$7:$A$206))-DATE(2026,10,5))/7)),"")</f>
        <v/>
      </c>
      <c r="J71" s="9" t="n"/>
      <c r="K71" s="18">
        <f>IF(OR($A71="",SUM(MYTASK!$F$8:$F$87)=0),"",$F71/SUM(MYTASK!$F$8:$F$87))</f>
        <v/>
      </c>
      <c r="L71" s="18">
        <f>IF($A71="","",IF($J71="Complete",$K71,0))</f>
        <v/>
      </c>
    </row>
    <row r="72">
      <c r="A72" s="9" t="n"/>
      <c r="B72" s="9" t="n"/>
      <c r="C72" s="9" t="n"/>
      <c r="D72" s="8" t="n"/>
      <c r="E72" s="8" t="n"/>
      <c r="F72" s="14" t="n"/>
      <c r="G72" s="15" t="n"/>
      <c r="H72" s="16">
        <f>IF($A72="","",SUMIFS(LOGT!$I$7:$I$206,LOGT!$D$7:$D$206,$A72)/60)</f>
        <v/>
      </c>
      <c r="I72" s="17">
        <f>IFERROR(IF(N($H72)=0,"",3+INT((SUMPRODUCT(MAX((LOGT!$D$7:$D$206=$A72)*LOGT!$A$7:$A$206))-DATE(2026,10,5))/7)),"")</f>
        <v/>
      </c>
      <c r="J72" s="9" t="n"/>
      <c r="K72" s="18">
        <f>IF(OR($A72="",SUM(MYTASK!$F$8:$F$87)=0),"",$F72/SUM(MYTASK!$F$8:$F$87))</f>
        <v/>
      </c>
      <c r="L72" s="18">
        <f>IF($A72="","",IF($J72="Complete",$K72,0))</f>
        <v/>
      </c>
    </row>
    <row r="73">
      <c r="A73" s="9" t="n"/>
      <c r="B73" s="9" t="n"/>
      <c r="C73" s="9" t="n"/>
      <c r="D73" s="8" t="n"/>
      <c r="E73" s="8" t="n"/>
      <c r="F73" s="14" t="n"/>
      <c r="G73" s="15" t="n"/>
      <c r="H73" s="16">
        <f>IF($A73="","",SUMIFS(LOGT!$I$7:$I$206,LOGT!$D$7:$D$206,$A73)/60)</f>
        <v/>
      </c>
      <c r="I73" s="17">
        <f>IFERROR(IF(N($H73)=0,"",3+INT((SUMPRODUCT(MAX((LOGT!$D$7:$D$206=$A73)*LOGT!$A$7:$A$206))-DATE(2026,10,5))/7)),"")</f>
        <v/>
      </c>
      <c r="J73" s="9" t="n"/>
      <c r="K73" s="18">
        <f>IF(OR($A73="",SUM(MYTASK!$F$8:$F$87)=0),"",$F73/SUM(MYTASK!$F$8:$F$87))</f>
        <v/>
      </c>
      <c r="L73" s="18">
        <f>IF($A73="","",IF($J73="Complete",$K73,0))</f>
        <v/>
      </c>
    </row>
    <row r="74">
      <c r="A74" s="9" t="n"/>
      <c r="B74" s="9" t="n"/>
      <c r="C74" s="9" t="n"/>
      <c r="D74" s="8" t="n"/>
      <c r="E74" s="8" t="n"/>
      <c r="F74" s="14" t="n"/>
      <c r="G74" s="15" t="n"/>
      <c r="H74" s="16">
        <f>IF($A74="","",SUMIFS(LOGT!$I$7:$I$206,LOGT!$D$7:$D$206,$A74)/60)</f>
        <v/>
      </c>
      <c r="I74" s="17">
        <f>IFERROR(IF(N($H74)=0,"",3+INT((SUMPRODUCT(MAX((LOGT!$D$7:$D$206=$A74)*LOGT!$A$7:$A$206))-DATE(2026,10,5))/7)),"")</f>
        <v/>
      </c>
      <c r="J74" s="9" t="n"/>
      <c r="K74" s="18">
        <f>IF(OR($A74="",SUM(MYTASK!$F$8:$F$87)=0),"",$F74/SUM(MYTASK!$F$8:$F$87))</f>
        <v/>
      </c>
      <c r="L74" s="18">
        <f>IF($A74="","",IF($J74="Complete",$K74,0))</f>
        <v/>
      </c>
    </row>
    <row r="75">
      <c r="A75" s="9" t="n"/>
      <c r="B75" s="9" t="n"/>
      <c r="C75" s="9" t="n"/>
      <c r="D75" s="8" t="n"/>
      <c r="E75" s="8" t="n"/>
      <c r="F75" s="14" t="n"/>
      <c r="G75" s="15" t="n"/>
      <c r="H75" s="16">
        <f>IF($A75="","",SUMIFS(LOGT!$I$7:$I$206,LOGT!$D$7:$D$206,$A75)/60)</f>
        <v/>
      </c>
      <c r="I75" s="17">
        <f>IFERROR(IF(N($H75)=0,"",3+INT((SUMPRODUCT(MAX((LOGT!$D$7:$D$206=$A75)*LOGT!$A$7:$A$206))-DATE(2026,10,5))/7)),"")</f>
        <v/>
      </c>
      <c r="J75" s="9" t="n"/>
      <c r="K75" s="18">
        <f>IF(OR($A75="",SUM(MYTASK!$F$8:$F$87)=0),"",$F75/SUM(MYTASK!$F$8:$F$87))</f>
        <v/>
      </c>
      <c r="L75" s="18">
        <f>IF($A75="","",IF($J75="Complete",$K75,0))</f>
        <v/>
      </c>
    </row>
    <row r="76">
      <c r="A76" s="9" t="n"/>
      <c r="B76" s="9" t="n"/>
      <c r="C76" s="9" t="n"/>
      <c r="D76" s="8" t="n"/>
      <c r="E76" s="8" t="n"/>
      <c r="F76" s="14" t="n"/>
      <c r="G76" s="15" t="n"/>
      <c r="H76" s="16">
        <f>IF($A76="","",SUMIFS(LOGT!$I$7:$I$206,LOGT!$D$7:$D$206,$A76)/60)</f>
        <v/>
      </c>
      <c r="I76" s="17">
        <f>IFERROR(IF(N($H76)=0,"",3+INT((SUMPRODUCT(MAX((LOGT!$D$7:$D$206=$A76)*LOGT!$A$7:$A$206))-DATE(2026,10,5))/7)),"")</f>
        <v/>
      </c>
      <c r="J76" s="9" t="n"/>
      <c r="K76" s="18">
        <f>IF(OR($A76="",SUM(MYTASK!$F$8:$F$87)=0),"",$F76/SUM(MYTASK!$F$8:$F$87))</f>
        <v/>
      </c>
      <c r="L76" s="18">
        <f>IF($A76="","",IF($J76="Complete",$K76,0))</f>
        <v/>
      </c>
    </row>
    <row r="77">
      <c r="A77" s="9" t="n"/>
      <c r="B77" s="9" t="n"/>
      <c r="C77" s="9" t="n"/>
      <c r="D77" s="8" t="n"/>
      <c r="E77" s="8" t="n"/>
      <c r="F77" s="14" t="n"/>
      <c r="G77" s="15" t="n"/>
      <c r="H77" s="16">
        <f>IF($A77="","",SUMIFS(LOGT!$I$7:$I$206,LOGT!$D$7:$D$206,$A77)/60)</f>
        <v/>
      </c>
      <c r="I77" s="17">
        <f>IFERROR(IF(N($H77)=0,"",3+INT((SUMPRODUCT(MAX((LOGT!$D$7:$D$206=$A77)*LOGT!$A$7:$A$206))-DATE(2026,10,5))/7)),"")</f>
        <v/>
      </c>
      <c r="J77" s="9" t="n"/>
      <c r="K77" s="18">
        <f>IF(OR($A77="",SUM(MYTASK!$F$8:$F$87)=0),"",$F77/SUM(MYTASK!$F$8:$F$87))</f>
        <v/>
      </c>
      <c r="L77" s="18">
        <f>IF($A77="","",IF($J77="Complete",$K77,0))</f>
        <v/>
      </c>
    </row>
    <row r="78">
      <c r="A78" s="9" t="n"/>
      <c r="B78" s="9" t="n"/>
      <c r="C78" s="9" t="n"/>
      <c r="D78" s="8" t="n"/>
      <c r="E78" s="8" t="n"/>
      <c r="F78" s="14" t="n"/>
      <c r="G78" s="15" t="n"/>
      <c r="H78" s="16">
        <f>IF($A78="","",SUMIFS(LOGT!$I$7:$I$206,LOGT!$D$7:$D$206,$A78)/60)</f>
        <v/>
      </c>
      <c r="I78" s="17">
        <f>IFERROR(IF(N($H78)=0,"",3+INT((SUMPRODUCT(MAX((LOGT!$D$7:$D$206=$A78)*LOGT!$A$7:$A$206))-DATE(2026,10,5))/7)),"")</f>
        <v/>
      </c>
      <c r="J78" s="9" t="n"/>
      <c r="K78" s="18">
        <f>IF(OR($A78="",SUM(MYTASK!$F$8:$F$87)=0),"",$F78/SUM(MYTASK!$F$8:$F$87))</f>
        <v/>
      </c>
      <c r="L78" s="18">
        <f>IF($A78="","",IF($J78="Complete",$K78,0))</f>
        <v/>
      </c>
    </row>
    <row r="79">
      <c r="A79" s="9" t="n"/>
      <c r="B79" s="9" t="n"/>
      <c r="C79" s="9" t="n"/>
      <c r="D79" s="8" t="n"/>
      <c r="E79" s="8" t="n"/>
      <c r="F79" s="14" t="n"/>
      <c r="G79" s="15" t="n"/>
      <c r="H79" s="16">
        <f>IF($A79="","",SUMIFS(LOGT!$I$7:$I$206,LOGT!$D$7:$D$206,$A79)/60)</f>
        <v/>
      </c>
      <c r="I79" s="17">
        <f>IFERROR(IF(N($H79)=0,"",3+INT((SUMPRODUCT(MAX((LOGT!$D$7:$D$206=$A79)*LOGT!$A$7:$A$206))-DATE(2026,10,5))/7)),"")</f>
        <v/>
      </c>
      <c r="J79" s="9" t="n"/>
      <c r="K79" s="18">
        <f>IF(OR($A79="",SUM(MYTASK!$F$8:$F$87)=0),"",$F79/SUM(MYTASK!$F$8:$F$87))</f>
        <v/>
      </c>
      <c r="L79" s="18">
        <f>IF($A79="","",IF($J79="Complete",$K79,0))</f>
        <v/>
      </c>
    </row>
    <row r="80">
      <c r="A80" s="9" t="n"/>
      <c r="B80" s="9" t="n"/>
      <c r="C80" s="9" t="n"/>
      <c r="D80" s="8" t="n"/>
      <c r="E80" s="8" t="n"/>
      <c r="F80" s="14" t="n"/>
      <c r="G80" s="15" t="n"/>
      <c r="H80" s="16">
        <f>IF($A80="","",SUMIFS(LOGT!$I$7:$I$206,LOGT!$D$7:$D$206,$A80)/60)</f>
        <v/>
      </c>
      <c r="I80" s="17">
        <f>IFERROR(IF(N($H80)=0,"",3+INT((SUMPRODUCT(MAX((LOGT!$D$7:$D$206=$A80)*LOGT!$A$7:$A$206))-DATE(2026,10,5))/7)),"")</f>
        <v/>
      </c>
      <c r="J80" s="9" t="n"/>
      <c r="K80" s="18">
        <f>IF(OR($A80="",SUM(MYTASK!$F$8:$F$87)=0),"",$F80/SUM(MYTASK!$F$8:$F$87))</f>
        <v/>
      </c>
      <c r="L80" s="18">
        <f>IF($A80="","",IF($J80="Complete",$K80,0))</f>
        <v/>
      </c>
    </row>
    <row r="81">
      <c r="A81" s="9" t="n"/>
      <c r="B81" s="9" t="n"/>
      <c r="C81" s="9" t="n"/>
      <c r="D81" s="8" t="n"/>
      <c r="E81" s="8" t="n"/>
      <c r="F81" s="14" t="n"/>
      <c r="G81" s="15" t="n"/>
      <c r="H81" s="16">
        <f>IF($A81="","",SUMIFS(LOGT!$I$7:$I$206,LOGT!$D$7:$D$206,$A81)/60)</f>
        <v/>
      </c>
      <c r="I81" s="17">
        <f>IFERROR(IF(N($H81)=0,"",3+INT((SUMPRODUCT(MAX((LOGT!$D$7:$D$206=$A81)*LOGT!$A$7:$A$206))-DATE(2026,10,5))/7)),"")</f>
        <v/>
      </c>
      <c r="J81" s="9" t="n"/>
      <c r="K81" s="18">
        <f>IF(OR($A81="",SUM(MYTASK!$F$8:$F$87)=0),"",$F81/SUM(MYTASK!$F$8:$F$87))</f>
        <v/>
      </c>
      <c r="L81" s="18">
        <f>IF($A81="","",IF($J81="Complete",$K81,0))</f>
        <v/>
      </c>
    </row>
    <row r="82">
      <c r="A82" s="9" t="n"/>
      <c r="B82" s="9" t="n"/>
      <c r="C82" s="9" t="n"/>
      <c r="D82" s="8" t="n"/>
      <c r="E82" s="8" t="n"/>
      <c r="F82" s="14" t="n"/>
      <c r="G82" s="15" t="n"/>
      <c r="H82" s="16">
        <f>IF($A82="","",SUMIFS(LOGT!$I$7:$I$206,LOGT!$D$7:$D$206,$A82)/60)</f>
        <v/>
      </c>
      <c r="I82" s="17">
        <f>IFERROR(IF(N($H82)=0,"",3+INT((SUMPRODUCT(MAX((LOGT!$D$7:$D$206=$A82)*LOGT!$A$7:$A$206))-DATE(2026,10,5))/7)),"")</f>
        <v/>
      </c>
      <c r="J82" s="9" t="n"/>
      <c r="K82" s="18">
        <f>IF(OR($A82="",SUM(MYTASK!$F$8:$F$87)=0),"",$F82/SUM(MYTASK!$F$8:$F$87))</f>
        <v/>
      </c>
      <c r="L82" s="18">
        <f>IF($A82="","",IF($J82="Complete",$K82,0))</f>
        <v/>
      </c>
    </row>
    <row r="83">
      <c r="A83" s="9" t="n"/>
      <c r="B83" s="9" t="n"/>
      <c r="C83" s="9" t="n"/>
      <c r="D83" s="8" t="n"/>
      <c r="E83" s="8" t="n"/>
      <c r="F83" s="14" t="n"/>
      <c r="G83" s="15" t="n"/>
      <c r="H83" s="16">
        <f>IF($A83="","",SUMIFS(LOGT!$I$7:$I$206,LOGT!$D$7:$D$206,$A83)/60)</f>
        <v/>
      </c>
      <c r="I83" s="17">
        <f>IFERROR(IF(N($H83)=0,"",3+INT((SUMPRODUCT(MAX((LOGT!$D$7:$D$206=$A83)*LOGT!$A$7:$A$206))-DATE(2026,10,5))/7)),"")</f>
        <v/>
      </c>
      <c r="J83" s="9" t="n"/>
      <c r="K83" s="18">
        <f>IF(OR($A83="",SUM(MYTASK!$F$8:$F$87)=0),"",$F83/SUM(MYTASK!$F$8:$F$87))</f>
        <v/>
      </c>
      <c r="L83" s="18">
        <f>IF($A83="","",IF($J83="Complete",$K83,0))</f>
        <v/>
      </c>
    </row>
    <row r="84">
      <c r="A84" s="9" t="n"/>
      <c r="B84" s="9" t="n"/>
      <c r="C84" s="9" t="n"/>
      <c r="D84" s="8" t="n"/>
      <c r="E84" s="8" t="n"/>
      <c r="F84" s="14" t="n"/>
      <c r="G84" s="15" t="n"/>
      <c r="H84" s="16">
        <f>IF($A84="","",SUMIFS(LOGT!$I$7:$I$206,LOGT!$D$7:$D$206,$A84)/60)</f>
        <v/>
      </c>
      <c r="I84" s="17">
        <f>IFERROR(IF(N($H84)=0,"",3+INT((SUMPRODUCT(MAX((LOGT!$D$7:$D$206=$A84)*LOGT!$A$7:$A$206))-DATE(2026,10,5))/7)),"")</f>
        <v/>
      </c>
      <c r="J84" s="9" t="n"/>
      <c r="K84" s="18">
        <f>IF(OR($A84="",SUM(MYTASK!$F$8:$F$87)=0),"",$F84/SUM(MYTASK!$F$8:$F$87))</f>
        <v/>
      </c>
      <c r="L84" s="18">
        <f>IF($A84="","",IF($J84="Complete",$K84,0))</f>
        <v/>
      </c>
    </row>
    <row r="85">
      <c r="A85" s="9" t="n"/>
      <c r="B85" s="9" t="n"/>
      <c r="C85" s="9" t="n"/>
      <c r="D85" s="8" t="n"/>
      <c r="E85" s="8" t="n"/>
      <c r="F85" s="14" t="n"/>
      <c r="G85" s="15" t="n"/>
      <c r="H85" s="16">
        <f>IF($A85="","",SUMIFS(LOGT!$I$7:$I$206,LOGT!$D$7:$D$206,$A85)/60)</f>
        <v/>
      </c>
      <c r="I85" s="17">
        <f>IFERROR(IF(N($H85)=0,"",3+INT((SUMPRODUCT(MAX((LOGT!$D$7:$D$206=$A85)*LOGT!$A$7:$A$206))-DATE(2026,10,5))/7)),"")</f>
        <v/>
      </c>
      <c r="J85" s="9" t="n"/>
      <c r="K85" s="18">
        <f>IF(OR($A85="",SUM(MYTASK!$F$8:$F$87)=0),"",$F85/SUM(MYTASK!$F$8:$F$87))</f>
        <v/>
      </c>
      <c r="L85" s="18">
        <f>IF($A85="","",IF($J85="Complete",$K85,0))</f>
        <v/>
      </c>
    </row>
    <row r="86">
      <c r="A86" s="9" t="n"/>
      <c r="B86" s="9" t="n"/>
      <c r="C86" s="9" t="n"/>
      <c r="D86" s="8" t="n"/>
      <c r="E86" s="8" t="n"/>
      <c r="F86" s="14" t="n"/>
      <c r="G86" s="15" t="n"/>
      <c r="H86" s="16">
        <f>IF($A86="","",SUMIFS(LOGT!$I$7:$I$206,LOGT!$D$7:$D$206,$A86)/60)</f>
        <v/>
      </c>
      <c r="I86" s="17">
        <f>IFERROR(IF(N($H86)=0,"",3+INT((SUMPRODUCT(MAX((LOGT!$D$7:$D$206=$A86)*LOGT!$A$7:$A$206))-DATE(2026,10,5))/7)),"")</f>
        <v/>
      </c>
      <c r="J86" s="9" t="n"/>
      <c r="K86" s="18">
        <f>IF(OR($A86="",SUM(MYTASK!$F$8:$F$87)=0),"",$F86/SUM(MYTASK!$F$8:$F$87))</f>
        <v/>
      </c>
      <c r="L86" s="18">
        <f>IF($A86="","",IF($J86="Complete",$K86,0))</f>
        <v/>
      </c>
    </row>
    <row r="87">
      <c r="A87" s="9" t="n"/>
      <c r="B87" s="9" t="n"/>
      <c r="C87" s="9" t="n"/>
      <c r="D87" s="8" t="n"/>
      <c r="E87" s="8" t="n"/>
      <c r="F87" s="14" t="n"/>
      <c r="G87" s="15" t="n"/>
      <c r="H87" s="16">
        <f>IF($A87="","",SUMIFS(LOGT!$I$7:$I$206,LOGT!$D$7:$D$206,$A87)/60)</f>
        <v/>
      </c>
      <c r="I87" s="17">
        <f>IFERROR(IF(N($H87)=0,"",3+INT((SUMPRODUCT(MAX((LOGT!$D$7:$D$206=$A87)*LOGT!$A$7:$A$206))-DATE(2026,10,5))/7)),"")</f>
        <v/>
      </c>
      <c r="J87" s="9" t="n"/>
      <c r="K87" s="18">
        <f>IF(OR($A87="",SUM(MYTASK!$F$8:$F$87)=0),"",$F87/SUM(MYTASK!$F$8:$F$87))</f>
        <v/>
      </c>
      <c r="L87" s="18">
        <f>IF($A87="","",IF($J87="Complete",$K87,0))</f>
        <v/>
      </c>
    </row>
  </sheetData>
  <mergeCells count="2">
    <mergeCell ref="A2:L2"/>
    <mergeCell ref="A1:L1"/>
  </mergeCells>
  <conditionalFormatting sqref="J8:J87">
    <cfRule type="cellIs" priority="1" operator="equal" dxfId="0">
      <formula>"Complete"</formula>
    </cfRule>
  </conditionalFormatting>
  <dataValidations count="3">
    <dataValidation sqref="B8:B87" showDropDown="0" showInputMessage="0" showErrorMessage="0" allowBlank="1" error="Pick a value from the list." promptTitle="Milestone" type="list">
      <formula1>=LISTS!$D$5:$D$8</formula1>
    </dataValidation>
    <dataValidation sqref="C8:C87" showDropDown="0" showInputMessage="0" showErrorMessage="0" allowBlank="1" error="Pick a value from the list." promptTitle="Phase" type="list">
      <formula1>=LISTS!$A$5:$A$31</formula1>
    </dataValidation>
    <dataValidation sqref="J8:J87" showDropDown="0" showInputMessage="0" showErrorMessage="0" allowBlank="1" error="Pick a value from the list." promptTitle="Status" type="list">
      <formula1>=LISTS!$H$5:$H$9</formula1>
    </dataValidation>
  </dataValidations>
  <printOptions horizontalCentered="1"/>
  <pageMargins left="0.75" right="0.75" top="1" bottom="1" header="0.5" footer="0.5"/>
  <pageSetup orientation="landscape" paperSize="9" fitToHeight="0" fitToWidth="1"/>
  <headerFooter>
    <oddHeader/>
    <oddFooter>&amp;R&amp;8 TMA3084 member workbook v3.0  -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14505C"/>
    <outlinePr summaryBelow="1" summaryRight="1"/>
    <pageSetUpPr fitToPage="1"/>
  </sheetPr>
  <dimension ref="A1:J20"/>
  <sheetViews>
    <sheetView showGridLines="0" workbookViewId="0">
      <pane ySplit="7" topLeftCell="A8" activePane="bottomLeft" state="frozen"/>
      <selection pane="bottomLeft" activeCell="A1" sqref="A1"/>
    </sheetView>
  </sheetViews>
  <sheetFormatPr baseColWidth="8" defaultRowHeight="15"/>
  <cols>
    <col width="8" customWidth="1" min="1" max="1"/>
    <col width="14" customWidth="1" min="2" max="2"/>
    <col width="12" customWidth="1" min="3" max="3"/>
    <col width="13" customWidth="1" min="4" max="4"/>
    <col width="12" customWidth="1" min="5" max="5"/>
    <col width="13" customWidth="1" min="6" max="6"/>
    <col width="12" customWidth="1" min="7" max="7"/>
    <col width="12" customWidth="1" min="8" max="8"/>
    <col width="13" customWidth="1" min="9" max="9"/>
    <col width="34" customWidth="1" min="10" max="10"/>
  </cols>
  <sheetData>
    <row r="1" ht="30" customHeight="1">
      <c r="A1" s="1" t="inlineStr">
        <is>
          <t>My Weekly Schedule</t>
        </is>
      </c>
    </row>
    <row r="2" ht="16" customHeight="1">
      <c r="A2" s="2" t="inlineStr">
        <is>
          <t>What you planned to put in each week, against what you actually did.</t>
        </is>
      </c>
    </row>
    <row r="4">
      <c r="A4" s="7" t="inlineStr">
        <is>
          <t>Member</t>
        </is>
      </c>
      <c r="B4" s="10">
        <f>SETUP!$C$5</f>
        <v/>
      </c>
      <c r="E4" s="7" t="inlineStr">
        <is>
          <t>Task plan hrs</t>
        </is>
      </c>
      <c r="F4" s="12">
        <f>SUM(MYTASK!$F$8:$F$87)</f>
        <v/>
      </c>
      <c r="G4" s="7" t="inlineStr">
        <is>
          <t>Schedule hrs</t>
        </is>
      </c>
      <c r="H4" s="12">
        <f>SUM(C8:C20)</f>
        <v/>
      </c>
      <c r="I4" s="7" t="inlineStr">
        <is>
          <t>Difference</t>
        </is>
      </c>
      <c r="J4" s="12">
        <f>H4-F4</f>
        <v/>
      </c>
    </row>
    <row r="7" ht="28" customHeight="1">
      <c r="A7" s="13" t="inlineStr">
        <is>
          <t>Week</t>
        </is>
      </c>
      <c r="B7" s="13" t="inlineStr">
        <is>
          <t>Week starting</t>
        </is>
      </c>
      <c r="C7" s="13" t="inlineStr">
        <is>
          <t>Plan hrs</t>
        </is>
      </c>
      <c r="D7" s="13" t="inlineStr">
        <is>
          <t>Cum plan</t>
        </is>
      </c>
      <c r="E7" s="13" t="inlineStr">
        <is>
          <t>Actual hrs</t>
        </is>
      </c>
      <c r="F7" s="13" t="inlineStr">
        <is>
          <t>Cum actual</t>
        </is>
      </c>
      <c r="G7" s="13" t="inlineStr">
        <is>
          <t>Plan value</t>
        </is>
      </c>
      <c r="H7" s="13" t="inlineStr">
        <is>
          <t>Earned value</t>
        </is>
      </c>
      <c r="I7" s="13" t="inlineStr">
        <is>
          <t>Cum EV</t>
        </is>
      </c>
      <c r="J7" s="13" t="inlineStr">
        <is>
          <t>Comment</t>
        </is>
      </c>
    </row>
    <row r="8">
      <c r="A8" s="19" t="n">
        <v>3</v>
      </c>
      <c r="B8" s="20" t="n">
        <v>46300</v>
      </c>
      <c r="C8" s="14" t="n"/>
      <c r="D8" s="16">
        <f>SUM($C$8:$C8)</f>
        <v/>
      </c>
      <c r="E8" s="16">
        <f>SUMIFS(LOGT!$J$7:$J$206,LOGT!$C$7:$C$206,$A8)/60</f>
        <v/>
      </c>
      <c r="F8" s="16">
        <f>SUM($E$8:$E8)</f>
        <v/>
      </c>
      <c r="G8" s="18">
        <f>SUMIFS(MYTASK!$K$8:$K$87,MYTASK!$G$8:$G$87,$A8)</f>
        <v/>
      </c>
      <c r="H8" s="18">
        <f>SUMIFS(MYTASK!$L$8:$L$87,MYTASK!$I$8:$I$87,$A8)</f>
        <v/>
      </c>
      <c r="I8" s="18">
        <f>SUM($H$8:$H8)</f>
        <v/>
      </c>
      <c r="J8" s="8" t="n"/>
    </row>
    <row r="9">
      <c r="A9" s="19" t="n">
        <v>4</v>
      </c>
      <c r="B9" s="20" t="n">
        <v>46307</v>
      </c>
      <c r="C9" s="14" t="n"/>
      <c r="D9" s="16">
        <f>SUM($C$8:$C9)</f>
        <v/>
      </c>
      <c r="E9" s="16">
        <f>SUMIFS(LOGT!$J$7:$J$206,LOGT!$C$7:$C$206,$A9)/60</f>
        <v/>
      </c>
      <c r="F9" s="16">
        <f>SUM($E$8:$E9)</f>
        <v/>
      </c>
      <c r="G9" s="18">
        <f>SUMIFS(MYTASK!$K$8:$K$87,MYTASK!$G$8:$G$87,$A9)</f>
        <v/>
      </c>
      <c r="H9" s="18">
        <f>SUMIFS(MYTASK!$L$8:$L$87,MYTASK!$I$8:$I$87,$A9)</f>
        <v/>
      </c>
      <c r="I9" s="18">
        <f>SUM($H$8:$H9)</f>
        <v/>
      </c>
      <c r="J9" s="8" t="n"/>
    </row>
    <row r="10">
      <c r="A10" s="19" t="n">
        <v>5</v>
      </c>
      <c r="B10" s="20" t="n">
        <v>46314</v>
      </c>
      <c r="C10" s="14" t="n"/>
      <c r="D10" s="16">
        <f>SUM($C$8:$C10)</f>
        <v/>
      </c>
      <c r="E10" s="16">
        <f>SUMIFS(LOGT!$J$7:$J$206,LOGT!$C$7:$C$206,$A10)/60</f>
        <v/>
      </c>
      <c r="F10" s="16">
        <f>SUM($E$8:$E10)</f>
        <v/>
      </c>
      <c r="G10" s="18">
        <f>SUMIFS(MYTASK!$K$8:$K$87,MYTASK!$G$8:$G$87,$A10)</f>
        <v/>
      </c>
      <c r="H10" s="18">
        <f>SUMIFS(MYTASK!$L$8:$L$87,MYTASK!$I$8:$I$87,$A10)</f>
        <v/>
      </c>
      <c r="I10" s="18">
        <f>SUM($H$8:$H10)</f>
        <v/>
      </c>
      <c r="J10" s="8" t="n"/>
    </row>
    <row r="11">
      <c r="A11" s="19" t="n">
        <v>6</v>
      </c>
      <c r="B11" s="20" t="n">
        <v>46321</v>
      </c>
      <c r="C11" s="14" t="n"/>
      <c r="D11" s="16">
        <f>SUM($C$8:$C11)</f>
        <v/>
      </c>
      <c r="E11" s="16">
        <f>SUMIFS(LOGT!$J$7:$J$206,LOGT!$C$7:$C$206,$A11)/60</f>
        <v/>
      </c>
      <c r="F11" s="16">
        <f>SUM($E$8:$E11)</f>
        <v/>
      </c>
      <c r="G11" s="18">
        <f>SUMIFS(MYTASK!$K$8:$K$87,MYTASK!$G$8:$G$87,$A11)</f>
        <v/>
      </c>
      <c r="H11" s="18">
        <f>SUMIFS(MYTASK!$L$8:$L$87,MYTASK!$I$8:$I$87,$A11)</f>
        <v/>
      </c>
      <c r="I11" s="18">
        <f>SUM($H$8:$H11)</f>
        <v/>
      </c>
      <c r="J11" s="8" t="n"/>
    </row>
    <row r="12">
      <c r="A12" s="19" t="n">
        <v>7</v>
      </c>
      <c r="B12" s="20" t="n">
        <v>46328</v>
      </c>
      <c r="C12" s="14" t="n"/>
      <c r="D12" s="16">
        <f>SUM($C$8:$C12)</f>
        <v/>
      </c>
      <c r="E12" s="16">
        <f>SUMIFS(LOGT!$J$7:$J$206,LOGT!$C$7:$C$206,$A12)/60</f>
        <v/>
      </c>
      <c r="F12" s="16">
        <f>SUM($E$8:$E12)</f>
        <v/>
      </c>
      <c r="G12" s="18">
        <f>SUMIFS(MYTASK!$K$8:$K$87,MYTASK!$G$8:$G$87,$A12)</f>
        <v/>
      </c>
      <c r="H12" s="18">
        <f>SUMIFS(MYTASK!$L$8:$L$87,MYTASK!$I$8:$I$87,$A12)</f>
        <v/>
      </c>
      <c r="I12" s="18">
        <f>SUM($H$8:$H12)</f>
        <v/>
      </c>
      <c r="J12" s="8" t="n"/>
    </row>
    <row r="13">
      <c r="A13" s="19" t="n">
        <v>8</v>
      </c>
      <c r="B13" s="20" t="n">
        <v>46335</v>
      </c>
      <c r="C13" s="14" t="n"/>
      <c r="D13" s="16">
        <f>SUM($C$8:$C13)</f>
        <v/>
      </c>
      <c r="E13" s="16">
        <f>SUMIFS(LOGT!$J$7:$J$206,LOGT!$C$7:$C$206,$A13)/60</f>
        <v/>
      </c>
      <c r="F13" s="16">
        <f>SUM($E$8:$E13)</f>
        <v/>
      </c>
      <c r="G13" s="18">
        <f>SUMIFS(MYTASK!$K$8:$K$87,MYTASK!$G$8:$G$87,$A13)</f>
        <v/>
      </c>
      <c r="H13" s="18">
        <f>SUMIFS(MYTASK!$L$8:$L$87,MYTASK!$I$8:$I$87,$A13)</f>
        <v/>
      </c>
      <c r="I13" s="18">
        <f>SUM($H$8:$H13)</f>
        <v/>
      </c>
      <c r="J13" s="21" t="inlineStr">
        <is>
          <t>Mid-semester break</t>
        </is>
      </c>
    </row>
    <row r="14">
      <c r="A14" s="19" t="n">
        <v>9</v>
      </c>
      <c r="B14" s="20" t="n">
        <v>46342</v>
      </c>
      <c r="C14" s="14" t="n"/>
      <c r="D14" s="16">
        <f>SUM($C$8:$C14)</f>
        <v/>
      </c>
      <c r="E14" s="16">
        <f>SUMIFS(LOGT!$J$7:$J$206,LOGT!$C$7:$C$206,$A14)/60</f>
        <v/>
      </c>
      <c r="F14" s="16">
        <f>SUM($E$8:$E14)</f>
        <v/>
      </c>
      <c r="G14" s="18">
        <f>SUMIFS(MYTASK!$K$8:$K$87,MYTASK!$G$8:$G$87,$A14)</f>
        <v/>
      </c>
      <c r="H14" s="18">
        <f>SUMIFS(MYTASK!$L$8:$L$87,MYTASK!$I$8:$I$87,$A14)</f>
        <v/>
      </c>
      <c r="I14" s="18">
        <f>SUM($H$8:$H14)</f>
        <v/>
      </c>
      <c r="J14" s="8" t="n"/>
    </row>
    <row r="15">
      <c r="A15" s="19" t="n">
        <v>10</v>
      </c>
      <c r="B15" s="20" t="n">
        <v>46349</v>
      </c>
      <c r="C15" s="14" t="n"/>
      <c r="D15" s="16">
        <f>SUM($C$8:$C15)</f>
        <v/>
      </c>
      <c r="E15" s="16">
        <f>SUMIFS(LOGT!$J$7:$J$206,LOGT!$C$7:$C$206,$A15)/60</f>
        <v/>
      </c>
      <c r="F15" s="16">
        <f>SUM($E$8:$E15)</f>
        <v/>
      </c>
      <c r="G15" s="18">
        <f>SUMIFS(MYTASK!$K$8:$K$87,MYTASK!$G$8:$G$87,$A15)</f>
        <v/>
      </c>
      <c r="H15" s="18">
        <f>SUMIFS(MYTASK!$L$8:$L$87,MYTASK!$I$8:$I$87,$A15)</f>
        <v/>
      </c>
      <c r="I15" s="18">
        <f>SUM($H$8:$H15)</f>
        <v/>
      </c>
      <c r="J15" s="8" t="n"/>
    </row>
    <row r="16">
      <c r="A16" s="19" t="n">
        <v>11</v>
      </c>
      <c r="B16" s="20" t="n">
        <v>46356</v>
      </c>
      <c r="C16" s="14" t="n"/>
      <c r="D16" s="16">
        <f>SUM($C$8:$C16)</f>
        <v/>
      </c>
      <c r="E16" s="16">
        <f>SUMIFS(LOGT!$J$7:$J$206,LOGT!$C$7:$C$206,$A16)/60</f>
        <v/>
      </c>
      <c r="F16" s="16">
        <f>SUM($E$8:$E16)</f>
        <v/>
      </c>
      <c r="G16" s="18">
        <f>SUMIFS(MYTASK!$K$8:$K$87,MYTASK!$G$8:$G$87,$A16)</f>
        <v/>
      </c>
      <c r="H16" s="18">
        <f>SUMIFS(MYTASK!$L$8:$L$87,MYTASK!$I$8:$I$87,$A16)</f>
        <v/>
      </c>
      <c r="I16" s="18">
        <f>SUM($H$8:$H16)</f>
        <v/>
      </c>
      <c r="J16" s="8" t="n"/>
    </row>
    <row r="17">
      <c r="A17" s="19" t="n">
        <v>12</v>
      </c>
      <c r="B17" s="20" t="n">
        <v>46363</v>
      </c>
      <c r="C17" s="14" t="n"/>
      <c r="D17" s="16">
        <f>SUM($C$8:$C17)</f>
        <v/>
      </c>
      <c r="E17" s="16">
        <f>SUMIFS(LOGT!$J$7:$J$206,LOGT!$C$7:$C$206,$A17)/60</f>
        <v/>
      </c>
      <c r="F17" s="16">
        <f>SUM($E$8:$E17)</f>
        <v/>
      </c>
      <c r="G17" s="18">
        <f>SUMIFS(MYTASK!$K$8:$K$87,MYTASK!$G$8:$G$87,$A17)</f>
        <v/>
      </c>
      <c r="H17" s="18">
        <f>SUMIFS(MYTASK!$L$8:$L$87,MYTASK!$I$8:$I$87,$A17)</f>
        <v/>
      </c>
      <c r="I17" s="18">
        <f>SUM($H$8:$H17)</f>
        <v/>
      </c>
      <c r="J17" s="8" t="n"/>
    </row>
    <row r="18">
      <c r="A18" s="19" t="n">
        <v>13</v>
      </c>
      <c r="B18" s="20" t="n">
        <v>46370</v>
      </c>
      <c r="C18" s="14" t="n"/>
      <c r="D18" s="16">
        <f>SUM($C$8:$C18)</f>
        <v/>
      </c>
      <c r="E18" s="16">
        <f>SUMIFS(LOGT!$J$7:$J$206,LOGT!$C$7:$C$206,$A18)/60</f>
        <v/>
      </c>
      <c r="F18" s="16">
        <f>SUM($E$8:$E18)</f>
        <v/>
      </c>
      <c r="G18" s="18">
        <f>SUMIFS(MYTASK!$K$8:$K$87,MYTASK!$G$8:$G$87,$A18)</f>
        <v/>
      </c>
      <c r="H18" s="18">
        <f>SUMIFS(MYTASK!$L$8:$L$87,MYTASK!$I$8:$I$87,$A18)</f>
        <v/>
      </c>
      <c r="I18" s="18">
        <f>SUM($H$8:$H18)</f>
        <v/>
      </c>
      <c r="J18" s="8" t="n"/>
    </row>
    <row r="19">
      <c r="A19" s="19" t="n">
        <v>14</v>
      </c>
      <c r="B19" s="20" t="n">
        <v>46377</v>
      </c>
      <c r="C19" s="14" t="n"/>
      <c r="D19" s="16">
        <f>SUM($C$8:$C19)</f>
        <v/>
      </c>
      <c r="E19" s="16">
        <f>SUMIFS(LOGT!$J$7:$J$206,LOGT!$C$7:$C$206,$A19)/60</f>
        <v/>
      </c>
      <c r="F19" s="16">
        <f>SUM($E$8:$E19)</f>
        <v/>
      </c>
      <c r="G19" s="18">
        <f>SUMIFS(MYTASK!$K$8:$K$87,MYTASK!$G$8:$G$87,$A19)</f>
        <v/>
      </c>
      <c r="H19" s="18">
        <f>SUMIFS(MYTASK!$L$8:$L$87,MYTASK!$I$8:$I$87,$A19)</f>
        <v/>
      </c>
      <c r="I19" s="18">
        <f>SUM($H$8:$H19)</f>
        <v/>
      </c>
      <c r="J19" s="8" t="n"/>
    </row>
    <row r="20">
      <c r="A20" s="19" t="n">
        <v>15</v>
      </c>
      <c r="B20" s="20" t="n">
        <v>46384</v>
      </c>
      <c r="C20" s="14" t="n"/>
      <c r="D20" s="16">
        <f>SUM($C$8:$C20)</f>
        <v/>
      </c>
      <c r="E20" s="16">
        <f>SUMIFS(LOGT!$J$7:$J$206,LOGT!$C$7:$C$206,$A20)/60</f>
        <v/>
      </c>
      <c r="F20" s="16">
        <f>SUM($E$8:$E20)</f>
        <v/>
      </c>
      <c r="G20" s="18">
        <f>SUMIFS(MYTASK!$K$8:$K$87,MYTASK!$G$8:$G$87,$A20)</f>
        <v/>
      </c>
      <c r="H20" s="18">
        <f>SUMIFS(MYTASK!$L$8:$L$87,MYTASK!$I$8:$I$87,$A20)</f>
        <v/>
      </c>
      <c r="I20" s="18">
        <f>SUM($H$8:$H20)</f>
        <v/>
      </c>
      <c r="J20" s="8" t="n"/>
    </row>
  </sheetData>
  <mergeCells count="2">
    <mergeCell ref="A1:J1"/>
    <mergeCell ref="A2:J2"/>
  </mergeCells>
  <conditionalFormatting sqref="J4">
    <cfRule type="cellIs" priority="1" operator="notEqual" dxfId="1">
      <formula>0</formula>
    </cfRule>
  </conditionalFormatting>
  <printOptions horizontalCentered="1"/>
  <pageMargins left="0.75" right="0.75" top="1" bottom="1" header="0.5" footer="0.5"/>
  <pageSetup orientation="landscape" paperSize="9" fitToHeight="0" fitToWidth="1"/>
  <headerFooter>
    <oddHeader/>
    <oddFooter>&amp;R&amp;8 TMA3084 member workbook v3.0  -  &amp;P of &amp;N</oddFooter>
    <evenHeader/>
    <evenFooter/>
    <firstHeader/>
    <firstFooter/>
  </headerFooter>
</worksheet>
</file>

<file path=xl/worksheets/sheet5.xml><?xml version="1.0" encoding="utf-8"?>
<worksheet xmlns="http://schemas.openxmlformats.org/spreadsheetml/2006/main">
  <sheetPr>
    <tabColor rgb="0014505C"/>
    <outlinePr summaryBelow="1" summaryRight="1"/>
    <pageSetUpPr fitToPage="1"/>
  </sheetPr>
  <dimension ref="A1:K206"/>
  <sheetViews>
    <sheetView showGridLines="0" workbookViewId="0">
      <pane ySplit="6" topLeftCell="A7" activePane="bottomLeft" state="frozen"/>
      <selection pane="bottomLeft" activeCell="A1" sqref="A1"/>
    </sheetView>
  </sheetViews>
  <sheetFormatPr baseColWidth="8" defaultRowHeight="15"/>
  <cols>
    <col width="11" customWidth="1" min="1" max="1"/>
    <col width="9" customWidth="1" min="2" max="2"/>
    <col width="7" customWidth="1" min="3" max="3"/>
    <col width="9" customWidth="1" min="4" max="4"/>
    <col width="12" customWidth="1" min="5" max="5"/>
    <col width="34" customWidth="1" min="6" max="6"/>
    <col width="9" customWidth="1" min="7" max="7"/>
    <col width="9" customWidth="1" min="8" max="8"/>
    <col width="10" customWidth="1" min="9" max="9"/>
    <col width="10" customWidth="1" min="10" max="10"/>
    <col width="40" customWidth="1" min="11" max="11"/>
  </cols>
  <sheetData>
    <row r="1" ht="30" customHeight="1">
      <c r="A1" s="1" t="inlineStr">
        <is>
          <t>Form LOGT  -  My Time Recording Log</t>
        </is>
      </c>
    </row>
    <row r="2" ht="16" customHeight="1">
      <c r="A2" s="2" t="inlineStr">
        <is>
          <t>One row per working session. Delta is calculated; never type over it.</t>
        </is>
      </c>
    </row>
    <row r="4">
      <c r="A4" s="7" t="inlineStr">
        <is>
          <t>Member</t>
        </is>
      </c>
      <c r="B4" s="10">
        <f>SETUP!$C$5</f>
        <v/>
      </c>
      <c r="E4" s="7" t="inlineStr">
        <is>
          <t>Total hours</t>
        </is>
      </c>
      <c r="F4" s="12">
        <f>SUM(LOGT!$I$7:$I$206)/60</f>
        <v/>
      </c>
      <c r="G4" s="7" t="inlineStr">
        <is>
          <t>Sessions</t>
        </is>
      </c>
      <c r="H4" s="11">
        <f>COUNT(LOGT!$I$7:$I$206)</f>
        <v/>
      </c>
    </row>
    <row r="6" ht="30" customHeight="1">
      <c r="A6" s="13" t="inlineStr">
        <is>
          <t>Date</t>
        </is>
      </c>
      <c r="B6" s="13" t="inlineStr">
        <is>
          <t>M/stone</t>
        </is>
      </c>
      <c r="C6" s="13" t="inlineStr">
        <is>
          <t>Week</t>
        </is>
      </c>
      <c r="D6" s="13" t="inlineStr">
        <is>
          <t>Phase</t>
        </is>
      </c>
      <c r="E6" s="13" t="inlineStr">
        <is>
          <t>Task ID</t>
        </is>
      </c>
      <c r="F6" s="13" t="inlineStr">
        <is>
          <t>What you worked on</t>
        </is>
      </c>
      <c r="G6" s="13" t="inlineStr">
        <is>
          <t>Start</t>
        </is>
      </c>
      <c r="H6" s="13" t="inlineStr">
        <is>
          <t>Stop</t>
        </is>
      </c>
      <c r="I6" s="13" t="inlineStr">
        <is>
          <t>Interrupt (min)</t>
        </is>
      </c>
      <c r="J6" s="13" t="inlineStr">
        <is>
          <t>Delta (min)</t>
        </is>
      </c>
      <c r="K6" s="13" t="inlineStr">
        <is>
          <t>Comments</t>
        </is>
      </c>
    </row>
    <row r="7">
      <c r="A7" s="22" t="n"/>
      <c r="B7" s="9" t="n"/>
      <c r="C7" s="17">
        <f>IF($A7="","",3+INT(($A7-DATE(2026,10,5))/7))</f>
        <v/>
      </c>
      <c r="D7" s="9" t="n"/>
      <c r="E7" s="9" t="n"/>
      <c r="F7" s="8" t="n"/>
      <c r="G7" s="23" t="n"/>
      <c r="H7" s="23" t="n"/>
      <c r="I7" s="15" t="n"/>
      <c r="J7" s="17">
        <f>IF(OR($G7="",$H7=""),"",MAX(0,ROUND(($H7-$G7)*1440,0)-N($I7)))</f>
        <v/>
      </c>
      <c r="K7" s="8" t="n"/>
    </row>
    <row r="8">
      <c r="A8" s="22" t="n"/>
      <c r="B8" s="9" t="n"/>
      <c r="C8" s="17">
        <f>IF($A8="","",3+INT(($A8-DATE(2026,10,5))/7))</f>
        <v/>
      </c>
      <c r="D8" s="9" t="n"/>
      <c r="E8" s="9" t="n"/>
      <c r="F8" s="8" t="n"/>
      <c r="G8" s="23" t="n"/>
      <c r="H8" s="23" t="n"/>
      <c r="I8" s="15" t="n"/>
      <c r="J8" s="17">
        <f>IF(OR($G8="",$H8=""),"",MAX(0,ROUND(($H8-$G8)*1440,0)-N($I8)))</f>
        <v/>
      </c>
      <c r="K8" s="8" t="n"/>
    </row>
    <row r="9">
      <c r="A9" s="22" t="n"/>
      <c r="B9" s="9" t="n"/>
      <c r="C9" s="17">
        <f>IF($A9="","",3+INT(($A9-DATE(2026,10,5))/7))</f>
        <v/>
      </c>
      <c r="D9" s="9" t="n"/>
      <c r="E9" s="9" t="n"/>
      <c r="F9" s="8" t="n"/>
      <c r="G9" s="23" t="n"/>
      <c r="H9" s="23" t="n"/>
      <c r="I9" s="15" t="n"/>
      <c r="J9" s="17">
        <f>IF(OR($G9="",$H9=""),"",MAX(0,ROUND(($H9-$G9)*1440,0)-N($I9)))</f>
        <v/>
      </c>
      <c r="K9" s="8" t="n"/>
    </row>
    <row r="10">
      <c r="A10" s="22" t="n"/>
      <c r="B10" s="9" t="n"/>
      <c r="C10" s="17">
        <f>IF($A10="","",3+INT(($A10-DATE(2026,10,5))/7))</f>
        <v/>
      </c>
      <c r="D10" s="9" t="n"/>
      <c r="E10" s="9" t="n"/>
      <c r="F10" s="8" t="n"/>
      <c r="G10" s="23" t="n"/>
      <c r="H10" s="23" t="n"/>
      <c r="I10" s="15" t="n"/>
      <c r="J10" s="17">
        <f>IF(OR($G10="",$H10=""),"",MAX(0,ROUND(($H10-$G10)*1440,0)-N($I10)))</f>
        <v/>
      </c>
      <c r="K10" s="8" t="n"/>
    </row>
    <row r="11">
      <c r="A11" s="22" t="n"/>
      <c r="B11" s="9" t="n"/>
      <c r="C11" s="17">
        <f>IF($A11="","",3+INT(($A11-DATE(2026,10,5))/7))</f>
        <v/>
      </c>
      <c r="D11" s="9" t="n"/>
      <c r="E11" s="9" t="n"/>
      <c r="F11" s="8" t="n"/>
      <c r="G11" s="23" t="n"/>
      <c r="H11" s="23" t="n"/>
      <c r="I11" s="15" t="n"/>
      <c r="J11" s="17">
        <f>IF(OR($G11="",$H11=""),"",MAX(0,ROUND(($H11-$G11)*1440,0)-N($I11)))</f>
        <v/>
      </c>
      <c r="K11" s="8" t="n"/>
    </row>
    <row r="12">
      <c r="A12" s="22" t="n"/>
      <c r="B12" s="9" t="n"/>
      <c r="C12" s="17">
        <f>IF($A12="","",3+INT(($A12-DATE(2026,10,5))/7))</f>
        <v/>
      </c>
      <c r="D12" s="9" t="n"/>
      <c r="E12" s="9" t="n"/>
      <c r="F12" s="8" t="n"/>
      <c r="G12" s="23" t="n"/>
      <c r="H12" s="23" t="n"/>
      <c r="I12" s="15" t="n"/>
      <c r="J12" s="17">
        <f>IF(OR($G12="",$H12=""),"",MAX(0,ROUND(($H12-$G12)*1440,0)-N($I12)))</f>
        <v/>
      </c>
      <c r="K12" s="8" t="n"/>
    </row>
    <row r="13">
      <c r="A13" s="22" t="n"/>
      <c r="B13" s="9" t="n"/>
      <c r="C13" s="17">
        <f>IF($A13="","",3+INT(($A13-DATE(2026,10,5))/7))</f>
        <v/>
      </c>
      <c r="D13" s="9" t="n"/>
      <c r="E13" s="9" t="n"/>
      <c r="F13" s="8" t="n"/>
      <c r="G13" s="23" t="n"/>
      <c r="H13" s="23" t="n"/>
      <c r="I13" s="15" t="n"/>
      <c r="J13" s="17">
        <f>IF(OR($G13="",$H13=""),"",MAX(0,ROUND(($H13-$G13)*1440,0)-N($I13)))</f>
        <v/>
      </c>
      <c r="K13" s="8" t="n"/>
    </row>
    <row r="14">
      <c r="A14" s="22" t="n"/>
      <c r="B14" s="9" t="n"/>
      <c r="C14" s="17">
        <f>IF($A14="","",3+INT(($A14-DATE(2026,10,5))/7))</f>
        <v/>
      </c>
      <c r="D14" s="9" t="n"/>
      <c r="E14" s="9" t="n"/>
      <c r="F14" s="8" t="n"/>
      <c r="G14" s="23" t="n"/>
      <c r="H14" s="23" t="n"/>
      <c r="I14" s="15" t="n"/>
      <c r="J14" s="17">
        <f>IF(OR($G14="",$H14=""),"",MAX(0,ROUND(($H14-$G14)*1440,0)-N($I14)))</f>
        <v/>
      </c>
      <c r="K14" s="8" t="n"/>
    </row>
    <row r="15">
      <c r="A15" s="22" t="n"/>
      <c r="B15" s="9" t="n"/>
      <c r="C15" s="17">
        <f>IF($A15="","",3+INT(($A15-DATE(2026,10,5))/7))</f>
        <v/>
      </c>
      <c r="D15" s="9" t="n"/>
      <c r="E15" s="9" t="n"/>
      <c r="F15" s="8" t="n"/>
      <c r="G15" s="23" t="n"/>
      <c r="H15" s="23" t="n"/>
      <c r="I15" s="15" t="n"/>
      <c r="J15" s="17">
        <f>IF(OR($G15="",$H15=""),"",MAX(0,ROUND(($H15-$G15)*1440,0)-N($I15)))</f>
        <v/>
      </c>
      <c r="K15" s="8" t="n"/>
    </row>
    <row r="16">
      <c r="A16" s="22" t="n"/>
      <c r="B16" s="9" t="n"/>
      <c r="C16" s="17">
        <f>IF($A16="","",3+INT(($A16-DATE(2026,10,5))/7))</f>
        <v/>
      </c>
      <c r="D16" s="9" t="n"/>
      <c r="E16" s="9" t="n"/>
      <c r="F16" s="8" t="n"/>
      <c r="G16" s="23" t="n"/>
      <c r="H16" s="23" t="n"/>
      <c r="I16" s="15" t="n"/>
      <c r="J16" s="17">
        <f>IF(OR($G16="",$H16=""),"",MAX(0,ROUND(($H16-$G16)*1440,0)-N($I16)))</f>
        <v/>
      </c>
      <c r="K16" s="8" t="n"/>
    </row>
    <row r="17">
      <c r="A17" s="22" t="n"/>
      <c r="B17" s="9" t="n"/>
      <c r="C17" s="17">
        <f>IF($A17="","",3+INT(($A17-DATE(2026,10,5))/7))</f>
        <v/>
      </c>
      <c r="D17" s="9" t="n"/>
      <c r="E17" s="9" t="n"/>
      <c r="F17" s="8" t="n"/>
      <c r="G17" s="23" t="n"/>
      <c r="H17" s="23" t="n"/>
      <c r="I17" s="15" t="n"/>
      <c r="J17" s="17">
        <f>IF(OR($G17="",$H17=""),"",MAX(0,ROUND(($H17-$G17)*1440,0)-N($I17)))</f>
        <v/>
      </c>
      <c r="K17" s="8" t="n"/>
    </row>
    <row r="18">
      <c r="A18" s="22" t="n"/>
      <c r="B18" s="9" t="n"/>
      <c r="C18" s="17">
        <f>IF($A18="","",3+INT(($A18-DATE(2026,10,5))/7))</f>
        <v/>
      </c>
      <c r="D18" s="9" t="n"/>
      <c r="E18" s="9" t="n"/>
      <c r="F18" s="8" t="n"/>
      <c r="G18" s="23" t="n"/>
      <c r="H18" s="23" t="n"/>
      <c r="I18" s="15" t="n"/>
      <c r="J18" s="17">
        <f>IF(OR($G18="",$H18=""),"",MAX(0,ROUND(($H18-$G18)*1440,0)-N($I18)))</f>
        <v/>
      </c>
      <c r="K18" s="8" t="n"/>
    </row>
    <row r="19">
      <c r="A19" s="22" t="n"/>
      <c r="B19" s="9" t="n"/>
      <c r="C19" s="17">
        <f>IF($A19="","",3+INT(($A19-DATE(2026,10,5))/7))</f>
        <v/>
      </c>
      <c r="D19" s="9" t="n"/>
      <c r="E19" s="9" t="n"/>
      <c r="F19" s="8" t="n"/>
      <c r="G19" s="23" t="n"/>
      <c r="H19" s="23" t="n"/>
      <c r="I19" s="15" t="n"/>
      <c r="J19" s="17">
        <f>IF(OR($G19="",$H19=""),"",MAX(0,ROUND(($H19-$G19)*1440,0)-N($I19)))</f>
        <v/>
      </c>
      <c r="K19" s="8" t="n"/>
    </row>
    <row r="20">
      <c r="A20" s="22" t="n"/>
      <c r="B20" s="9" t="n"/>
      <c r="C20" s="17">
        <f>IF($A20="","",3+INT(($A20-DATE(2026,10,5))/7))</f>
        <v/>
      </c>
      <c r="D20" s="9" t="n"/>
      <c r="E20" s="9" t="n"/>
      <c r="F20" s="8" t="n"/>
      <c r="G20" s="23" t="n"/>
      <c r="H20" s="23" t="n"/>
      <c r="I20" s="15" t="n"/>
      <c r="J20" s="17">
        <f>IF(OR($G20="",$H20=""),"",MAX(0,ROUND(($H20-$G20)*1440,0)-N($I20)))</f>
        <v/>
      </c>
      <c r="K20" s="8" t="n"/>
    </row>
    <row r="21">
      <c r="A21" s="22" t="n"/>
      <c r="B21" s="9" t="n"/>
      <c r="C21" s="17">
        <f>IF($A21="","",3+INT(($A21-DATE(2026,10,5))/7))</f>
        <v/>
      </c>
      <c r="D21" s="9" t="n"/>
      <c r="E21" s="9" t="n"/>
      <c r="F21" s="8" t="n"/>
      <c r="G21" s="23" t="n"/>
      <c r="H21" s="23" t="n"/>
      <c r="I21" s="15" t="n"/>
      <c r="J21" s="17">
        <f>IF(OR($G21="",$H21=""),"",MAX(0,ROUND(($H21-$G21)*1440,0)-N($I21)))</f>
        <v/>
      </c>
      <c r="K21" s="8" t="n"/>
    </row>
    <row r="22">
      <c r="A22" s="22" t="n"/>
      <c r="B22" s="9" t="n"/>
      <c r="C22" s="17">
        <f>IF($A22="","",3+INT(($A22-DATE(2026,10,5))/7))</f>
        <v/>
      </c>
      <c r="D22" s="9" t="n"/>
      <c r="E22" s="9" t="n"/>
      <c r="F22" s="8" t="n"/>
      <c r="G22" s="23" t="n"/>
      <c r="H22" s="23" t="n"/>
      <c r="I22" s="15" t="n"/>
      <c r="J22" s="17">
        <f>IF(OR($G22="",$H22=""),"",MAX(0,ROUND(($H22-$G22)*1440,0)-N($I22)))</f>
        <v/>
      </c>
      <c r="K22" s="8" t="n"/>
    </row>
    <row r="23">
      <c r="A23" s="22" t="n"/>
      <c r="B23" s="9" t="n"/>
      <c r="C23" s="17">
        <f>IF($A23="","",3+INT(($A23-DATE(2026,10,5))/7))</f>
        <v/>
      </c>
      <c r="D23" s="9" t="n"/>
      <c r="E23" s="9" t="n"/>
      <c r="F23" s="8" t="n"/>
      <c r="G23" s="23" t="n"/>
      <c r="H23" s="23" t="n"/>
      <c r="I23" s="15" t="n"/>
      <c r="J23" s="17">
        <f>IF(OR($G23="",$H23=""),"",MAX(0,ROUND(($H23-$G23)*1440,0)-N($I23)))</f>
        <v/>
      </c>
      <c r="K23" s="8" t="n"/>
    </row>
    <row r="24">
      <c r="A24" s="22" t="n"/>
      <c r="B24" s="9" t="n"/>
      <c r="C24" s="17">
        <f>IF($A24="","",3+INT(($A24-DATE(2026,10,5))/7))</f>
        <v/>
      </c>
      <c r="D24" s="9" t="n"/>
      <c r="E24" s="9" t="n"/>
      <c r="F24" s="8" t="n"/>
      <c r="G24" s="23" t="n"/>
      <c r="H24" s="23" t="n"/>
      <c r="I24" s="15" t="n"/>
      <c r="J24" s="17">
        <f>IF(OR($G24="",$H24=""),"",MAX(0,ROUND(($H24-$G24)*1440,0)-N($I24)))</f>
        <v/>
      </c>
      <c r="K24" s="8" t="n"/>
    </row>
    <row r="25">
      <c r="A25" s="22" t="n"/>
      <c r="B25" s="9" t="n"/>
      <c r="C25" s="17">
        <f>IF($A25="","",3+INT(($A25-DATE(2026,10,5))/7))</f>
        <v/>
      </c>
      <c r="D25" s="9" t="n"/>
      <c r="E25" s="9" t="n"/>
      <c r="F25" s="8" t="n"/>
      <c r="G25" s="23" t="n"/>
      <c r="H25" s="23" t="n"/>
      <c r="I25" s="15" t="n"/>
      <c r="J25" s="17">
        <f>IF(OR($G25="",$H25=""),"",MAX(0,ROUND(($H25-$G25)*1440,0)-N($I25)))</f>
        <v/>
      </c>
      <c r="K25" s="8" t="n"/>
    </row>
    <row r="26">
      <c r="A26" s="22" t="n"/>
      <c r="B26" s="9" t="n"/>
      <c r="C26" s="17">
        <f>IF($A26="","",3+INT(($A26-DATE(2026,10,5))/7))</f>
        <v/>
      </c>
      <c r="D26" s="9" t="n"/>
      <c r="E26" s="9" t="n"/>
      <c r="F26" s="8" t="n"/>
      <c r="G26" s="23" t="n"/>
      <c r="H26" s="23" t="n"/>
      <c r="I26" s="15" t="n"/>
      <c r="J26" s="17">
        <f>IF(OR($G26="",$H26=""),"",MAX(0,ROUND(($H26-$G26)*1440,0)-N($I26)))</f>
        <v/>
      </c>
      <c r="K26" s="8" t="n"/>
    </row>
    <row r="27">
      <c r="A27" s="22" t="n"/>
      <c r="B27" s="9" t="n"/>
      <c r="C27" s="17">
        <f>IF($A27="","",3+INT(($A27-DATE(2026,10,5))/7))</f>
        <v/>
      </c>
      <c r="D27" s="9" t="n"/>
      <c r="E27" s="9" t="n"/>
      <c r="F27" s="8" t="n"/>
      <c r="G27" s="23" t="n"/>
      <c r="H27" s="23" t="n"/>
      <c r="I27" s="15" t="n"/>
      <c r="J27" s="17">
        <f>IF(OR($G27="",$H27=""),"",MAX(0,ROUND(($H27-$G27)*1440,0)-N($I27)))</f>
        <v/>
      </c>
      <c r="K27" s="8" t="n"/>
    </row>
    <row r="28">
      <c r="A28" s="22" t="n"/>
      <c r="B28" s="9" t="n"/>
      <c r="C28" s="17">
        <f>IF($A28="","",3+INT(($A28-DATE(2026,10,5))/7))</f>
        <v/>
      </c>
      <c r="D28" s="9" t="n"/>
      <c r="E28" s="9" t="n"/>
      <c r="F28" s="8" t="n"/>
      <c r="G28" s="23" t="n"/>
      <c r="H28" s="23" t="n"/>
      <c r="I28" s="15" t="n"/>
      <c r="J28" s="17">
        <f>IF(OR($G28="",$H28=""),"",MAX(0,ROUND(($H28-$G28)*1440,0)-N($I28)))</f>
        <v/>
      </c>
      <c r="K28" s="8" t="n"/>
    </row>
    <row r="29">
      <c r="A29" s="22" t="n"/>
      <c r="B29" s="9" t="n"/>
      <c r="C29" s="17">
        <f>IF($A29="","",3+INT(($A29-DATE(2026,10,5))/7))</f>
        <v/>
      </c>
      <c r="D29" s="9" t="n"/>
      <c r="E29" s="9" t="n"/>
      <c r="F29" s="8" t="n"/>
      <c r="G29" s="23" t="n"/>
      <c r="H29" s="23" t="n"/>
      <c r="I29" s="15" t="n"/>
      <c r="J29" s="17">
        <f>IF(OR($G29="",$H29=""),"",MAX(0,ROUND(($H29-$G29)*1440,0)-N($I29)))</f>
        <v/>
      </c>
      <c r="K29" s="8" t="n"/>
    </row>
    <row r="30">
      <c r="A30" s="22" t="n"/>
      <c r="B30" s="9" t="n"/>
      <c r="C30" s="17">
        <f>IF($A30="","",3+INT(($A30-DATE(2026,10,5))/7))</f>
        <v/>
      </c>
      <c r="D30" s="9" t="n"/>
      <c r="E30" s="9" t="n"/>
      <c r="F30" s="8" t="n"/>
      <c r="G30" s="23" t="n"/>
      <c r="H30" s="23" t="n"/>
      <c r="I30" s="15" t="n"/>
      <c r="J30" s="17">
        <f>IF(OR($G30="",$H30=""),"",MAX(0,ROUND(($H30-$G30)*1440,0)-N($I30)))</f>
        <v/>
      </c>
      <c r="K30" s="8" t="n"/>
    </row>
    <row r="31">
      <c r="A31" s="22" t="n"/>
      <c r="B31" s="9" t="n"/>
      <c r="C31" s="17">
        <f>IF($A31="","",3+INT(($A31-DATE(2026,10,5))/7))</f>
        <v/>
      </c>
      <c r="D31" s="9" t="n"/>
      <c r="E31" s="9" t="n"/>
      <c r="F31" s="8" t="n"/>
      <c r="G31" s="23" t="n"/>
      <c r="H31" s="23" t="n"/>
      <c r="I31" s="15" t="n"/>
      <c r="J31" s="17">
        <f>IF(OR($G31="",$H31=""),"",MAX(0,ROUND(($H31-$G31)*1440,0)-N($I31)))</f>
        <v/>
      </c>
      <c r="K31" s="8" t="n"/>
    </row>
    <row r="32">
      <c r="A32" s="22" t="n"/>
      <c r="B32" s="9" t="n"/>
      <c r="C32" s="17">
        <f>IF($A32="","",3+INT(($A32-DATE(2026,10,5))/7))</f>
        <v/>
      </c>
      <c r="D32" s="9" t="n"/>
      <c r="E32" s="9" t="n"/>
      <c r="F32" s="8" t="n"/>
      <c r="G32" s="23" t="n"/>
      <c r="H32" s="23" t="n"/>
      <c r="I32" s="15" t="n"/>
      <c r="J32" s="17">
        <f>IF(OR($G32="",$H32=""),"",MAX(0,ROUND(($H32-$G32)*1440,0)-N($I32)))</f>
        <v/>
      </c>
      <c r="K32" s="8" t="n"/>
    </row>
    <row r="33">
      <c r="A33" s="22" t="n"/>
      <c r="B33" s="9" t="n"/>
      <c r="C33" s="17">
        <f>IF($A33="","",3+INT(($A33-DATE(2026,10,5))/7))</f>
        <v/>
      </c>
      <c r="D33" s="9" t="n"/>
      <c r="E33" s="9" t="n"/>
      <c r="F33" s="8" t="n"/>
      <c r="G33" s="23" t="n"/>
      <c r="H33" s="23" t="n"/>
      <c r="I33" s="15" t="n"/>
      <c r="J33" s="17">
        <f>IF(OR($G33="",$H33=""),"",MAX(0,ROUND(($H33-$G33)*1440,0)-N($I33)))</f>
        <v/>
      </c>
      <c r="K33" s="8" t="n"/>
    </row>
    <row r="34">
      <c r="A34" s="22" t="n"/>
      <c r="B34" s="9" t="n"/>
      <c r="C34" s="17">
        <f>IF($A34="","",3+INT(($A34-DATE(2026,10,5))/7))</f>
        <v/>
      </c>
      <c r="D34" s="9" t="n"/>
      <c r="E34" s="9" t="n"/>
      <c r="F34" s="8" t="n"/>
      <c r="G34" s="23" t="n"/>
      <c r="H34" s="23" t="n"/>
      <c r="I34" s="15" t="n"/>
      <c r="J34" s="17">
        <f>IF(OR($G34="",$H34=""),"",MAX(0,ROUND(($H34-$G34)*1440,0)-N($I34)))</f>
        <v/>
      </c>
      <c r="K34" s="8" t="n"/>
    </row>
    <row r="35">
      <c r="A35" s="22" t="n"/>
      <c r="B35" s="9" t="n"/>
      <c r="C35" s="17">
        <f>IF($A35="","",3+INT(($A35-DATE(2026,10,5))/7))</f>
        <v/>
      </c>
      <c r="D35" s="9" t="n"/>
      <c r="E35" s="9" t="n"/>
      <c r="F35" s="8" t="n"/>
      <c r="G35" s="23" t="n"/>
      <c r="H35" s="23" t="n"/>
      <c r="I35" s="15" t="n"/>
      <c r="J35" s="17">
        <f>IF(OR($G35="",$H35=""),"",MAX(0,ROUND(($H35-$G35)*1440,0)-N($I35)))</f>
        <v/>
      </c>
      <c r="K35" s="8" t="n"/>
    </row>
    <row r="36">
      <c r="A36" s="22" t="n"/>
      <c r="B36" s="9" t="n"/>
      <c r="C36" s="17">
        <f>IF($A36="","",3+INT(($A36-DATE(2026,10,5))/7))</f>
        <v/>
      </c>
      <c r="D36" s="9" t="n"/>
      <c r="E36" s="9" t="n"/>
      <c r="F36" s="8" t="n"/>
      <c r="G36" s="23" t="n"/>
      <c r="H36" s="23" t="n"/>
      <c r="I36" s="15" t="n"/>
      <c r="J36" s="17">
        <f>IF(OR($G36="",$H36=""),"",MAX(0,ROUND(($H36-$G36)*1440,0)-N($I36)))</f>
        <v/>
      </c>
      <c r="K36" s="8" t="n"/>
    </row>
    <row r="37">
      <c r="A37" s="22" t="n"/>
      <c r="B37" s="9" t="n"/>
      <c r="C37" s="17">
        <f>IF($A37="","",3+INT(($A37-DATE(2026,10,5))/7))</f>
        <v/>
      </c>
      <c r="D37" s="9" t="n"/>
      <c r="E37" s="9" t="n"/>
      <c r="F37" s="8" t="n"/>
      <c r="G37" s="23" t="n"/>
      <c r="H37" s="23" t="n"/>
      <c r="I37" s="15" t="n"/>
      <c r="J37" s="17">
        <f>IF(OR($G37="",$H37=""),"",MAX(0,ROUND(($H37-$G37)*1440,0)-N($I37)))</f>
        <v/>
      </c>
      <c r="K37" s="8" t="n"/>
    </row>
    <row r="38">
      <c r="A38" s="22" t="n"/>
      <c r="B38" s="9" t="n"/>
      <c r="C38" s="17">
        <f>IF($A38="","",3+INT(($A38-DATE(2026,10,5))/7))</f>
        <v/>
      </c>
      <c r="D38" s="9" t="n"/>
      <c r="E38" s="9" t="n"/>
      <c r="F38" s="8" t="n"/>
      <c r="G38" s="23" t="n"/>
      <c r="H38" s="23" t="n"/>
      <c r="I38" s="15" t="n"/>
      <c r="J38" s="17">
        <f>IF(OR($G38="",$H38=""),"",MAX(0,ROUND(($H38-$G38)*1440,0)-N($I38)))</f>
        <v/>
      </c>
      <c r="K38" s="8" t="n"/>
    </row>
    <row r="39">
      <c r="A39" s="22" t="n"/>
      <c r="B39" s="9" t="n"/>
      <c r="C39" s="17">
        <f>IF($A39="","",3+INT(($A39-DATE(2026,10,5))/7))</f>
        <v/>
      </c>
      <c r="D39" s="9" t="n"/>
      <c r="E39" s="9" t="n"/>
      <c r="F39" s="8" t="n"/>
      <c r="G39" s="23" t="n"/>
      <c r="H39" s="23" t="n"/>
      <c r="I39" s="15" t="n"/>
      <c r="J39" s="17">
        <f>IF(OR($G39="",$H39=""),"",MAX(0,ROUND(($H39-$G39)*1440,0)-N($I39)))</f>
        <v/>
      </c>
      <c r="K39" s="8" t="n"/>
    </row>
    <row r="40">
      <c r="A40" s="22" t="n"/>
      <c r="B40" s="9" t="n"/>
      <c r="C40" s="17">
        <f>IF($A40="","",3+INT(($A40-DATE(2026,10,5))/7))</f>
        <v/>
      </c>
      <c r="D40" s="9" t="n"/>
      <c r="E40" s="9" t="n"/>
      <c r="F40" s="8" t="n"/>
      <c r="G40" s="23" t="n"/>
      <c r="H40" s="23" t="n"/>
      <c r="I40" s="15" t="n"/>
      <c r="J40" s="17">
        <f>IF(OR($G40="",$H40=""),"",MAX(0,ROUND(($H40-$G40)*1440,0)-N($I40)))</f>
        <v/>
      </c>
      <c r="K40" s="8" t="n"/>
    </row>
    <row r="41">
      <c r="A41" s="22" t="n"/>
      <c r="B41" s="9" t="n"/>
      <c r="C41" s="17">
        <f>IF($A41="","",3+INT(($A41-DATE(2026,10,5))/7))</f>
        <v/>
      </c>
      <c r="D41" s="9" t="n"/>
      <c r="E41" s="9" t="n"/>
      <c r="F41" s="8" t="n"/>
      <c r="G41" s="23" t="n"/>
      <c r="H41" s="23" t="n"/>
      <c r="I41" s="15" t="n"/>
      <c r="J41" s="17">
        <f>IF(OR($G41="",$H41=""),"",MAX(0,ROUND(($H41-$G41)*1440,0)-N($I41)))</f>
        <v/>
      </c>
      <c r="K41" s="8" t="n"/>
    </row>
    <row r="42">
      <c r="A42" s="22" t="n"/>
      <c r="B42" s="9" t="n"/>
      <c r="C42" s="17">
        <f>IF($A42="","",3+INT(($A42-DATE(2026,10,5))/7))</f>
        <v/>
      </c>
      <c r="D42" s="9" t="n"/>
      <c r="E42" s="9" t="n"/>
      <c r="F42" s="8" t="n"/>
      <c r="G42" s="23" t="n"/>
      <c r="H42" s="23" t="n"/>
      <c r="I42" s="15" t="n"/>
      <c r="J42" s="17">
        <f>IF(OR($G42="",$H42=""),"",MAX(0,ROUND(($H42-$G42)*1440,0)-N($I42)))</f>
        <v/>
      </c>
      <c r="K42" s="8" t="n"/>
    </row>
    <row r="43">
      <c r="A43" s="22" t="n"/>
      <c r="B43" s="9" t="n"/>
      <c r="C43" s="17">
        <f>IF($A43="","",3+INT(($A43-DATE(2026,10,5))/7))</f>
        <v/>
      </c>
      <c r="D43" s="9" t="n"/>
      <c r="E43" s="9" t="n"/>
      <c r="F43" s="8" t="n"/>
      <c r="G43" s="23" t="n"/>
      <c r="H43" s="23" t="n"/>
      <c r="I43" s="15" t="n"/>
      <c r="J43" s="17">
        <f>IF(OR($G43="",$H43=""),"",MAX(0,ROUND(($H43-$G43)*1440,0)-N($I43)))</f>
        <v/>
      </c>
      <c r="K43" s="8" t="n"/>
    </row>
    <row r="44">
      <c r="A44" s="22" t="n"/>
      <c r="B44" s="9" t="n"/>
      <c r="C44" s="17">
        <f>IF($A44="","",3+INT(($A44-DATE(2026,10,5))/7))</f>
        <v/>
      </c>
      <c r="D44" s="9" t="n"/>
      <c r="E44" s="9" t="n"/>
      <c r="F44" s="8" t="n"/>
      <c r="G44" s="23" t="n"/>
      <c r="H44" s="23" t="n"/>
      <c r="I44" s="15" t="n"/>
      <c r="J44" s="17">
        <f>IF(OR($G44="",$H44=""),"",MAX(0,ROUND(($H44-$G44)*1440,0)-N($I44)))</f>
        <v/>
      </c>
      <c r="K44" s="8" t="n"/>
    </row>
    <row r="45">
      <c r="A45" s="22" t="n"/>
      <c r="B45" s="9" t="n"/>
      <c r="C45" s="17">
        <f>IF($A45="","",3+INT(($A45-DATE(2026,10,5))/7))</f>
        <v/>
      </c>
      <c r="D45" s="9" t="n"/>
      <c r="E45" s="9" t="n"/>
      <c r="F45" s="8" t="n"/>
      <c r="G45" s="23" t="n"/>
      <c r="H45" s="23" t="n"/>
      <c r="I45" s="15" t="n"/>
      <c r="J45" s="17">
        <f>IF(OR($G45="",$H45=""),"",MAX(0,ROUND(($H45-$G45)*1440,0)-N($I45)))</f>
        <v/>
      </c>
      <c r="K45" s="8" t="n"/>
    </row>
    <row r="46">
      <c r="A46" s="22" t="n"/>
      <c r="B46" s="9" t="n"/>
      <c r="C46" s="17">
        <f>IF($A46="","",3+INT(($A46-DATE(2026,10,5))/7))</f>
        <v/>
      </c>
      <c r="D46" s="9" t="n"/>
      <c r="E46" s="9" t="n"/>
      <c r="F46" s="8" t="n"/>
      <c r="G46" s="23" t="n"/>
      <c r="H46" s="23" t="n"/>
      <c r="I46" s="15" t="n"/>
      <c r="J46" s="17">
        <f>IF(OR($G46="",$H46=""),"",MAX(0,ROUND(($H46-$G46)*1440,0)-N($I46)))</f>
        <v/>
      </c>
      <c r="K46" s="8" t="n"/>
    </row>
    <row r="47">
      <c r="A47" s="22" t="n"/>
      <c r="B47" s="9" t="n"/>
      <c r="C47" s="17">
        <f>IF($A47="","",3+INT(($A47-DATE(2026,10,5))/7))</f>
        <v/>
      </c>
      <c r="D47" s="9" t="n"/>
      <c r="E47" s="9" t="n"/>
      <c r="F47" s="8" t="n"/>
      <c r="G47" s="23" t="n"/>
      <c r="H47" s="23" t="n"/>
      <c r="I47" s="15" t="n"/>
      <c r="J47" s="17">
        <f>IF(OR($G47="",$H47=""),"",MAX(0,ROUND(($H47-$G47)*1440,0)-N($I47)))</f>
        <v/>
      </c>
      <c r="K47" s="8" t="n"/>
    </row>
    <row r="48">
      <c r="A48" s="22" t="n"/>
      <c r="B48" s="9" t="n"/>
      <c r="C48" s="17">
        <f>IF($A48="","",3+INT(($A48-DATE(2026,10,5))/7))</f>
        <v/>
      </c>
      <c r="D48" s="9" t="n"/>
      <c r="E48" s="9" t="n"/>
      <c r="F48" s="8" t="n"/>
      <c r="G48" s="23" t="n"/>
      <c r="H48" s="23" t="n"/>
      <c r="I48" s="15" t="n"/>
      <c r="J48" s="17">
        <f>IF(OR($G48="",$H48=""),"",MAX(0,ROUND(($H48-$G48)*1440,0)-N($I48)))</f>
        <v/>
      </c>
      <c r="K48" s="8" t="n"/>
    </row>
    <row r="49">
      <c r="A49" s="22" t="n"/>
      <c r="B49" s="9" t="n"/>
      <c r="C49" s="17">
        <f>IF($A49="","",3+INT(($A49-DATE(2026,10,5))/7))</f>
        <v/>
      </c>
      <c r="D49" s="9" t="n"/>
      <c r="E49" s="9" t="n"/>
      <c r="F49" s="8" t="n"/>
      <c r="G49" s="23" t="n"/>
      <c r="H49" s="23" t="n"/>
      <c r="I49" s="15" t="n"/>
      <c r="J49" s="17">
        <f>IF(OR($G49="",$H49=""),"",MAX(0,ROUND(($H49-$G49)*1440,0)-N($I49)))</f>
        <v/>
      </c>
      <c r="K49" s="8" t="n"/>
    </row>
    <row r="50">
      <c r="A50" s="22" t="n"/>
      <c r="B50" s="9" t="n"/>
      <c r="C50" s="17">
        <f>IF($A50="","",3+INT(($A50-DATE(2026,10,5))/7))</f>
        <v/>
      </c>
      <c r="D50" s="9" t="n"/>
      <c r="E50" s="9" t="n"/>
      <c r="F50" s="8" t="n"/>
      <c r="G50" s="23" t="n"/>
      <c r="H50" s="23" t="n"/>
      <c r="I50" s="15" t="n"/>
      <c r="J50" s="17">
        <f>IF(OR($G50="",$H50=""),"",MAX(0,ROUND(($H50-$G50)*1440,0)-N($I50)))</f>
        <v/>
      </c>
      <c r="K50" s="8" t="n"/>
    </row>
    <row r="51">
      <c r="A51" s="22" t="n"/>
      <c r="B51" s="9" t="n"/>
      <c r="C51" s="17">
        <f>IF($A51="","",3+INT(($A51-DATE(2026,10,5))/7))</f>
        <v/>
      </c>
      <c r="D51" s="9" t="n"/>
      <c r="E51" s="9" t="n"/>
      <c r="F51" s="8" t="n"/>
      <c r="G51" s="23" t="n"/>
      <c r="H51" s="23" t="n"/>
      <c r="I51" s="15" t="n"/>
      <c r="J51" s="17">
        <f>IF(OR($G51="",$H51=""),"",MAX(0,ROUND(($H51-$G51)*1440,0)-N($I51)))</f>
        <v/>
      </c>
      <c r="K51" s="8" t="n"/>
    </row>
    <row r="52">
      <c r="A52" s="22" t="n"/>
      <c r="B52" s="9" t="n"/>
      <c r="C52" s="17">
        <f>IF($A52="","",3+INT(($A52-DATE(2026,10,5))/7))</f>
        <v/>
      </c>
      <c r="D52" s="9" t="n"/>
      <c r="E52" s="9" t="n"/>
      <c r="F52" s="8" t="n"/>
      <c r="G52" s="23" t="n"/>
      <c r="H52" s="23" t="n"/>
      <c r="I52" s="15" t="n"/>
      <c r="J52" s="17">
        <f>IF(OR($G52="",$H52=""),"",MAX(0,ROUND(($H52-$G52)*1440,0)-N($I52)))</f>
        <v/>
      </c>
      <c r="K52" s="8" t="n"/>
    </row>
    <row r="53">
      <c r="A53" s="22" t="n"/>
      <c r="B53" s="9" t="n"/>
      <c r="C53" s="17">
        <f>IF($A53="","",3+INT(($A53-DATE(2026,10,5))/7))</f>
        <v/>
      </c>
      <c r="D53" s="9" t="n"/>
      <c r="E53" s="9" t="n"/>
      <c r="F53" s="8" t="n"/>
      <c r="G53" s="23" t="n"/>
      <c r="H53" s="23" t="n"/>
      <c r="I53" s="15" t="n"/>
      <c r="J53" s="17">
        <f>IF(OR($G53="",$H53=""),"",MAX(0,ROUND(($H53-$G53)*1440,0)-N($I53)))</f>
        <v/>
      </c>
      <c r="K53" s="8" t="n"/>
    </row>
    <row r="54">
      <c r="A54" s="22" t="n"/>
      <c r="B54" s="9" t="n"/>
      <c r="C54" s="17">
        <f>IF($A54="","",3+INT(($A54-DATE(2026,10,5))/7))</f>
        <v/>
      </c>
      <c r="D54" s="9" t="n"/>
      <c r="E54" s="9" t="n"/>
      <c r="F54" s="8" t="n"/>
      <c r="G54" s="23" t="n"/>
      <c r="H54" s="23" t="n"/>
      <c r="I54" s="15" t="n"/>
      <c r="J54" s="17">
        <f>IF(OR($G54="",$H54=""),"",MAX(0,ROUND(($H54-$G54)*1440,0)-N($I54)))</f>
        <v/>
      </c>
      <c r="K54" s="8" t="n"/>
    </row>
    <row r="55">
      <c r="A55" s="22" t="n"/>
      <c r="B55" s="9" t="n"/>
      <c r="C55" s="17">
        <f>IF($A55="","",3+INT(($A55-DATE(2026,10,5))/7))</f>
        <v/>
      </c>
      <c r="D55" s="9" t="n"/>
      <c r="E55" s="9" t="n"/>
      <c r="F55" s="8" t="n"/>
      <c r="G55" s="23" t="n"/>
      <c r="H55" s="23" t="n"/>
      <c r="I55" s="15" t="n"/>
      <c r="J55" s="17">
        <f>IF(OR($G55="",$H55=""),"",MAX(0,ROUND(($H55-$G55)*1440,0)-N($I55)))</f>
        <v/>
      </c>
      <c r="K55" s="8" t="n"/>
    </row>
    <row r="56">
      <c r="A56" s="22" t="n"/>
      <c r="B56" s="9" t="n"/>
      <c r="C56" s="17">
        <f>IF($A56="","",3+INT(($A56-DATE(2026,10,5))/7))</f>
        <v/>
      </c>
      <c r="D56" s="9" t="n"/>
      <c r="E56" s="9" t="n"/>
      <c r="F56" s="8" t="n"/>
      <c r="G56" s="23" t="n"/>
      <c r="H56" s="23" t="n"/>
      <c r="I56" s="15" t="n"/>
      <c r="J56" s="17">
        <f>IF(OR($G56="",$H56=""),"",MAX(0,ROUND(($H56-$G56)*1440,0)-N($I56)))</f>
        <v/>
      </c>
      <c r="K56" s="8" t="n"/>
    </row>
    <row r="57">
      <c r="A57" s="22" t="n"/>
      <c r="B57" s="9" t="n"/>
      <c r="C57" s="17">
        <f>IF($A57="","",3+INT(($A57-DATE(2026,10,5))/7))</f>
        <v/>
      </c>
      <c r="D57" s="9" t="n"/>
      <c r="E57" s="9" t="n"/>
      <c r="F57" s="8" t="n"/>
      <c r="G57" s="23" t="n"/>
      <c r="H57" s="23" t="n"/>
      <c r="I57" s="15" t="n"/>
      <c r="J57" s="17">
        <f>IF(OR($G57="",$H57=""),"",MAX(0,ROUND(($H57-$G57)*1440,0)-N($I57)))</f>
        <v/>
      </c>
      <c r="K57" s="8" t="n"/>
    </row>
    <row r="58">
      <c r="A58" s="22" t="n"/>
      <c r="B58" s="9" t="n"/>
      <c r="C58" s="17">
        <f>IF($A58="","",3+INT(($A58-DATE(2026,10,5))/7))</f>
        <v/>
      </c>
      <c r="D58" s="9" t="n"/>
      <c r="E58" s="9" t="n"/>
      <c r="F58" s="8" t="n"/>
      <c r="G58" s="23" t="n"/>
      <c r="H58" s="23" t="n"/>
      <c r="I58" s="15" t="n"/>
      <c r="J58" s="17">
        <f>IF(OR($G58="",$H58=""),"",MAX(0,ROUND(($H58-$G58)*1440,0)-N($I58)))</f>
        <v/>
      </c>
      <c r="K58" s="8" t="n"/>
    </row>
    <row r="59">
      <c r="A59" s="22" t="n"/>
      <c r="B59" s="9" t="n"/>
      <c r="C59" s="17">
        <f>IF($A59="","",3+INT(($A59-DATE(2026,10,5))/7))</f>
        <v/>
      </c>
      <c r="D59" s="9" t="n"/>
      <c r="E59" s="9" t="n"/>
      <c r="F59" s="8" t="n"/>
      <c r="G59" s="23" t="n"/>
      <c r="H59" s="23" t="n"/>
      <c r="I59" s="15" t="n"/>
      <c r="J59" s="17">
        <f>IF(OR($G59="",$H59=""),"",MAX(0,ROUND(($H59-$G59)*1440,0)-N($I59)))</f>
        <v/>
      </c>
      <c r="K59" s="8" t="n"/>
    </row>
    <row r="60">
      <c r="A60" s="22" t="n"/>
      <c r="B60" s="9" t="n"/>
      <c r="C60" s="17">
        <f>IF($A60="","",3+INT(($A60-DATE(2026,10,5))/7))</f>
        <v/>
      </c>
      <c r="D60" s="9" t="n"/>
      <c r="E60" s="9" t="n"/>
      <c r="F60" s="8" t="n"/>
      <c r="G60" s="23" t="n"/>
      <c r="H60" s="23" t="n"/>
      <c r="I60" s="15" t="n"/>
      <c r="J60" s="17">
        <f>IF(OR($G60="",$H60=""),"",MAX(0,ROUND(($H60-$G60)*1440,0)-N($I60)))</f>
        <v/>
      </c>
      <c r="K60" s="8" t="n"/>
    </row>
    <row r="61">
      <c r="A61" s="22" t="n"/>
      <c r="B61" s="9" t="n"/>
      <c r="C61" s="17">
        <f>IF($A61="","",3+INT(($A61-DATE(2026,10,5))/7))</f>
        <v/>
      </c>
      <c r="D61" s="9" t="n"/>
      <c r="E61" s="9" t="n"/>
      <c r="F61" s="8" t="n"/>
      <c r="G61" s="23" t="n"/>
      <c r="H61" s="23" t="n"/>
      <c r="I61" s="15" t="n"/>
      <c r="J61" s="17">
        <f>IF(OR($G61="",$H61=""),"",MAX(0,ROUND(($H61-$G61)*1440,0)-N($I61)))</f>
        <v/>
      </c>
      <c r="K61" s="8" t="n"/>
    </row>
    <row r="62">
      <c r="A62" s="22" t="n"/>
      <c r="B62" s="9" t="n"/>
      <c r="C62" s="17">
        <f>IF($A62="","",3+INT(($A62-DATE(2026,10,5))/7))</f>
        <v/>
      </c>
      <c r="D62" s="9" t="n"/>
      <c r="E62" s="9" t="n"/>
      <c r="F62" s="8" t="n"/>
      <c r="G62" s="23" t="n"/>
      <c r="H62" s="23" t="n"/>
      <c r="I62" s="15" t="n"/>
      <c r="J62" s="17">
        <f>IF(OR($G62="",$H62=""),"",MAX(0,ROUND(($H62-$G62)*1440,0)-N($I62)))</f>
        <v/>
      </c>
      <c r="K62" s="8" t="n"/>
    </row>
    <row r="63">
      <c r="A63" s="22" t="n"/>
      <c r="B63" s="9" t="n"/>
      <c r="C63" s="17">
        <f>IF($A63="","",3+INT(($A63-DATE(2026,10,5))/7))</f>
        <v/>
      </c>
      <c r="D63" s="9" t="n"/>
      <c r="E63" s="9" t="n"/>
      <c r="F63" s="8" t="n"/>
      <c r="G63" s="23" t="n"/>
      <c r="H63" s="23" t="n"/>
      <c r="I63" s="15" t="n"/>
      <c r="J63" s="17">
        <f>IF(OR($G63="",$H63=""),"",MAX(0,ROUND(($H63-$G63)*1440,0)-N($I63)))</f>
        <v/>
      </c>
      <c r="K63" s="8" t="n"/>
    </row>
    <row r="64">
      <c r="A64" s="22" t="n"/>
      <c r="B64" s="9" t="n"/>
      <c r="C64" s="17">
        <f>IF($A64="","",3+INT(($A64-DATE(2026,10,5))/7))</f>
        <v/>
      </c>
      <c r="D64" s="9" t="n"/>
      <c r="E64" s="9" t="n"/>
      <c r="F64" s="8" t="n"/>
      <c r="G64" s="23" t="n"/>
      <c r="H64" s="23" t="n"/>
      <c r="I64" s="15" t="n"/>
      <c r="J64" s="17">
        <f>IF(OR($G64="",$H64=""),"",MAX(0,ROUND(($H64-$G64)*1440,0)-N($I64)))</f>
        <v/>
      </c>
      <c r="K64" s="8" t="n"/>
    </row>
    <row r="65">
      <c r="A65" s="22" t="n"/>
      <c r="B65" s="9" t="n"/>
      <c r="C65" s="17">
        <f>IF($A65="","",3+INT(($A65-DATE(2026,10,5))/7))</f>
        <v/>
      </c>
      <c r="D65" s="9" t="n"/>
      <c r="E65" s="9" t="n"/>
      <c r="F65" s="8" t="n"/>
      <c r="G65" s="23" t="n"/>
      <c r="H65" s="23" t="n"/>
      <c r="I65" s="15" t="n"/>
      <c r="J65" s="17">
        <f>IF(OR($G65="",$H65=""),"",MAX(0,ROUND(($H65-$G65)*1440,0)-N($I65)))</f>
        <v/>
      </c>
      <c r="K65" s="8" t="n"/>
    </row>
    <row r="66">
      <c r="A66" s="22" t="n"/>
      <c r="B66" s="9" t="n"/>
      <c r="C66" s="17">
        <f>IF($A66="","",3+INT(($A66-DATE(2026,10,5))/7))</f>
        <v/>
      </c>
      <c r="D66" s="9" t="n"/>
      <c r="E66" s="9" t="n"/>
      <c r="F66" s="8" t="n"/>
      <c r="G66" s="23" t="n"/>
      <c r="H66" s="23" t="n"/>
      <c r="I66" s="15" t="n"/>
      <c r="J66" s="17">
        <f>IF(OR($G66="",$H66=""),"",MAX(0,ROUND(($H66-$G66)*1440,0)-N($I66)))</f>
        <v/>
      </c>
      <c r="K66" s="8" t="n"/>
    </row>
    <row r="67">
      <c r="A67" s="22" t="n"/>
      <c r="B67" s="9" t="n"/>
      <c r="C67" s="17">
        <f>IF($A67="","",3+INT(($A67-DATE(2026,10,5))/7))</f>
        <v/>
      </c>
      <c r="D67" s="9" t="n"/>
      <c r="E67" s="9" t="n"/>
      <c r="F67" s="8" t="n"/>
      <c r="G67" s="23" t="n"/>
      <c r="H67" s="23" t="n"/>
      <c r="I67" s="15" t="n"/>
      <c r="J67" s="17">
        <f>IF(OR($G67="",$H67=""),"",MAX(0,ROUND(($H67-$G67)*1440,0)-N($I67)))</f>
        <v/>
      </c>
      <c r="K67" s="8" t="n"/>
    </row>
    <row r="68">
      <c r="A68" s="22" t="n"/>
      <c r="B68" s="9" t="n"/>
      <c r="C68" s="17">
        <f>IF($A68="","",3+INT(($A68-DATE(2026,10,5))/7))</f>
        <v/>
      </c>
      <c r="D68" s="9" t="n"/>
      <c r="E68" s="9" t="n"/>
      <c r="F68" s="8" t="n"/>
      <c r="G68" s="23" t="n"/>
      <c r="H68" s="23" t="n"/>
      <c r="I68" s="15" t="n"/>
      <c r="J68" s="17">
        <f>IF(OR($G68="",$H68=""),"",MAX(0,ROUND(($H68-$G68)*1440,0)-N($I68)))</f>
        <v/>
      </c>
      <c r="K68" s="8" t="n"/>
    </row>
    <row r="69">
      <c r="A69" s="22" t="n"/>
      <c r="B69" s="9" t="n"/>
      <c r="C69" s="17">
        <f>IF($A69="","",3+INT(($A69-DATE(2026,10,5))/7))</f>
        <v/>
      </c>
      <c r="D69" s="9" t="n"/>
      <c r="E69" s="9" t="n"/>
      <c r="F69" s="8" t="n"/>
      <c r="G69" s="23" t="n"/>
      <c r="H69" s="23" t="n"/>
      <c r="I69" s="15" t="n"/>
      <c r="J69" s="17">
        <f>IF(OR($G69="",$H69=""),"",MAX(0,ROUND(($H69-$G69)*1440,0)-N($I69)))</f>
        <v/>
      </c>
      <c r="K69" s="8" t="n"/>
    </row>
    <row r="70">
      <c r="A70" s="22" t="n"/>
      <c r="B70" s="9" t="n"/>
      <c r="C70" s="17">
        <f>IF($A70="","",3+INT(($A70-DATE(2026,10,5))/7))</f>
        <v/>
      </c>
      <c r="D70" s="9" t="n"/>
      <c r="E70" s="9" t="n"/>
      <c r="F70" s="8" t="n"/>
      <c r="G70" s="23" t="n"/>
      <c r="H70" s="23" t="n"/>
      <c r="I70" s="15" t="n"/>
      <c r="J70" s="17">
        <f>IF(OR($G70="",$H70=""),"",MAX(0,ROUND(($H70-$G70)*1440,0)-N($I70)))</f>
        <v/>
      </c>
      <c r="K70" s="8" t="n"/>
    </row>
    <row r="71">
      <c r="A71" s="22" t="n"/>
      <c r="B71" s="9" t="n"/>
      <c r="C71" s="17">
        <f>IF($A71="","",3+INT(($A71-DATE(2026,10,5))/7))</f>
        <v/>
      </c>
      <c r="D71" s="9" t="n"/>
      <c r="E71" s="9" t="n"/>
      <c r="F71" s="8" t="n"/>
      <c r="G71" s="23" t="n"/>
      <c r="H71" s="23" t="n"/>
      <c r="I71" s="15" t="n"/>
      <c r="J71" s="17">
        <f>IF(OR($G71="",$H71=""),"",MAX(0,ROUND(($H71-$G71)*1440,0)-N($I71)))</f>
        <v/>
      </c>
      <c r="K71" s="8" t="n"/>
    </row>
    <row r="72">
      <c r="A72" s="22" t="n"/>
      <c r="B72" s="9" t="n"/>
      <c r="C72" s="17">
        <f>IF($A72="","",3+INT(($A72-DATE(2026,10,5))/7))</f>
        <v/>
      </c>
      <c r="D72" s="9" t="n"/>
      <c r="E72" s="9" t="n"/>
      <c r="F72" s="8" t="n"/>
      <c r="G72" s="23" t="n"/>
      <c r="H72" s="23" t="n"/>
      <c r="I72" s="15" t="n"/>
      <c r="J72" s="17">
        <f>IF(OR($G72="",$H72=""),"",MAX(0,ROUND(($H72-$G72)*1440,0)-N($I72)))</f>
        <v/>
      </c>
      <c r="K72" s="8" t="n"/>
    </row>
    <row r="73">
      <c r="A73" s="22" t="n"/>
      <c r="B73" s="9" t="n"/>
      <c r="C73" s="17">
        <f>IF($A73="","",3+INT(($A73-DATE(2026,10,5))/7))</f>
        <v/>
      </c>
      <c r="D73" s="9" t="n"/>
      <c r="E73" s="9" t="n"/>
      <c r="F73" s="8" t="n"/>
      <c r="G73" s="23" t="n"/>
      <c r="H73" s="23" t="n"/>
      <c r="I73" s="15" t="n"/>
      <c r="J73" s="17">
        <f>IF(OR($G73="",$H73=""),"",MAX(0,ROUND(($H73-$G73)*1440,0)-N($I73)))</f>
        <v/>
      </c>
      <c r="K73" s="8" t="n"/>
    </row>
    <row r="74">
      <c r="A74" s="22" t="n"/>
      <c r="B74" s="9" t="n"/>
      <c r="C74" s="17">
        <f>IF($A74="","",3+INT(($A74-DATE(2026,10,5))/7))</f>
        <v/>
      </c>
      <c r="D74" s="9" t="n"/>
      <c r="E74" s="9" t="n"/>
      <c r="F74" s="8" t="n"/>
      <c r="G74" s="23" t="n"/>
      <c r="H74" s="23" t="n"/>
      <c r="I74" s="15" t="n"/>
      <c r="J74" s="17">
        <f>IF(OR($G74="",$H74=""),"",MAX(0,ROUND(($H74-$G74)*1440,0)-N($I74)))</f>
        <v/>
      </c>
      <c r="K74" s="8" t="n"/>
    </row>
    <row r="75">
      <c r="A75" s="22" t="n"/>
      <c r="B75" s="9" t="n"/>
      <c r="C75" s="17">
        <f>IF($A75="","",3+INT(($A75-DATE(2026,10,5))/7))</f>
        <v/>
      </c>
      <c r="D75" s="9" t="n"/>
      <c r="E75" s="9" t="n"/>
      <c r="F75" s="8" t="n"/>
      <c r="G75" s="23" t="n"/>
      <c r="H75" s="23" t="n"/>
      <c r="I75" s="15" t="n"/>
      <c r="J75" s="17">
        <f>IF(OR($G75="",$H75=""),"",MAX(0,ROUND(($H75-$G75)*1440,0)-N($I75)))</f>
        <v/>
      </c>
      <c r="K75" s="8" t="n"/>
    </row>
    <row r="76">
      <c r="A76" s="22" t="n"/>
      <c r="B76" s="9" t="n"/>
      <c r="C76" s="17">
        <f>IF($A76="","",3+INT(($A76-DATE(2026,10,5))/7))</f>
        <v/>
      </c>
      <c r="D76" s="9" t="n"/>
      <c r="E76" s="9" t="n"/>
      <c r="F76" s="8" t="n"/>
      <c r="G76" s="23" t="n"/>
      <c r="H76" s="23" t="n"/>
      <c r="I76" s="15" t="n"/>
      <c r="J76" s="17">
        <f>IF(OR($G76="",$H76=""),"",MAX(0,ROUND(($H76-$G76)*1440,0)-N($I76)))</f>
        <v/>
      </c>
      <c r="K76" s="8" t="n"/>
    </row>
    <row r="77">
      <c r="A77" s="22" t="n"/>
      <c r="B77" s="9" t="n"/>
      <c r="C77" s="17">
        <f>IF($A77="","",3+INT(($A77-DATE(2026,10,5))/7))</f>
        <v/>
      </c>
      <c r="D77" s="9" t="n"/>
      <c r="E77" s="9" t="n"/>
      <c r="F77" s="8" t="n"/>
      <c r="G77" s="23" t="n"/>
      <c r="H77" s="23" t="n"/>
      <c r="I77" s="15" t="n"/>
      <c r="J77" s="17">
        <f>IF(OR($G77="",$H77=""),"",MAX(0,ROUND(($H77-$G77)*1440,0)-N($I77)))</f>
        <v/>
      </c>
      <c r="K77" s="8" t="n"/>
    </row>
    <row r="78">
      <c r="A78" s="22" t="n"/>
      <c r="B78" s="9" t="n"/>
      <c r="C78" s="17">
        <f>IF($A78="","",3+INT(($A78-DATE(2026,10,5))/7))</f>
        <v/>
      </c>
      <c r="D78" s="9" t="n"/>
      <c r="E78" s="9" t="n"/>
      <c r="F78" s="8" t="n"/>
      <c r="G78" s="23" t="n"/>
      <c r="H78" s="23" t="n"/>
      <c r="I78" s="15" t="n"/>
      <c r="J78" s="17">
        <f>IF(OR($G78="",$H78=""),"",MAX(0,ROUND(($H78-$G78)*1440,0)-N($I78)))</f>
        <v/>
      </c>
      <c r="K78" s="8" t="n"/>
    </row>
    <row r="79">
      <c r="A79" s="22" t="n"/>
      <c r="B79" s="9" t="n"/>
      <c r="C79" s="17">
        <f>IF($A79="","",3+INT(($A79-DATE(2026,10,5))/7))</f>
        <v/>
      </c>
      <c r="D79" s="9" t="n"/>
      <c r="E79" s="9" t="n"/>
      <c r="F79" s="8" t="n"/>
      <c r="G79" s="23" t="n"/>
      <c r="H79" s="23" t="n"/>
      <c r="I79" s="15" t="n"/>
      <c r="J79" s="17">
        <f>IF(OR($G79="",$H79=""),"",MAX(0,ROUND(($H79-$G79)*1440,0)-N($I79)))</f>
        <v/>
      </c>
      <c r="K79" s="8" t="n"/>
    </row>
    <row r="80">
      <c r="A80" s="22" t="n"/>
      <c r="B80" s="9" t="n"/>
      <c r="C80" s="17">
        <f>IF($A80="","",3+INT(($A80-DATE(2026,10,5))/7))</f>
        <v/>
      </c>
      <c r="D80" s="9" t="n"/>
      <c r="E80" s="9" t="n"/>
      <c r="F80" s="8" t="n"/>
      <c r="G80" s="23" t="n"/>
      <c r="H80" s="23" t="n"/>
      <c r="I80" s="15" t="n"/>
      <c r="J80" s="17">
        <f>IF(OR($G80="",$H80=""),"",MAX(0,ROUND(($H80-$G80)*1440,0)-N($I80)))</f>
        <v/>
      </c>
      <c r="K80" s="8" t="n"/>
    </row>
    <row r="81">
      <c r="A81" s="22" t="n"/>
      <c r="B81" s="9" t="n"/>
      <c r="C81" s="17">
        <f>IF($A81="","",3+INT(($A81-DATE(2026,10,5))/7))</f>
        <v/>
      </c>
      <c r="D81" s="9" t="n"/>
      <c r="E81" s="9" t="n"/>
      <c r="F81" s="8" t="n"/>
      <c r="G81" s="23" t="n"/>
      <c r="H81" s="23" t="n"/>
      <c r="I81" s="15" t="n"/>
      <c r="J81" s="17">
        <f>IF(OR($G81="",$H81=""),"",MAX(0,ROUND(($H81-$G81)*1440,0)-N($I81)))</f>
        <v/>
      </c>
      <c r="K81" s="8" t="n"/>
    </row>
    <row r="82">
      <c r="A82" s="22" t="n"/>
      <c r="B82" s="9" t="n"/>
      <c r="C82" s="17">
        <f>IF($A82="","",3+INT(($A82-DATE(2026,10,5))/7))</f>
        <v/>
      </c>
      <c r="D82" s="9" t="n"/>
      <c r="E82" s="9" t="n"/>
      <c r="F82" s="8" t="n"/>
      <c r="G82" s="23" t="n"/>
      <c r="H82" s="23" t="n"/>
      <c r="I82" s="15" t="n"/>
      <c r="J82" s="17">
        <f>IF(OR($G82="",$H82=""),"",MAX(0,ROUND(($H82-$G82)*1440,0)-N($I82)))</f>
        <v/>
      </c>
      <c r="K82" s="8" t="n"/>
    </row>
    <row r="83">
      <c r="A83" s="22" t="n"/>
      <c r="B83" s="9" t="n"/>
      <c r="C83" s="17">
        <f>IF($A83="","",3+INT(($A83-DATE(2026,10,5))/7))</f>
        <v/>
      </c>
      <c r="D83" s="9" t="n"/>
      <c r="E83" s="9" t="n"/>
      <c r="F83" s="8" t="n"/>
      <c r="G83" s="23" t="n"/>
      <c r="H83" s="23" t="n"/>
      <c r="I83" s="15" t="n"/>
      <c r="J83" s="17">
        <f>IF(OR($G83="",$H83=""),"",MAX(0,ROUND(($H83-$G83)*1440,0)-N($I83)))</f>
        <v/>
      </c>
      <c r="K83" s="8" t="n"/>
    </row>
    <row r="84">
      <c r="A84" s="22" t="n"/>
      <c r="B84" s="9" t="n"/>
      <c r="C84" s="17">
        <f>IF($A84="","",3+INT(($A84-DATE(2026,10,5))/7))</f>
        <v/>
      </c>
      <c r="D84" s="9" t="n"/>
      <c r="E84" s="9" t="n"/>
      <c r="F84" s="8" t="n"/>
      <c r="G84" s="23" t="n"/>
      <c r="H84" s="23" t="n"/>
      <c r="I84" s="15" t="n"/>
      <c r="J84" s="17">
        <f>IF(OR($G84="",$H84=""),"",MAX(0,ROUND(($H84-$G84)*1440,0)-N($I84)))</f>
        <v/>
      </c>
      <c r="K84" s="8" t="n"/>
    </row>
    <row r="85">
      <c r="A85" s="22" t="n"/>
      <c r="B85" s="9" t="n"/>
      <c r="C85" s="17">
        <f>IF($A85="","",3+INT(($A85-DATE(2026,10,5))/7))</f>
        <v/>
      </c>
      <c r="D85" s="9" t="n"/>
      <c r="E85" s="9" t="n"/>
      <c r="F85" s="8" t="n"/>
      <c r="G85" s="23" t="n"/>
      <c r="H85" s="23" t="n"/>
      <c r="I85" s="15" t="n"/>
      <c r="J85" s="17">
        <f>IF(OR($G85="",$H85=""),"",MAX(0,ROUND(($H85-$G85)*1440,0)-N($I85)))</f>
        <v/>
      </c>
      <c r="K85" s="8" t="n"/>
    </row>
    <row r="86">
      <c r="A86" s="22" t="n"/>
      <c r="B86" s="9" t="n"/>
      <c r="C86" s="17">
        <f>IF($A86="","",3+INT(($A86-DATE(2026,10,5))/7))</f>
        <v/>
      </c>
      <c r="D86" s="9" t="n"/>
      <c r="E86" s="9" t="n"/>
      <c r="F86" s="8" t="n"/>
      <c r="G86" s="23" t="n"/>
      <c r="H86" s="23" t="n"/>
      <c r="I86" s="15" t="n"/>
      <c r="J86" s="17">
        <f>IF(OR($G86="",$H86=""),"",MAX(0,ROUND(($H86-$G86)*1440,0)-N($I86)))</f>
        <v/>
      </c>
      <c r="K86" s="8" t="n"/>
    </row>
    <row r="87">
      <c r="A87" s="22" t="n"/>
      <c r="B87" s="9" t="n"/>
      <c r="C87" s="17">
        <f>IF($A87="","",3+INT(($A87-DATE(2026,10,5))/7))</f>
        <v/>
      </c>
      <c r="D87" s="9" t="n"/>
      <c r="E87" s="9" t="n"/>
      <c r="F87" s="8" t="n"/>
      <c r="G87" s="23" t="n"/>
      <c r="H87" s="23" t="n"/>
      <c r="I87" s="15" t="n"/>
      <c r="J87" s="17">
        <f>IF(OR($G87="",$H87=""),"",MAX(0,ROUND(($H87-$G87)*1440,0)-N($I87)))</f>
        <v/>
      </c>
      <c r="K87" s="8" t="n"/>
    </row>
    <row r="88">
      <c r="A88" s="22" t="n"/>
      <c r="B88" s="9" t="n"/>
      <c r="C88" s="17">
        <f>IF($A88="","",3+INT(($A88-DATE(2026,10,5))/7))</f>
        <v/>
      </c>
      <c r="D88" s="9" t="n"/>
      <c r="E88" s="9" t="n"/>
      <c r="F88" s="8" t="n"/>
      <c r="G88" s="23" t="n"/>
      <c r="H88" s="23" t="n"/>
      <c r="I88" s="15" t="n"/>
      <c r="J88" s="17">
        <f>IF(OR($G88="",$H88=""),"",MAX(0,ROUND(($H88-$G88)*1440,0)-N($I88)))</f>
        <v/>
      </c>
      <c r="K88" s="8" t="n"/>
    </row>
    <row r="89">
      <c r="A89" s="22" t="n"/>
      <c r="B89" s="9" t="n"/>
      <c r="C89" s="17">
        <f>IF($A89="","",3+INT(($A89-DATE(2026,10,5))/7))</f>
        <v/>
      </c>
      <c r="D89" s="9" t="n"/>
      <c r="E89" s="9" t="n"/>
      <c r="F89" s="8" t="n"/>
      <c r="G89" s="23" t="n"/>
      <c r="H89" s="23" t="n"/>
      <c r="I89" s="15" t="n"/>
      <c r="J89" s="17">
        <f>IF(OR($G89="",$H89=""),"",MAX(0,ROUND(($H89-$G89)*1440,0)-N($I89)))</f>
        <v/>
      </c>
      <c r="K89" s="8" t="n"/>
    </row>
    <row r="90">
      <c r="A90" s="22" t="n"/>
      <c r="B90" s="9" t="n"/>
      <c r="C90" s="17">
        <f>IF($A90="","",3+INT(($A90-DATE(2026,10,5))/7))</f>
        <v/>
      </c>
      <c r="D90" s="9" t="n"/>
      <c r="E90" s="9" t="n"/>
      <c r="F90" s="8" t="n"/>
      <c r="G90" s="23" t="n"/>
      <c r="H90" s="23" t="n"/>
      <c r="I90" s="15" t="n"/>
      <c r="J90" s="17">
        <f>IF(OR($G90="",$H90=""),"",MAX(0,ROUND(($H90-$G90)*1440,0)-N($I90)))</f>
        <v/>
      </c>
      <c r="K90" s="8" t="n"/>
    </row>
    <row r="91">
      <c r="A91" s="22" t="n"/>
      <c r="B91" s="9" t="n"/>
      <c r="C91" s="17">
        <f>IF($A91="","",3+INT(($A91-DATE(2026,10,5))/7))</f>
        <v/>
      </c>
      <c r="D91" s="9" t="n"/>
      <c r="E91" s="9" t="n"/>
      <c r="F91" s="8" t="n"/>
      <c r="G91" s="23" t="n"/>
      <c r="H91" s="23" t="n"/>
      <c r="I91" s="15" t="n"/>
      <c r="J91" s="17">
        <f>IF(OR($G91="",$H91=""),"",MAX(0,ROUND(($H91-$G91)*1440,0)-N($I91)))</f>
        <v/>
      </c>
      <c r="K91" s="8" t="n"/>
    </row>
    <row r="92">
      <c r="A92" s="22" t="n"/>
      <c r="B92" s="9" t="n"/>
      <c r="C92" s="17">
        <f>IF($A92="","",3+INT(($A92-DATE(2026,10,5))/7))</f>
        <v/>
      </c>
      <c r="D92" s="9" t="n"/>
      <c r="E92" s="9" t="n"/>
      <c r="F92" s="8" t="n"/>
      <c r="G92" s="23" t="n"/>
      <c r="H92" s="23" t="n"/>
      <c r="I92" s="15" t="n"/>
      <c r="J92" s="17">
        <f>IF(OR($G92="",$H92=""),"",MAX(0,ROUND(($H92-$G92)*1440,0)-N($I92)))</f>
        <v/>
      </c>
      <c r="K92" s="8" t="n"/>
    </row>
    <row r="93">
      <c r="A93" s="22" t="n"/>
      <c r="B93" s="9" t="n"/>
      <c r="C93" s="17">
        <f>IF($A93="","",3+INT(($A93-DATE(2026,10,5))/7))</f>
        <v/>
      </c>
      <c r="D93" s="9" t="n"/>
      <c r="E93" s="9" t="n"/>
      <c r="F93" s="8" t="n"/>
      <c r="G93" s="23" t="n"/>
      <c r="H93" s="23" t="n"/>
      <c r="I93" s="15" t="n"/>
      <c r="J93" s="17">
        <f>IF(OR($G93="",$H93=""),"",MAX(0,ROUND(($H93-$G93)*1440,0)-N($I93)))</f>
        <v/>
      </c>
      <c r="K93" s="8" t="n"/>
    </row>
    <row r="94">
      <c r="A94" s="22" t="n"/>
      <c r="B94" s="9" t="n"/>
      <c r="C94" s="17">
        <f>IF($A94="","",3+INT(($A94-DATE(2026,10,5))/7))</f>
        <v/>
      </c>
      <c r="D94" s="9" t="n"/>
      <c r="E94" s="9" t="n"/>
      <c r="F94" s="8" t="n"/>
      <c r="G94" s="23" t="n"/>
      <c r="H94" s="23" t="n"/>
      <c r="I94" s="15" t="n"/>
      <c r="J94" s="17">
        <f>IF(OR($G94="",$H94=""),"",MAX(0,ROUND(($H94-$G94)*1440,0)-N($I94)))</f>
        <v/>
      </c>
      <c r="K94" s="8" t="n"/>
    </row>
    <row r="95">
      <c r="A95" s="22" t="n"/>
      <c r="B95" s="9" t="n"/>
      <c r="C95" s="17">
        <f>IF($A95="","",3+INT(($A95-DATE(2026,10,5))/7))</f>
        <v/>
      </c>
      <c r="D95" s="9" t="n"/>
      <c r="E95" s="9" t="n"/>
      <c r="F95" s="8" t="n"/>
      <c r="G95" s="23" t="n"/>
      <c r="H95" s="23" t="n"/>
      <c r="I95" s="15" t="n"/>
      <c r="J95" s="17">
        <f>IF(OR($G95="",$H95=""),"",MAX(0,ROUND(($H95-$G95)*1440,0)-N($I95)))</f>
        <v/>
      </c>
      <c r="K95" s="8" t="n"/>
    </row>
    <row r="96">
      <c r="A96" s="22" t="n"/>
      <c r="B96" s="9" t="n"/>
      <c r="C96" s="17">
        <f>IF($A96="","",3+INT(($A96-DATE(2026,10,5))/7))</f>
        <v/>
      </c>
      <c r="D96" s="9" t="n"/>
      <c r="E96" s="9" t="n"/>
      <c r="F96" s="8" t="n"/>
      <c r="G96" s="23" t="n"/>
      <c r="H96" s="23" t="n"/>
      <c r="I96" s="15" t="n"/>
      <c r="J96" s="17">
        <f>IF(OR($G96="",$H96=""),"",MAX(0,ROUND(($H96-$G96)*1440,0)-N($I96)))</f>
        <v/>
      </c>
      <c r="K96" s="8" t="n"/>
    </row>
    <row r="97">
      <c r="A97" s="22" t="n"/>
      <c r="B97" s="9" t="n"/>
      <c r="C97" s="17">
        <f>IF($A97="","",3+INT(($A97-DATE(2026,10,5))/7))</f>
        <v/>
      </c>
      <c r="D97" s="9" t="n"/>
      <c r="E97" s="9" t="n"/>
      <c r="F97" s="8" t="n"/>
      <c r="G97" s="23" t="n"/>
      <c r="H97" s="23" t="n"/>
      <c r="I97" s="15" t="n"/>
      <c r="J97" s="17">
        <f>IF(OR($G97="",$H97=""),"",MAX(0,ROUND(($H97-$G97)*1440,0)-N($I97)))</f>
        <v/>
      </c>
      <c r="K97" s="8" t="n"/>
    </row>
    <row r="98">
      <c r="A98" s="22" t="n"/>
      <c r="B98" s="9" t="n"/>
      <c r="C98" s="17">
        <f>IF($A98="","",3+INT(($A98-DATE(2026,10,5))/7))</f>
        <v/>
      </c>
      <c r="D98" s="9" t="n"/>
      <c r="E98" s="9" t="n"/>
      <c r="F98" s="8" t="n"/>
      <c r="G98" s="23" t="n"/>
      <c r="H98" s="23" t="n"/>
      <c r="I98" s="15" t="n"/>
      <c r="J98" s="17">
        <f>IF(OR($G98="",$H98=""),"",MAX(0,ROUND(($H98-$G98)*1440,0)-N($I98)))</f>
        <v/>
      </c>
      <c r="K98" s="8" t="n"/>
    </row>
    <row r="99">
      <c r="A99" s="22" t="n"/>
      <c r="B99" s="9" t="n"/>
      <c r="C99" s="17">
        <f>IF($A99="","",3+INT(($A99-DATE(2026,10,5))/7))</f>
        <v/>
      </c>
      <c r="D99" s="9" t="n"/>
      <c r="E99" s="9" t="n"/>
      <c r="F99" s="8" t="n"/>
      <c r="G99" s="23" t="n"/>
      <c r="H99" s="23" t="n"/>
      <c r="I99" s="15" t="n"/>
      <c r="J99" s="17">
        <f>IF(OR($G99="",$H99=""),"",MAX(0,ROUND(($H99-$G99)*1440,0)-N($I99)))</f>
        <v/>
      </c>
      <c r="K99" s="8" t="n"/>
    </row>
    <row r="100">
      <c r="A100" s="22" t="n"/>
      <c r="B100" s="9" t="n"/>
      <c r="C100" s="17">
        <f>IF($A100="","",3+INT(($A100-DATE(2026,10,5))/7))</f>
        <v/>
      </c>
      <c r="D100" s="9" t="n"/>
      <c r="E100" s="9" t="n"/>
      <c r="F100" s="8" t="n"/>
      <c r="G100" s="23" t="n"/>
      <c r="H100" s="23" t="n"/>
      <c r="I100" s="15" t="n"/>
      <c r="J100" s="17">
        <f>IF(OR($G100="",$H100=""),"",MAX(0,ROUND(($H100-$G100)*1440,0)-N($I100)))</f>
        <v/>
      </c>
      <c r="K100" s="8" t="n"/>
    </row>
    <row r="101">
      <c r="A101" s="22" t="n"/>
      <c r="B101" s="9" t="n"/>
      <c r="C101" s="17">
        <f>IF($A101="","",3+INT(($A101-DATE(2026,10,5))/7))</f>
        <v/>
      </c>
      <c r="D101" s="9" t="n"/>
      <c r="E101" s="9" t="n"/>
      <c r="F101" s="8" t="n"/>
      <c r="G101" s="23" t="n"/>
      <c r="H101" s="23" t="n"/>
      <c r="I101" s="15" t="n"/>
      <c r="J101" s="17">
        <f>IF(OR($G101="",$H101=""),"",MAX(0,ROUND(($H101-$G101)*1440,0)-N($I101)))</f>
        <v/>
      </c>
      <c r="K101" s="8" t="n"/>
    </row>
    <row r="102">
      <c r="A102" s="22" t="n"/>
      <c r="B102" s="9" t="n"/>
      <c r="C102" s="17">
        <f>IF($A102="","",3+INT(($A102-DATE(2026,10,5))/7))</f>
        <v/>
      </c>
      <c r="D102" s="9" t="n"/>
      <c r="E102" s="9" t="n"/>
      <c r="F102" s="8" t="n"/>
      <c r="G102" s="23" t="n"/>
      <c r="H102" s="23" t="n"/>
      <c r="I102" s="15" t="n"/>
      <c r="J102" s="17">
        <f>IF(OR($G102="",$H102=""),"",MAX(0,ROUND(($H102-$G102)*1440,0)-N($I102)))</f>
        <v/>
      </c>
      <c r="K102" s="8" t="n"/>
    </row>
    <row r="103">
      <c r="A103" s="22" t="n"/>
      <c r="B103" s="9" t="n"/>
      <c r="C103" s="17">
        <f>IF($A103="","",3+INT(($A103-DATE(2026,10,5))/7))</f>
        <v/>
      </c>
      <c r="D103" s="9" t="n"/>
      <c r="E103" s="9" t="n"/>
      <c r="F103" s="8" t="n"/>
      <c r="G103" s="23" t="n"/>
      <c r="H103" s="23" t="n"/>
      <c r="I103" s="15" t="n"/>
      <c r="J103" s="17">
        <f>IF(OR($G103="",$H103=""),"",MAX(0,ROUND(($H103-$G103)*1440,0)-N($I103)))</f>
        <v/>
      </c>
      <c r="K103" s="8" t="n"/>
    </row>
    <row r="104">
      <c r="A104" s="22" t="n"/>
      <c r="B104" s="9" t="n"/>
      <c r="C104" s="17">
        <f>IF($A104="","",3+INT(($A104-DATE(2026,10,5))/7))</f>
        <v/>
      </c>
      <c r="D104" s="9" t="n"/>
      <c r="E104" s="9" t="n"/>
      <c r="F104" s="8" t="n"/>
      <c r="G104" s="23" t="n"/>
      <c r="H104" s="23" t="n"/>
      <c r="I104" s="15" t="n"/>
      <c r="J104" s="17">
        <f>IF(OR($G104="",$H104=""),"",MAX(0,ROUND(($H104-$G104)*1440,0)-N($I104)))</f>
        <v/>
      </c>
      <c r="K104" s="8" t="n"/>
    </row>
    <row r="105">
      <c r="A105" s="22" t="n"/>
      <c r="B105" s="9" t="n"/>
      <c r="C105" s="17">
        <f>IF($A105="","",3+INT(($A105-DATE(2026,10,5))/7))</f>
        <v/>
      </c>
      <c r="D105" s="9" t="n"/>
      <c r="E105" s="9" t="n"/>
      <c r="F105" s="8" t="n"/>
      <c r="G105" s="23" t="n"/>
      <c r="H105" s="23" t="n"/>
      <c r="I105" s="15" t="n"/>
      <c r="J105" s="17">
        <f>IF(OR($G105="",$H105=""),"",MAX(0,ROUND(($H105-$G105)*1440,0)-N($I105)))</f>
        <v/>
      </c>
      <c r="K105" s="8" t="n"/>
    </row>
    <row r="106">
      <c r="A106" s="22" t="n"/>
      <c r="B106" s="9" t="n"/>
      <c r="C106" s="17">
        <f>IF($A106="","",3+INT(($A106-DATE(2026,10,5))/7))</f>
        <v/>
      </c>
      <c r="D106" s="9" t="n"/>
      <c r="E106" s="9" t="n"/>
      <c r="F106" s="8" t="n"/>
      <c r="G106" s="23" t="n"/>
      <c r="H106" s="23" t="n"/>
      <c r="I106" s="15" t="n"/>
      <c r="J106" s="17">
        <f>IF(OR($G106="",$H106=""),"",MAX(0,ROUND(($H106-$G106)*1440,0)-N($I106)))</f>
        <v/>
      </c>
      <c r="K106" s="8" t="n"/>
    </row>
    <row r="107">
      <c r="A107" s="22" t="n"/>
      <c r="B107" s="9" t="n"/>
      <c r="C107" s="17">
        <f>IF($A107="","",3+INT(($A107-DATE(2026,10,5))/7))</f>
        <v/>
      </c>
      <c r="D107" s="9" t="n"/>
      <c r="E107" s="9" t="n"/>
      <c r="F107" s="8" t="n"/>
      <c r="G107" s="23" t="n"/>
      <c r="H107" s="23" t="n"/>
      <c r="I107" s="15" t="n"/>
      <c r="J107" s="17">
        <f>IF(OR($G107="",$H107=""),"",MAX(0,ROUND(($H107-$G107)*1440,0)-N($I107)))</f>
        <v/>
      </c>
      <c r="K107" s="8" t="n"/>
    </row>
    <row r="108">
      <c r="A108" s="22" t="n"/>
      <c r="B108" s="9" t="n"/>
      <c r="C108" s="17">
        <f>IF($A108="","",3+INT(($A108-DATE(2026,10,5))/7))</f>
        <v/>
      </c>
      <c r="D108" s="9" t="n"/>
      <c r="E108" s="9" t="n"/>
      <c r="F108" s="8" t="n"/>
      <c r="G108" s="23" t="n"/>
      <c r="H108" s="23" t="n"/>
      <c r="I108" s="15" t="n"/>
      <c r="J108" s="17">
        <f>IF(OR($G108="",$H108=""),"",MAX(0,ROUND(($H108-$G108)*1440,0)-N($I108)))</f>
        <v/>
      </c>
      <c r="K108" s="8" t="n"/>
    </row>
    <row r="109">
      <c r="A109" s="22" t="n"/>
      <c r="B109" s="9" t="n"/>
      <c r="C109" s="17">
        <f>IF($A109="","",3+INT(($A109-DATE(2026,10,5))/7))</f>
        <v/>
      </c>
      <c r="D109" s="9" t="n"/>
      <c r="E109" s="9" t="n"/>
      <c r="F109" s="8" t="n"/>
      <c r="G109" s="23" t="n"/>
      <c r="H109" s="23" t="n"/>
      <c r="I109" s="15" t="n"/>
      <c r="J109" s="17">
        <f>IF(OR($G109="",$H109=""),"",MAX(0,ROUND(($H109-$G109)*1440,0)-N($I109)))</f>
        <v/>
      </c>
      <c r="K109" s="8" t="n"/>
    </row>
    <row r="110">
      <c r="A110" s="22" t="n"/>
      <c r="B110" s="9" t="n"/>
      <c r="C110" s="17">
        <f>IF($A110="","",3+INT(($A110-DATE(2026,10,5))/7))</f>
        <v/>
      </c>
      <c r="D110" s="9" t="n"/>
      <c r="E110" s="9" t="n"/>
      <c r="F110" s="8" t="n"/>
      <c r="G110" s="23" t="n"/>
      <c r="H110" s="23" t="n"/>
      <c r="I110" s="15" t="n"/>
      <c r="J110" s="17">
        <f>IF(OR($G110="",$H110=""),"",MAX(0,ROUND(($H110-$G110)*1440,0)-N($I110)))</f>
        <v/>
      </c>
      <c r="K110" s="8" t="n"/>
    </row>
    <row r="111">
      <c r="A111" s="22" t="n"/>
      <c r="B111" s="9" t="n"/>
      <c r="C111" s="17">
        <f>IF($A111="","",3+INT(($A111-DATE(2026,10,5))/7))</f>
        <v/>
      </c>
      <c r="D111" s="9" t="n"/>
      <c r="E111" s="9" t="n"/>
      <c r="F111" s="8" t="n"/>
      <c r="G111" s="23" t="n"/>
      <c r="H111" s="23" t="n"/>
      <c r="I111" s="15" t="n"/>
      <c r="J111" s="17">
        <f>IF(OR($G111="",$H111=""),"",MAX(0,ROUND(($H111-$G111)*1440,0)-N($I111)))</f>
        <v/>
      </c>
      <c r="K111" s="8" t="n"/>
    </row>
    <row r="112">
      <c r="A112" s="22" t="n"/>
      <c r="B112" s="9" t="n"/>
      <c r="C112" s="17">
        <f>IF($A112="","",3+INT(($A112-DATE(2026,10,5))/7))</f>
        <v/>
      </c>
      <c r="D112" s="9" t="n"/>
      <c r="E112" s="9" t="n"/>
      <c r="F112" s="8" t="n"/>
      <c r="G112" s="23" t="n"/>
      <c r="H112" s="23" t="n"/>
      <c r="I112" s="15" t="n"/>
      <c r="J112" s="17">
        <f>IF(OR($G112="",$H112=""),"",MAX(0,ROUND(($H112-$G112)*1440,0)-N($I112)))</f>
        <v/>
      </c>
      <c r="K112" s="8" t="n"/>
    </row>
    <row r="113">
      <c r="A113" s="22" t="n"/>
      <c r="B113" s="9" t="n"/>
      <c r="C113" s="17">
        <f>IF($A113="","",3+INT(($A113-DATE(2026,10,5))/7))</f>
        <v/>
      </c>
      <c r="D113" s="9" t="n"/>
      <c r="E113" s="9" t="n"/>
      <c r="F113" s="8" t="n"/>
      <c r="G113" s="23" t="n"/>
      <c r="H113" s="23" t="n"/>
      <c r="I113" s="15" t="n"/>
      <c r="J113" s="17">
        <f>IF(OR($G113="",$H113=""),"",MAX(0,ROUND(($H113-$G113)*1440,0)-N($I113)))</f>
        <v/>
      </c>
      <c r="K113" s="8" t="n"/>
    </row>
    <row r="114">
      <c r="A114" s="22" t="n"/>
      <c r="B114" s="9" t="n"/>
      <c r="C114" s="17">
        <f>IF($A114="","",3+INT(($A114-DATE(2026,10,5))/7))</f>
        <v/>
      </c>
      <c r="D114" s="9" t="n"/>
      <c r="E114" s="9" t="n"/>
      <c r="F114" s="8" t="n"/>
      <c r="G114" s="23" t="n"/>
      <c r="H114" s="23" t="n"/>
      <c r="I114" s="15" t="n"/>
      <c r="J114" s="17">
        <f>IF(OR($G114="",$H114=""),"",MAX(0,ROUND(($H114-$G114)*1440,0)-N($I114)))</f>
        <v/>
      </c>
      <c r="K114" s="8" t="n"/>
    </row>
    <row r="115">
      <c r="A115" s="22" t="n"/>
      <c r="B115" s="9" t="n"/>
      <c r="C115" s="17">
        <f>IF($A115="","",3+INT(($A115-DATE(2026,10,5))/7))</f>
        <v/>
      </c>
      <c r="D115" s="9" t="n"/>
      <c r="E115" s="9" t="n"/>
      <c r="F115" s="8" t="n"/>
      <c r="G115" s="23" t="n"/>
      <c r="H115" s="23" t="n"/>
      <c r="I115" s="15" t="n"/>
      <c r="J115" s="17">
        <f>IF(OR($G115="",$H115=""),"",MAX(0,ROUND(($H115-$G115)*1440,0)-N($I115)))</f>
        <v/>
      </c>
      <c r="K115" s="8" t="n"/>
    </row>
    <row r="116">
      <c r="A116" s="22" t="n"/>
      <c r="B116" s="9" t="n"/>
      <c r="C116" s="17">
        <f>IF($A116="","",3+INT(($A116-DATE(2026,10,5))/7))</f>
        <v/>
      </c>
      <c r="D116" s="9" t="n"/>
      <c r="E116" s="9" t="n"/>
      <c r="F116" s="8" t="n"/>
      <c r="G116" s="23" t="n"/>
      <c r="H116" s="23" t="n"/>
      <c r="I116" s="15" t="n"/>
      <c r="J116" s="17">
        <f>IF(OR($G116="",$H116=""),"",MAX(0,ROUND(($H116-$G116)*1440,0)-N($I116)))</f>
        <v/>
      </c>
      <c r="K116" s="8" t="n"/>
    </row>
    <row r="117">
      <c r="A117" s="22" t="n"/>
      <c r="B117" s="9" t="n"/>
      <c r="C117" s="17">
        <f>IF($A117="","",3+INT(($A117-DATE(2026,10,5))/7))</f>
        <v/>
      </c>
      <c r="D117" s="9" t="n"/>
      <c r="E117" s="9" t="n"/>
      <c r="F117" s="8" t="n"/>
      <c r="G117" s="23" t="n"/>
      <c r="H117" s="23" t="n"/>
      <c r="I117" s="15" t="n"/>
      <c r="J117" s="17">
        <f>IF(OR($G117="",$H117=""),"",MAX(0,ROUND(($H117-$G117)*1440,0)-N($I117)))</f>
        <v/>
      </c>
      <c r="K117" s="8" t="n"/>
    </row>
    <row r="118">
      <c r="A118" s="22" t="n"/>
      <c r="B118" s="9" t="n"/>
      <c r="C118" s="17">
        <f>IF($A118="","",3+INT(($A118-DATE(2026,10,5))/7))</f>
        <v/>
      </c>
      <c r="D118" s="9" t="n"/>
      <c r="E118" s="9" t="n"/>
      <c r="F118" s="8" t="n"/>
      <c r="G118" s="23" t="n"/>
      <c r="H118" s="23" t="n"/>
      <c r="I118" s="15" t="n"/>
      <c r="J118" s="17">
        <f>IF(OR($G118="",$H118=""),"",MAX(0,ROUND(($H118-$G118)*1440,0)-N($I118)))</f>
        <v/>
      </c>
      <c r="K118" s="8" t="n"/>
    </row>
    <row r="119">
      <c r="A119" s="22" t="n"/>
      <c r="B119" s="9" t="n"/>
      <c r="C119" s="17">
        <f>IF($A119="","",3+INT(($A119-DATE(2026,10,5))/7))</f>
        <v/>
      </c>
      <c r="D119" s="9" t="n"/>
      <c r="E119" s="9" t="n"/>
      <c r="F119" s="8" t="n"/>
      <c r="G119" s="23" t="n"/>
      <c r="H119" s="23" t="n"/>
      <c r="I119" s="15" t="n"/>
      <c r="J119" s="17">
        <f>IF(OR($G119="",$H119=""),"",MAX(0,ROUND(($H119-$G119)*1440,0)-N($I119)))</f>
        <v/>
      </c>
      <c r="K119" s="8" t="n"/>
    </row>
    <row r="120">
      <c r="A120" s="22" t="n"/>
      <c r="B120" s="9" t="n"/>
      <c r="C120" s="17">
        <f>IF($A120="","",3+INT(($A120-DATE(2026,10,5))/7))</f>
        <v/>
      </c>
      <c r="D120" s="9" t="n"/>
      <c r="E120" s="9" t="n"/>
      <c r="F120" s="8" t="n"/>
      <c r="G120" s="23" t="n"/>
      <c r="H120" s="23" t="n"/>
      <c r="I120" s="15" t="n"/>
      <c r="J120" s="17">
        <f>IF(OR($G120="",$H120=""),"",MAX(0,ROUND(($H120-$G120)*1440,0)-N($I120)))</f>
        <v/>
      </c>
      <c r="K120" s="8" t="n"/>
    </row>
    <row r="121">
      <c r="A121" s="22" t="n"/>
      <c r="B121" s="9" t="n"/>
      <c r="C121" s="17">
        <f>IF($A121="","",3+INT(($A121-DATE(2026,10,5))/7))</f>
        <v/>
      </c>
      <c r="D121" s="9" t="n"/>
      <c r="E121" s="9" t="n"/>
      <c r="F121" s="8" t="n"/>
      <c r="G121" s="23" t="n"/>
      <c r="H121" s="23" t="n"/>
      <c r="I121" s="15" t="n"/>
      <c r="J121" s="17">
        <f>IF(OR($G121="",$H121=""),"",MAX(0,ROUND(($H121-$G121)*1440,0)-N($I121)))</f>
        <v/>
      </c>
      <c r="K121" s="8" t="n"/>
    </row>
    <row r="122">
      <c r="A122" s="22" t="n"/>
      <c r="B122" s="9" t="n"/>
      <c r="C122" s="17">
        <f>IF($A122="","",3+INT(($A122-DATE(2026,10,5))/7))</f>
        <v/>
      </c>
      <c r="D122" s="9" t="n"/>
      <c r="E122" s="9" t="n"/>
      <c r="F122" s="8" t="n"/>
      <c r="G122" s="23" t="n"/>
      <c r="H122" s="23" t="n"/>
      <c r="I122" s="15" t="n"/>
      <c r="J122" s="17">
        <f>IF(OR($G122="",$H122=""),"",MAX(0,ROUND(($H122-$G122)*1440,0)-N($I122)))</f>
        <v/>
      </c>
      <c r="K122" s="8" t="n"/>
    </row>
    <row r="123">
      <c r="A123" s="22" t="n"/>
      <c r="B123" s="9" t="n"/>
      <c r="C123" s="17">
        <f>IF($A123="","",3+INT(($A123-DATE(2026,10,5))/7))</f>
        <v/>
      </c>
      <c r="D123" s="9" t="n"/>
      <c r="E123" s="9" t="n"/>
      <c r="F123" s="8" t="n"/>
      <c r="G123" s="23" t="n"/>
      <c r="H123" s="23" t="n"/>
      <c r="I123" s="15" t="n"/>
      <c r="J123" s="17">
        <f>IF(OR($G123="",$H123=""),"",MAX(0,ROUND(($H123-$G123)*1440,0)-N($I123)))</f>
        <v/>
      </c>
      <c r="K123" s="8" t="n"/>
    </row>
    <row r="124">
      <c r="A124" s="22" t="n"/>
      <c r="B124" s="9" t="n"/>
      <c r="C124" s="17">
        <f>IF($A124="","",3+INT(($A124-DATE(2026,10,5))/7))</f>
        <v/>
      </c>
      <c r="D124" s="9" t="n"/>
      <c r="E124" s="9" t="n"/>
      <c r="F124" s="8" t="n"/>
      <c r="G124" s="23" t="n"/>
      <c r="H124" s="23" t="n"/>
      <c r="I124" s="15" t="n"/>
      <c r="J124" s="17">
        <f>IF(OR($G124="",$H124=""),"",MAX(0,ROUND(($H124-$G124)*1440,0)-N($I124)))</f>
        <v/>
      </c>
      <c r="K124" s="8" t="n"/>
    </row>
    <row r="125">
      <c r="A125" s="22" t="n"/>
      <c r="B125" s="9" t="n"/>
      <c r="C125" s="17">
        <f>IF($A125="","",3+INT(($A125-DATE(2026,10,5))/7))</f>
        <v/>
      </c>
      <c r="D125" s="9" t="n"/>
      <c r="E125" s="9" t="n"/>
      <c r="F125" s="8" t="n"/>
      <c r="G125" s="23" t="n"/>
      <c r="H125" s="23" t="n"/>
      <c r="I125" s="15" t="n"/>
      <c r="J125" s="17">
        <f>IF(OR($G125="",$H125=""),"",MAX(0,ROUND(($H125-$G125)*1440,0)-N($I125)))</f>
        <v/>
      </c>
      <c r="K125" s="8" t="n"/>
    </row>
    <row r="126">
      <c r="A126" s="22" t="n"/>
      <c r="B126" s="9" t="n"/>
      <c r="C126" s="17">
        <f>IF($A126="","",3+INT(($A126-DATE(2026,10,5))/7))</f>
        <v/>
      </c>
      <c r="D126" s="9" t="n"/>
      <c r="E126" s="9" t="n"/>
      <c r="F126" s="8" t="n"/>
      <c r="G126" s="23" t="n"/>
      <c r="H126" s="23" t="n"/>
      <c r="I126" s="15" t="n"/>
      <c r="J126" s="17">
        <f>IF(OR($G126="",$H126=""),"",MAX(0,ROUND(($H126-$G126)*1440,0)-N($I126)))</f>
        <v/>
      </c>
      <c r="K126" s="8" t="n"/>
    </row>
    <row r="127">
      <c r="A127" s="22" t="n"/>
      <c r="B127" s="9" t="n"/>
      <c r="C127" s="17">
        <f>IF($A127="","",3+INT(($A127-DATE(2026,10,5))/7))</f>
        <v/>
      </c>
      <c r="D127" s="9" t="n"/>
      <c r="E127" s="9" t="n"/>
      <c r="F127" s="8" t="n"/>
      <c r="G127" s="23" t="n"/>
      <c r="H127" s="23" t="n"/>
      <c r="I127" s="15" t="n"/>
      <c r="J127" s="17">
        <f>IF(OR($G127="",$H127=""),"",MAX(0,ROUND(($H127-$G127)*1440,0)-N($I127)))</f>
        <v/>
      </c>
      <c r="K127" s="8" t="n"/>
    </row>
    <row r="128">
      <c r="A128" s="22" t="n"/>
      <c r="B128" s="9" t="n"/>
      <c r="C128" s="17">
        <f>IF($A128="","",3+INT(($A128-DATE(2026,10,5))/7))</f>
        <v/>
      </c>
      <c r="D128" s="9" t="n"/>
      <c r="E128" s="9" t="n"/>
      <c r="F128" s="8" t="n"/>
      <c r="G128" s="23" t="n"/>
      <c r="H128" s="23" t="n"/>
      <c r="I128" s="15" t="n"/>
      <c r="J128" s="17">
        <f>IF(OR($G128="",$H128=""),"",MAX(0,ROUND(($H128-$G128)*1440,0)-N($I128)))</f>
        <v/>
      </c>
      <c r="K128" s="8" t="n"/>
    </row>
    <row r="129">
      <c r="A129" s="22" t="n"/>
      <c r="B129" s="9" t="n"/>
      <c r="C129" s="17">
        <f>IF($A129="","",3+INT(($A129-DATE(2026,10,5))/7))</f>
        <v/>
      </c>
      <c r="D129" s="9" t="n"/>
      <c r="E129" s="9" t="n"/>
      <c r="F129" s="8" t="n"/>
      <c r="G129" s="23" t="n"/>
      <c r="H129" s="23" t="n"/>
      <c r="I129" s="15" t="n"/>
      <c r="J129" s="17">
        <f>IF(OR($G129="",$H129=""),"",MAX(0,ROUND(($H129-$G129)*1440,0)-N($I129)))</f>
        <v/>
      </c>
      <c r="K129" s="8" t="n"/>
    </row>
    <row r="130">
      <c r="A130" s="22" t="n"/>
      <c r="B130" s="9" t="n"/>
      <c r="C130" s="17">
        <f>IF($A130="","",3+INT(($A130-DATE(2026,10,5))/7))</f>
        <v/>
      </c>
      <c r="D130" s="9" t="n"/>
      <c r="E130" s="9" t="n"/>
      <c r="F130" s="8" t="n"/>
      <c r="G130" s="23" t="n"/>
      <c r="H130" s="23" t="n"/>
      <c r="I130" s="15" t="n"/>
      <c r="J130" s="17">
        <f>IF(OR($G130="",$H130=""),"",MAX(0,ROUND(($H130-$G130)*1440,0)-N($I130)))</f>
        <v/>
      </c>
      <c r="K130" s="8" t="n"/>
    </row>
    <row r="131">
      <c r="A131" s="22" t="n"/>
      <c r="B131" s="9" t="n"/>
      <c r="C131" s="17">
        <f>IF($A131="","",3+INT(($A131-DATE(2026,10,5))/7))</f>
        <v/>
      </c>
      <c r="D131" s="9" t="n"/>
      <c r="E131" s="9" t="n"/>
      <c r="F131" s="8" t="n"/>
      <c r="G131" s="23" t="n"/>
      <c r="H131" s="23" t="n"/>
      <c r="I131" s="15" t="n"/>
      <c r="J131" s="17">
        <f>IF(OR($G131="",$H131=""),"",MAX(0,ROUND(($H131-$G131)*1440,0)-N($I131)))</f>
        <v/>
      </c>
      <c r="K131" s="8" t="n"/>
    </row>
    <row r="132">
      <c r="A132" s="22" t="n"/>
      <c r="B132" s="9" t="n"/>
      <c r="C132" s="17">
        <f>IF($A132="","",3+INT(($A132-DATE(2026,10,5))/7))</f>
        <v/>
      </c>
      <c r="D132" s="9" t="n"/>
      <c r="E132" s="9" t="n"/>
      <c r="F132" s="8" t="n"/>
      <c r="G132" s="23" t="n"/>
      <c r="H132" s="23" t="n"/>
      <c r="I132" s="15" t="n"/>
      <c r="J132" s="17">
        <f>IF(OR($G132="",$H132=""),"",MAX(0,ROUND(($H132-$G132)*1440,0)-N($I132)))</f>
        <v/>
      </c>
      <c r="K132" s="8" t="n"/>
    </row>
    <row r="133">
      <c r="A133" s="22" t="n"/>
      <c r="B133" s="9" t="n"/>
      <c r="C133" s="17">
        <f>IF($A133="","",3+INT(($A133-DATE(2026,10,5))/7))</f>
        <v/>
      </c>
      <c r="D133" s="9" t="n"/>
      <c r="E133" s="9" t="n"/>
      <c r="F133" s="8" t="n"/>
      <c r="G133" s="23" t="n"/>
      <c r="H133" s="23" t="n"/>
      <c r="I133" s="15" t="n"/>
      <c r="J133" s="17">
        <f>IF(OR($G133="",$H133=""),"",MAX(0,ROUND(($H133-$G133)*1440,0)-N($I133)))</f>
        <v/>
      </c>
      <c r="K133" s="8" t="n"/>
    </row>
    <row r="134">
      <c r="A134" s="22" t="n"/>
      <c r="B134" s="9" t="n"/>
      <c r="C134" s="17">
        <f>IF($A134="","",3+INT(($A134-DATE(2026,10,5))/7))</f>
        <v/>
      </c>
      <c r="D134" s="9" t="n"/>
      <c r="E134" s="9" t="n"/>
      <c r="F134" s="8" t="n"/>
      <c r="G134" s="23" t="n"/>
      <c r="H134" s="23" t="n"/>
      <c r="I134" s="15" t="n"/>
      <c r="J134" s="17">
        <f>IF(OR($G134="",$H134=""),"",MAX(0,ROUND(($H134-$G134)*1440,0)-N($I134)))</f>
        <v/>
      </c>
      <c r="K134" s="8" t="n"/>
    </row>
    <row r="135">
      <c r="A135" s="22" t="n"/>
      <c r="B135" s="9" t="n"/>
      <c r="C135" s="17">
        <f>IF($A135="","",3+INT(($A135-DATE(2026,10,5))/7))</f>
        <v/>
      </c>
      <c r="D135" s="9" t="n"/>
      <c r="E135" s="9" t="n"/>
      <c r="F135" s="8" t="n"/>
      <c r="G135" s="23" t="n"/>
      <c r="H135" s="23" t="n"/>
      <c r="I135" s="15" t="n"/>
      <c r="J135" s="17">
        <f>IF(OR($G135="",$H135=""),"",MAX(0,ROUND(($H135-$G135)*1440,0)-N($I135)))</f>
        <v/>
      </c>
      <c r="K135" s="8" t="n"/>
    </row>
    <row r="136">
      <c r="A136" s="22" t="n"/>
      <c r="B136" s="9" t="n"/>
      <c r="C136" s="17">
        <f>IF($A136="","",3+INT(($A136-DATE(2026,10,5))/7))</f>
        <v/>
      </c>
      <c r="D136" s="9" t="n"/>
      <c r="E136" s="9" t="n"/>
      <c r="F136" s="8" t="n"/>
      <c r="G136" s="23" t="n"/>
      <c r="H136" s="23" t="n"/>
      <c r="I136" s="15" t="n"/>
      <c r="J136" s="17">
        <f>IF(OR($G136="",$H136=""),"",MAX(0,ROUND(($H136-$G136)*1440,0)-N($I136)))</f>
        <v/>
      </c>
      <c r="K136" s="8" t="n"/>
    </row>
    <row r="137">
      <c r="A137" s="22" t="n"/>
      <c r="B137" s="9" t="n"/>
      <c r="C137" s="17">
        <f>IF($A137="","",3+INT(($A137-DATE(2026,10,5))/7))</f>
        <v/>
      </c>
      <c r="D137" s="9" t="n"/>
      <c r="E137" s="9" t="n"/>
      <c r="F137" s="8" t="n"/>
      <c r="G137" s="23" t="n"/>
      <c r="H137" s="23" t="n"/>
      <c r="I137" s="15" t="n"/>
      <c r="J137" s="17">
        <f>IF(OR($G137="",$H137=""),"",MAX(0,ROUND(($H137-$G137)*1440,0)-N($I137)))</f>
        <v/>
      </c>
      <c r="K137" s="8" t="n"/>
    </row>
    <row r="138">
      <c r="A138" s="22" t="n"/>
      <c r="B138" s="9" t="n"/>
      <c r="C138" s="17">
        <f>IF($A138="","",3+INT(($A138-DATE(2026,10,5))/7))</f>
        <v/>
      </c>
      <c r="D138" s="9" t="n"/>
      <c r="E138" s="9" t="n"/>
      <c r="F138" s="8" t="n"/>
      <c r="G138" s="23" t="n"/>
      <c r="H138" s="23" t="n"/>
      <c r="I138" s="15" t="n"/>
      <c r="J138" s="17">
        <f>IF(OR($G138="",$H138=""),"",MAX(0,ROUND(($H138-$G138)*1440,0)-N($I138)))</f>
        <v/>
      </c>
      <c r="K138" s="8" t="n"/>
    </row>
    <row r="139">
      <c r="A139" s="22" t="n"/>
      <c r="B139" s="9" t="n"/>
      <c r="C139" s="17">
        <f>IF($A139="","",3+INT(($A139-DATE(2026,10,5))/7))</f>
        <v/>
      </c>
      <c r="D139" s="9" t="n"/>
      <c r="E139" s="9" t="n"/>
      <c r="F139" s="8" t="n"/>
      <c r="G139" s="23" t="n"/>
      <c r="H139" s="23" t="n"/>
      <c r="I139" s="15" t="n"/>
      <c r="J139" s="17">
        <f>IF(OR($G139="",$H139=""),"",MAX(0,ROUND(($H139-$G139)*1440,0)-N($I139)))</f>
        <v/>
      </c>
      <c r="K139" s="8" t="n"/>
    </row>
    <row r="140">
      <c r="A140" s="22" t="n"/>
      <c r="B140" s="9" t="n"/>
      <c r="C140" s="17">
        <f>IF($A140="","",3+INT(($A140-DATE(2026,10,5))/7))</f>
        <v/>
      </c>
      <c r="D140" s="9" t="n"/>
      <c r="E140" s="9" t="n"/>
      <c r="F140" s="8" t="n"/>
      <c r="G140" s="23" t="n"/>
      <c r="H140" s="23" t="n"/>
      <c r="I140" s="15" t="n"/>
      <c r="J140" s="17">
        <f>IF(OR($G140="",$H140=""),"",MAX(0,ROUND(($H140-$G140)*1440,0)-N($I140)))</f>
        <v/>
      </c>
      <c r="K140" s="8" t="n"/>
    </row>
    <row r="141">
      <c r="A141" s="22" t="n"/>
      <c r="B141" s="9" t="n"/>
      <c r="C141" s="17">
        <f>IF($A141="","",3+INT(($A141-DATE(2026,10,5))/7))</f>
        <v/>
      </c>
      <c r="D141" s="9" t="n"/>
      <c r="E141" s="9" t="n"/>
      <c r="F141" s="8" t="n"/>
      <c r="G141" s="23" t="n"/>
      <c r="H141" s="23" t="n"/>
      <c r="I141" s="15" t="n"/>
      <c r="J141" s="17">
        <f>IF(OR($G141="",$H141=""),"",MAX(0,ROUND(($H141-$G141)*1440,0)-N($I141)))</f>
        <v/>
      </c>
      <c r="K141" s="8" t="n"/>
    </row>
    <row r="142">
      <c r="A142" s="22" t="n"/>
      <c r="B142" s="9" t="n"/>
      <c r="C142" s="17">
        <f>IF($A142="","",3+INT(($A142-DATE(2026,10,5))/7))</f>
        <v/>
      </c>
      <c r="D142" s="9" t="n"/>
      <c r="E142" s="9" t="n"/>
      <c r="F142" s="8" t="n"/>
      <c r="G142" s="23" t="n"/>
      <c r="H142" s="23" t="n"/>
      <c r="I142" s="15" t="n"/>
      <c r="J142" s="17">
        <f>IF(OR($G142="",$H142=""),"",MAX(0,ROUND(($H142-$G142)*1440,0)-N($I142)))</f>
        <v/>
      </c>
      <c r="K142" s="8" t="n"/>
    </row>
    <row r="143">
      <c r="A143" s="22" t="n"/>
      <c r="B143" s="9" t="n"/>
      <c r="C143" s="17">
        <f>IF($A143="","",3+INT(($A143-DATE(2026,10,5))/7))</f>
        <v/>
      </c>
      <c r="D143" s="9" t="n"/>
      <c r="E143" s="9" t="n"/>
      <c r="F143" s="8" t="n"/>
      <c r="G143" s="23" t="n"/>
      <c r="H143" s="23" t="n"/>
      <c r="I143" s="15" t="n"/>
      <c r="J143" s="17">
        <f>IF(OR($G143="",$H143=""),"",MAX(0,ROUND(($H143-$G143)*1440,0)-N($I143)))</f>
        <v/>
      </c>
      <c r="K143" s="8" t="n"/>
    </row>
    <row r="144">
      <c r="A144" s="22" t="n"/>
      <c r="B144" s="9" t="n"/>
      <c r="C144" s="17">
        <f>IF($A144="","",3+INT(($A144-DATE(2026,10,5))/7))</f>
        <v/>
      </c>
      <c r="D144" s="9" t="n"/>
      <c r="E144" s="9" t="n"/>
      <c r="F144" s="8" t="n"/>
      <c r="G144" s="23" t="n"/>
      <c r="H144" s="23" t="n"/>
      <c r="I144" s="15" t="n"/>
      <c r="J144" s="17">
        <f>IF(OR($G144="",$H144=""),"",MAX(0,ROUND(($H144-$G144)*1440,0)-N($I144)))</f>
        <v/>
      </c>
      <c r="K144" s="8" t="n"/>
    </row>
    <row r="145">
      <c r="A145" s="22" t="n"/>
      <c r="B145" s="9" t="n"/>
      <c r="C145" s="17">
        <f>IF($A145="","",3+INT(($A145-DATE(2026,10,5))/7))</f>
        <v/>
      </c>
      <c r="D145" s="9" t="n"/>
      <c r="E145" s="9" t="n"/>
      <c r="F145" s="8" t="n"/>
      <c r="G145" s="23" t="n"/>
      <c r="H145" s="23" t="n"/>
      <c r="I145" s="15" t="n"/>
      <c r="J145" s="17">
        <f>IF(OR($G145="",$H145=""),"",MAX(0,ROUND(($H145-$G145)*1440,0)-N($I145)))</f>
        <v/>
      </c>
      <c r="K145" s="8" t="n"/>
    </row>
    <row r="146">
      <c r="A146" s="22" t="n"/>
      <c r="B146" s="9" t="n"/>
      <c r="C146" s="17">
        <f>IF($A146="","",3+INT(($A146-DATE(2026,10,5))/7))</f>
        <v/>
      </c>
      <c r="D146" s="9" t="n"/>
      <c r="E146" s="9" t="n"/>
      <c r="F146" s="8" t="n"/>
      <c r="G146" s="23" t="n"/>
      <c r="H146" s="23" t="n"/>
      <c r="I146" s="15" t="n"/>
      <c r="J146" s="17">
        <f>IF(OR($G146="",$H146=""),"",MAX(0,ROUND(($H146-$G146)*1440,0)-N($I146)))</f>
        <v/>
      </c>
      <c r="K146" s="8" t="n"/>
    </row>
    <row r="147">
      <c r="A147" s="22" t="n"/>
      <c r="B147" s="9" t="n"/>
      <c r="C147" s="17">
        <f>IF($A147="","",3+INT(($A147-DATE(2026,10,5))/7))</f>
        <v/>
      </c>
      <c r="D147" s="9" t="n"/>
      <c r="E147" s="9" t="n"/>
      <c r="F147" s="8" t="n"/>
      <c r="G147" s="23" t="n"/>
      <c r="H147" s="23" t="n"/>
      <c r="I147" s="15" t="n"/>
      <c r="J147" s="17">
        <f>IF(OR($G147="",$H147=""),"",MAX(0,ROUND(($H147-$G147)*1440,0)-N($I147)))</f>
        <v/>
      </c>
      <c r="K147" s="8" t="n"/>
    </row>
    <row r="148">
      <c r="A148" s="22" t="n"/>
      <c r="B148" s="9" t="n"/>
      <c r="C148" s="17">
        <f>IF($A148="","",3+INT(($A148-DATE(2026,10,5))/7))</f>
        <v/>
      </c>
      <c r="D148" s="9" t="n"/>
      <c r="E148" s="9" t="n"/>
      <c r="F148" s="8" t="n"/>
      <c r="G148" s="23" t="n"/>
      <c r="H148" s="23" t="n"/>
      <c r="I148" s="15" t="n"/>
      <c r="J148" s="17">
        <f>IF(OR($G148="",$H148=""),"",MAX(0,ROUND(($H148-$G148)*1440,0)-N($I148)))</f>
        <v/>
      </c>
      <c r="K148" s="8" t="n"/>
    </row>
    <row r="149">
      <c r="A149" s="22" t="n"/>
      <c r="B149" s="9" t="n"/>
      <c r="C149" s="17">
        <f>IF($A149="","",3+INT(($A149-DATE(2026,10,5))/7))</f>
        <v/>
      </c>
      <c r="D149" s="9" t="n"/>
      <c r="E149" s="9" t="n"/>
      <c r="F149" s="8" t="n"/>
      <c r="G149" s="23" t="n"/>
      <c r="H149" s="23" t="n"/>
      <c r="I149" s="15" t="n"/>
      <c r="J149" s="17">
        <f>IF(OR($G149="",$H149=""),"",MAX(0,ROUND(($H149-$G149)*1440,0)-N($I149)))</f>
        <v/>
      </c>
      <c r="K149" s="8" t="n"/>
    </row>
    <row r="150">
      <c r="A150" s="22" t="n"/>
      <c r="B150" s="9" t="n"/>
      <c r="C150" s="17">
        <f>IF($A150="","",3+INT(($A150-DATE(2026,10,5))/7))</f>
        <v/>
      </c>
      <c r="D150" s="9" t="n"/>
      <c r="E150" s="9" t="n"/>
      <c r="F150" s="8" t="n"/>
      <c r="G150" s="23" t="n"/>
      <c r="H150" s="23" t="n"/>
      <c r="I150" s="15" t="n"/>
      <c r="J150" s="17">
        <f>IF(OR($G150="",$H150=""),"",MAX(0,ROUND(($H150-$G150)*1440,0)-N($I150)))</f>
        <v/>
      </c>
      <c r="K150" s="8" t="n"/>
    </row>
    <row r="151">
      <c r="A151" s="22" t="n"/>
      <c r="B151" s="9" t="n"/>
      <c r="C151" s="17">
        <f>IF($A151="","",3+INT(($A151-DATE(2026,10,5))/7))</f>
        <v/>
      </c>
      <c r="D151" s="9" t="n"/>
      <c r="E151" s="9" t="n"/>
      <c r="F151" s="8" t="n"/>
      <c r="G151" s="23" t="n"/>
      <c r="H151" s="23" t="n"/>
      <c r="I151" s="15" t="n"/>
      <c r="J151" s="17">
        <f>IF(OR($G151="",$H151=""),"",MAX(0,ROUND(($H151-$G151)*1440,0)-N($I151)))</f>
        <v/>
      </c>
      <c r="K151" s="8" t="n"/>
    </row>
    <row r="152">
      <c r="A152" s="22" t="n"/>
      <c r="B152" s="9" t="n"/>
      <c r="C152" s="17">
        <f>IF($A152="","",3+INT(($A152-DATE(2026,10,5))/7))</f>
        <v/>
      </c>
      <c r="D152" s="9" t="n"/>
      <c r="E152" s="9" t="n"/>
      <c r="F152" s="8" t="n"/>
      <c r="G152" s="23" t="n"/>
      <c r="H152" s="23" t="n"/>
      <c r="I152" s="15" t="n"/>
      <c r="J152" s="17">
        <f>IF(OR($G152="",$H152=""),"",MAX(0,ROUND(($H152-$G152)*1440,0)-N($I152)))</f>
        <v/>
      </c>
      <c r="K152" s="8" t="n"/>
    </row>
    <row r="153">
      <c r="A153" s="22" t="n"/>
      <c r="B153" s="9" t="n"/>
      <c r="C153" s="17">
        <f>IF($A153="","",3+INT(($A153-DATE(2026,10,5))/7))</f>
        <v/>
      </c>
      <c r="D153" s="9" t="n"/>
      <c r="E153" s="9" t="n"/>
      <c r="F153" s="8" t="n"/>
      <c r="G153" s="23" t="n"/>
      <c r="H153" s="23" t="n"/>
      <c r="I153" s="15" t="n"/>
      <c r="J153" s="17">
        <f>IF(OR($G153="",$H153=""),"",MAX(0,ROUND(($H153-$G153)*1440,0)-N($I153)))</f>
        <v/>
      </c>
      <c r="K153" s="8" t="n"/>
    </row>
    <row r="154">
      <c r="A154" s="22" t="n"/>
      <c r="B154" s="9" t="n"/>
      <c r="C154" s="17">
        <f>IF($A154="","",3+INT(($A154-DATE(2026,10,5))/7))</f>
        <v/>
      </c>
      <c r="D154" s="9" t="n"/>
      <c r="E154" s="9" t="n"/>
      <c r="F154" s="8" t="n"/>
      <c r="G154" s="23" t="n"/>
      <c r="H154" s="23" t="n"/>
      <c r="I154" s="15" t="n"/>
      <c r="J154" s="17">
        <f>IF(OR($G154="",$H154=""),"",MAX(0,ROUND(($H154-$G154)*1440,0)-N($I154)))</f>
        <v/>
      </c>
      <c r="K154" s="8" t="n"/>
    </row>
    <row r="155">
      <c r="A155" s="22" t="n"/>
      <c r="B155" s="9" t="n"/>
      <c r="C155" s="17">
        <f>IF($A155="","",3+INT(($A155-DATE(2026,10,5))/7))</f>
        <v/>
      </c>
      <c r="D155" s="9" t="n"/>
      <c r="E155" s="9" t="n"/>
      <c r="F155" s="8" t="n"/>
      <c r="G155" s="23" t="n"/>
      <c r="H155" s="23" t="n"/>
      <c r="I155" s="15" t="n"/>
      <c r="J155" s="17">
        <f>IF(OR($G155="",$H155=""),"",MAX(0,ROUND(($H155-$G155)*1440,0)-N($I155)))</f>
        <v/>
      </c>
      <c r="K155" s="8" t="n"/>
    </row>
    <row r="156">
      <c r="A156" s="22" t="n"/>
      <c r="B156" s="9" t="n"/>
      <c r="C156" s="17">
        <f>IF($A156="","",3+INT(($A156-DATE(2026,10,5))/7))</f>
        <v/>
      </c>
      <c r="D156" s="9" t="n"/>
      <c r="E156" s="9" t="n"/>
      <c r="F156" s="8" t="n"/>
      <c r="G156" s="23" t="n"/>
      <c r="H156" s="23" t="n"/>
      <c r="I156" s="15" t="n"/>
      <c r="J156" s="17">
        <f>IF(OR($G156="",$H156=""),"",MAX(0,ROUND(($H156-$G156)*1440,0)-N($I156)))</f>
        <v/>
      </c>
      <c r="K156" s="8" t="n"/>
    </row>
    <row r="157">
      <c r="A157" s="22" t="n"/>
      <c r="B157" s="9" t="n"/>
      <c r="C157" s="17">
        <f>IF($A157="","",3+INT(($A157-DATE(2026,10,5))/7))</f>
        <v/>
      </c>
      <c r="D157" s="9" t="n"/>
      <c r="E157" s="9" t="n"/>
      <c r="F157" s="8" t="n"/>
      <c r="G157" s="23" t="n"/>
      <c r="H157" s="23" t="n"/>
      <c r="I157" s="15" t="n"/>
      <c r="J157" s="17">
        <f>IF(OR($G157="",$H157=""),"",MAX(0,ROUND(($H157-$G157)*1440,0)-N($I157)))</f>
        <v/>
      </c>
      <c r="K157" s="8" t="n"/>
    </row>
    <row r="158">
      <c r="A158" s="22" t="n"/>
      <c r="B158" s="9" t="n"/>
      <c r="C158" s="17">
        <f>IF($A158="","",3+INT(($A158-DATE(2026,10,5))/7))</f>
        <v/>
      </c>
      <c r="D158" s="9" t="n"/>
      <c r="E158" s="9" t="n"/>
      <c r="F158" s="8" t="n"/>
      <c r="G158" s="23" t="n"/>
      <c r="H158" s="23" t="n"/>
      <c r="I158" s="15" t="n"/>
      <c r="J158" s="17">
        <f>IF(OR($G158="",$H158=""),"",MAX(0,ROUND(($H158-$G158)*1440,0)-N($I158)))</f>
        <v/>
      </c>
      <c r="K158" s="8" t="n"/>
    </row>
    <row r="159">
      <c r="A159" s="22" t="n"/>
      <c r="B159" s="9" t="n"/>
      <c r="C159" s="17">
        <f>IF($A159="","",3+INT(($A159-DATE(2026,10,5))/7))</f>
        <v/>
      </c>
      <c r="D159" s="9" t="n"/>
      <c r="E159" s="9" t="n"/>
      <c r="F159" s="8" t="n"/>
      <c r="G159" s="23" t="n"/>
      <c r="H159" s="23" t="n"/>
      <c r="I159" s="15" t="n"/>
      <c r="J159" s="17">
        <f>IF(OR($G159="",$H159=""),"",MAX(0,ROUND(($H159-$G159)*1440,0)-N($I159)))</f>
        <v/>
      </c>
      <c r="K159" s="8" t="n"/>
    </row>
    <row r="160">
      <c r="A160" s="22" t="n"/>
      <c r="B160" s="9" t="n"/>
      <c r="C160" s="17">
        <f>IF($A160="","",3+INT(($A160-DATE(2026,10,5))/7))</f>
        <v/>
      </c>
      <c r="D160" s="9" t="n"/>
      <c r="E160" s="9" t="n"/>
      <c r="F160" s="8" t="n"/>
      <c r="G160" s="23" t="n"/>
      <c r="H160" s="23" t="n"/>
      <c r="I160" s="15" t="n"/>
      <c r="J160" s="17">
        <f>IF(OR($G160="",$H160=""),"",MAX(0,ROUND(($H160-$G160)*1440,0)-N($I160)))</f>
        <v/>
      </c>
      <c r="K160" s="8" t="n"/>
    </row>
    <row r="161">
      <c r="A161" s="22" t="n"/>
      <c r="B161" s="9" t="n"/>
      <c r="C161" s="17">
        <f>IF($A161="","",3+INT(($A161-DATE(2026,10,5))/7))</f>
        <v/>
      </c>
      <c r="D161" s="9" t="n"/>
      <c r="E161" s="9" t="n"/>
      <c r="F161" s="8" t="n"/>
      <c r="G161" s="23" t="n"/>
      <c r="H161" s="23" t="n"/>
      <c r="I161" s="15" t="n"/>
      <c r="J161" s="17">
        <f>IF(OR($G161="",$H161=""),"",MAX(0,ROUND(($H161-$G161)*1440,0)-N($I161)))</f>
        <v/>
      </c>
      <c r="K161" s="8" t="n"/>
    </row>
    <row r="162">
      <c r="A162" s="22" t="n"/>
      <c r="B162" s="9" t="n"/>
      <c r="C162" s="17">
        <f>IF($A162="","",3+INT(($A162-DATE(2026,10,5))/7))</f>
        <v/>
      </c>
      <c r="D162" s="9" t="n"/>
      <c r="E162" s="9" t="n"/>
      <c r="F162" s="8" t="n"/>
      <c r="G162" s="23" t="n"/>
      <c r="H162" s="23" t="n"/>
      <c r="I162" s="15" t="n"/>
      <c r="J162" s="17">
        <f>IF(OR($G162="",$H162=""),"",MAX(0,ROUND(($H162-$G162)*1440,0)-N($I162)))</f>
        <v/>
      </c>
      <c r="K162" s="8" t="n"/>
    </row>
    <row r="163">
      <c r="A163" s="22" t="n"/>
      <c r="B163" s="9" t="n"/>
      <c r="C163" s="17">
        <f>IF($A163="","",3+INT(($A163-DATE(2026,10,5))/7))</f>
        <v/>
      </c>
      <c r="D163" s="9" t="n"/>
      <c r="E163" s="9" t="n"/>
      <c r="F163" s="8" t="n"/>
      <c r="G163" s="23" t="n"/>
      <c r="H163" s="23" t="n"/>
      <c r="I163" s="15" t="n"/>
      <c r="J163" s="17">
        <f>IF(OR($G163="",$H163=""),"",MAX(0,ROUND(($H163-$G163)*1440,0)-N($I163)))</f>
        <v/>
      </c>
      <c r="K163" s="8" t="n"/>
    </row>
    <row r="164">
      <c r="A164" s="22" t="n"/>
      <c r="B164" s="9" t="n"/>
      <c r="C164" s="17">
        <f>IF($A164="","",3+INT(($A164-DATE(2026,10,5))/7))</f>
        <v/>
      </c>
      <c r="D164" s="9" t="n"/>
      <c r="E164" s="9" t="n"/>
      <c r="F164" s="8" t="n"/>
      <c r="G164" s="23" t="n"/>
      <c r="H164" s="23" t="n"/>
      <c r="I164" s="15" t="n"/>
      <c r="J164" s="17">
        <f>IF(OR($G164="",$H164=""),"",MAX(0,ROUND(($H164-$G164)*1440,0)-N($I164)))</f>
        <v/>
      </c>
      <c r="K164" s="8" t="n"/>
    </row>
    <row r="165">
      <c r="A165" s="22" t="n"/>
      <c r="B165" s="9" t="n"/>
      <c r="C165" s="17">
        <f>IF($A165="","",3+INT(($A165-DATE(2026,10,5))/7))</f>
        <v/>
      </c>
      <c r="D165" s="9" t="n"/>
      <c r="E165" s="9" t="n"/>
      <c r="F165" s="8" t="n"/>
      <c r="G165" s="23" t="n"/>
      <c r="H165" s="23" t="n"/>
      <c r="I165" s="15" t="n"/>
      <c r="J165" s="17">
        <f>IF(OR($G165="",$H165=""),"",MAX(0,ROUND(($H165-$G165)*1440,0)-N($I165)))</f>
        <v/>
      </c>
      <c r="K165" s="8" t="n"/>
    </row>
    <row r="166">
      <c r="A166" s="22" t="n"/>
      <c r="B166" s="9" t="n"/>
      <c r="C166" s="17">
        <f>IF($A166="","",3+INT(($A166-DATE(2026,10,5))/7))</f>
        <v/>
      </c>
      <c r="D166" s="9" t="n"/>
      <c r="E166" s="9" t="n"/>
      <c r="F166" s="8" t="n"/>
      <c r="G166" s="23" t="n"/>
      <c r="H166" s="23" t="n"/>
      <c r="I166" s="15" t="n"/>
      <c r="J166" s="17">
        <f>IF(OR($G166="",$H166=""),"",MAX(0,ROUND(($H166-$G166)*1440,0)-N($I166)))</f>
        <v/>
      </c>
      <c r="K166" s="8" t="n"/>
    </row>
    <row r="167">
      <c r="A167" s="22" t="n"/>
      <c r="B167" s="9" t="n"/>
      <c r="C167" s="17">
        <f>IF($A167="","",3+INT(($A167-DATE(2026,10,5))/7))</f>
        <v/>
      </c>
      <c r="D167" s="9" t="n"/>
      <c r="E167" s="9" t="n"/>
      <c r="F167" s="8" t="n"/>
      <c r="G167" s="23" t="n"/>
      <c r="H167" s="23" t="n"/>
      <c r="I167" s="15" t="n"/>
      <c r="J167" s="17">
        <f>IF(OR($G167="",$H167=""),"",MAX(0,ROUND(($H167-$G167)*1440,0)-N($I167)))</f>
        <v/>
      </c>
      <c r="K167" s="8" t="n"/>
    </row>
    <row r="168">
      <c r="A168" s="22" t="n"/>
      <c r="B168" s="9" t="n"/>
      <c r="C168" s="17">
        <f>IF($A168="","",3+INT(($A168-DATE(2026,10,5))/7))</f>
        <v/>
      </c>
      <c r="D168" s="9" t="n"/>
      <c r="E168" s="9" t="n"/>
      <c r="F168" s="8" t="n"/>
      <c r="G168" s="23" t="n"/>
      <c r="H168" s="23" t="n"/>
      <c r="I168" s="15" t="n"/>
      <c r="J168" s="17">
        <f>IF(OR($G168="",$H168=""),"",MAX(0,ROUND(($H168-$G168)*1440,0)-N($I168)))</f>
        <v/>
      </c>
      <c r="K168" s="8" t="n"/>
    </row>
    <row r="169">
      <c r="A169" s="22" t="n"/>
      <c r="B169" s="9" t="n"/>
      <c r="C169" s="17">
        <f>IF($A169="","",3+INT(($A169-DATE(2026,10,5))/7))</f>
        <v/>
      </c>
      <c r="D169" s="9" t="n"/>
      <c r="E169" s="9" t="n"/>
      <c r="F169" s="8" t="n"/>
      <c r="G169" s="23" t="n"/>
      <c r="H169" s="23" t="n"/>
      <c r="I169" s="15" t="n"/>
      <c r="J169" s="17">
        <f>IF(OR($G169="",$H169=""),"",MAX(0,ROUND(($H169-$G169)*1440,0)-N($I169)))</f>
        <v/>
      </c>
      <c r="K169" s="8" t="n"/>
    </row>
    <row r="170">
      <c r="A170" s="22" t="n"/>
      <c r="B170" s="9" t="n"/>
      <c r="C170" s="17">
        <f>IF($A170="","",3+INT(($A170-DATE(2026,10,5))/7))</f>
        <v/>
      </c>
      <c r="D170" s="9" t="n"/>
      <c r="E170" s="9" t="n"/>
      <c r="F170" s="8" t="n"/>
      <c r="G170" s="23" t="n"/>
      <c r="H170" s="23" t="n"/>
      <c r="I170" s="15" t="n"/>
      <c r="J170" s="17">
        <f>IF(OR($G170="",$H170=""),"",MAX(0,ROUND(($H170-$G170)*1440,0)-N($I170)))</f>
        <v/>
      </c>
      <c r="K170" s="8" t="n"/>
    </row>
    <row r="171">
      <c r="A171" s="22" t="n"/>
      <c r="B171" s="9" t="n"/>
      <c r="C171" s="17">
        <f>IF($A171="","",3+INT(($A171-DATE(2026,10,5))/7))</f>
        <v/>
      </c>
      <c r="D171" s="9" t="n"/>
      <c r="E171" s="9" t="n"/>
      <c r="F171" s="8" t="n"/>
      <c r="G171" s="23" t="n"/>
      <c r="H171" s="23" t="n"/>
      <c r="I171" s="15" t="n"/>
      <c r="J171" s="17">
        <f>IF(OR($G171="",$H171=""),"",MAX(0,ROUND(($H171-$G171)*1440,0)-N($I171)))</f>
        <v/>
      </c>
      <c r="K171" s="8" t="n"/>
    </row>
    <row r="172">
      <c r="A172" s="22" t="n"/>
      <c r="B172" s="9" t="n"/>
      <c r="C172" s="17">
        <f>IF($A172="","",3+INT(($A172-DATE(2026,10,5))/7))</f>
        <v/>
      </c>
      <c r="D172" s="9" t="n"/>
      <c r="E172" s="9" t="n"/>
      <c r="F172" s="8" t="n"/>
      <c r="G172" s="23" t="n"/>
      <c r="H172" s="23" t="n"/>
      <c r="I172" s="15" t="n"/>
      <c r="J172" s="17">
        <f>IF(OR($G172="",$H172=""),"",MAX(0,ROUND(($H172-$G172)*1440,0)-N($I172)))</f>
        <v/>
      </c>
      <c r="K172" s="8" t="n"/>
    </row>
    <row r="173">
      <c r="A173" s="22" t="n"/>
      <c r="B173" s="9" t="n"/>
      <c r="C173" s="17">
        <f>IF($A173="","",3+INT(($A173-DATE(2026,10,5))/7))</f>
        <v/>
      </c>
      <c r="D173" s="9" t="n"/>
      <c r="E173" s="9" t="n"/>
      <c r="F173" s="8" t="n"/>
      <c r="G173" s="23" t="n"/>
      <c r="H173" s="23" t="n"/>
      <c r="I173" s="15" t="n"/>
      <c r="J173" s="17">
        <f>IF(OR($G173="",$H173=""),"",MAX(0,ROUND(($H173-$G173)*1440,0)-N($I173)))</f>
        <v/>
      </c>
      <c r="K173" s="8" t="n"/>
    </row>
    <row r="174">
      <c r="A174" s="22" t="n"/>
      <c r="B174" s="9" t="n"/>
      <c r="C174" s="17">
        <f>IF($A174="","",3+INT(($A174-DATE(2026,10,5))/7))</f>
        <v/>
      </c>
      <c r="D174" s="9" t="n"/>
      <c r="E174" s="9" t="n"/>
      <c r="F174" s="8" t="n"/>
      <c r="G174" s="23" t="n"/>
      <c r="H174" s="23" t="n"/>
      <c r="I174" s="15" t="n"/>
      <c r="J174" s="17">
        <f>IF(OR($G174="",$H174=""),"",MAX(0,ROUND(($H174-$G174)*1440,0)-N($I174)))</f>
        <v/>
      </c>
      <c r="K174" s="8" t="n"/>
    </row>
    <row r="175">
      <c r="A175" s="22" t="n"/>
      <c r="B175" s="9" t="n"/>
      <c r="C175" s="17">
        <f>IF($A175="","",3+INT(($A175-DATE(2026,10,5))/7))</f>
        <v/>
      </c>
      <c r="D175" s="9" t="n"/>
      <c r="E175" s="9" t="n"/>
      <c r="F175" s="8" t="n"/>
      <c r="G175" s="23" t="n"/>
      <c r="H175" s="23" t="n"/>
      <c r="I175" s="15" t="n"/>
      <c r="J175" s="17">
        <f>IF(OR($G175="",$H175=""),"",MAX(0,ROUND(($H175-$G175)*1440,0)-N($I175)))</f>
        <v/>
      </c>
      <c r="K175" s="8" t="n"/>
    </row>
    <row r="176">
      <c r="A176" s="22" t="n"/>
      <c r="B176" s="9" t="n"/>
      <c r="C176" s="17">
        <f>IF($A176="","",3+INT(($A176-DATE(2026,10,5))/7))</f>
        <v/>
      </c>
      <c r="D176" s="9" t="n"/>
      <c r="E176" s="9" t="n"/>
      <c r="F176" s="8" t="n"/>
      <c r="G176" s="23" t="n"/>
      <c r="H176" s="23" t="n"/>
      <c r="I176" s="15" t="n"/>
      <c r="J176" s="17">
        <f>IF(OR($G176="",$H176=""),"",MAX(0,ROUND(($H176-$G176)*1440,0)-N($I176)))</f>
        <v/>
      </c>
      <c r="K176" s="8" t="n"/>
    </row>
    <row r="177">
      <c r="A177" s="22" t="n"/>
      <c r="B177" s="9" t="n"/>
      <c r="C177" s="17">
        <f>IF($A177="","",3+INT(($A177-DATE(2026,10,5))/7))</f>
        <v/>
      </c>
      <c r="D177" s="9" t="n"/>
      <c r="E177" s="9" t="n"/>
      <c r="F177" s="8" t="n"/>
      <c r="G177" s="23" t="n"/>
      <c r="H177" s="23" t="n"/>
      <c r="I177" s="15" t="n"/>
      <c r="J177" s="17">
        <f>IF(OR($G177="",$H177=""),"",MAX(0,ROUND(($H177-$G177)*1440,0)-N($I177)))</f>
        <v/>
      </c>
      <c r="K177" s="8" t="n"/>
    </row>
    <row r="178">
      <c r="A178" s="22" t="n"/>
      <c r="B178" s="9" t="n"/>
      <c r="C178" s="17">
        <f>IF($A178="","",3+INT(($A178-DATE(2026,10,5))/7))</f>
        <v/>
      </c>
      <c r="D178" s="9" t="n"/>
      <c r="E178" s="9" t="n"/>
      <c r="F178" s="8" t="n"/>
      <c r="G178" s="23" t="n"/>
      <c r="H178" s="23" t="n"/>
      <c r="I178" s="15" t="n"/>
      <c r="J178" s="17">
        <f>IF(OR($G178="",$H178=""),"",MAX(0,ROUND(($H178-$G178)*1440,0)-N($I178)))</f>
        <v/>
      </c>
      <c r="K178" s="8" t="n"/>
    </row>
    <row r="179">
      <c r="A179" s="22" t="n"/>
      <c r="B179" s="9" t="n"/>
      <c r="C179" s="17">
        <f>IF($A179="","",3+INT(($A179-DATE(2026,10,5))/7))</f>
        <v/>
      </c>
      <c r="D179" s="9" t="n"/>
      <c r="E179" s="9" t="n"/>
      <c r="F179" s="8" t="n"/>
      <c r="G179" s="23" t="n"/>
      <c r="H179" s="23" t="n"/>
      <c r="I179" s="15" t="n"/>
      <c r="J179" s="17">
        <f>IF(OR($G179="",$H179=""),"",MAX(0,ROUND(($H179-$G179)*1440,0)-N($I179)))</f>
        <v/>
      </c>
      <c r="K179" s="8" t="n"/>
    </row>
    <row r="180">
      <c r="A180" s="22" t="n"/>
      <c r="B180" s="9" t="n"/>
      <c r="C180" s="17">
        <f>IF($A180="","",3+INT(($A180-DATE(2026,10,5))/7))</f>
        <v/>
      </c>
      <c r="D180" s="9" t="n"/>
      <c r="E180" s="9" t="n"/>
      <c r="F180" s="8" t="n"/>
      <c r="G180" s="23" t="n"/>
      <c r="H180" s="23" t="n"/>
      <c r="I180" s="15" t="n"/>
      <c r="J180" s="17">
        <f>IF(OR($G180="",$H180=""),"",MAX(0,ROUND(($H180-$G180)*1440,0)-N($I180)))</f>
        <v/>
      </c>
      <c r="K180" s="8" t="n"/>
    </row>
    <row r="181">
      <c r="A181" s="22" t="n"/>
      <c r="B181" s="9" t="n"/>
      <c r="C181" s="17">
        <f>IF($A181="","",3+INT(($A181-DATE(2026,10,5))/7))</f>
        <v/>
      </c>
      <c r="D181" s="9" t="n"/>
      <c r="E181" s="9" t="n"/>
      <c r="F181" s="8" t="n"/>
      <c r="G181" s="23" t="n"/>
      <c r="H181" s="23" t="n"/>
      <c r="I181" s="15" t="n"/>
      <c r="J181" s="17">
        <f>IF(OR($G181="",$H181=""),"",MAX(0,ROUND(($H181-$G181)*1440,0)-N($I181)))</f>
        <v/>
      </c>
      <c r="K181" s="8" t="n"/>
    </row>
    <row r="182">
      <c r="A182" s="22" t="n"/>
      <c r="B182" s="9" t="n"/>
      <c r="C182" s="17">
        <f>IF($A182="","",3+INT(($A182-DATE(2026,10,5))/7))</f>
        <v/>
      </c>
      <c r="D182" s="9" t="n"/>
      <c r="E182" s="9" t="n"/>
      <c r="F182" s="8" t="n"/>
      <c r="G182" s="23" t="n"/>
      <c r="H182" s="23" t="n"/>
      <c r="I182" s="15" t="n"/>
      <c r="J182" s="17">
        <f>IF(OR($G182="",$H182=""),"",MAX(0,ROUND(($H182-$G182)*1440,0)-N($I182)))</f>
        <v/>
      </c>
      <c r="K182" s="8" t="n"/>
    </row>
    <row r="183">
      <c r="A183" s="22" t="n"/>
      <c r="B183" s="9" t="n"/>
      <c r="C183" s="17">
        <f>IF($A183="","",3+INT(($A183-DATE(2026,10,5))/7))</f>
        <v/>
      </c>
      <c r="D183" s="9" t="n"/>
      <c r="E183" s="9" t="n"/>
      <c r="F183" s="8" t="n"/>
      <c r="G183" s="23" t="n"/>
      <c r="H183" s="23" t="n"/>
      <c r="I183" s="15" t="n"/>
      <c r="J183" s="17">
        <f>IF(OR($G183="",$H183=""),"",MAX(0,ROUND(($H183-$G183)*1440,0)-N($I183)))</f>
        <v/>
      </c>
      <c r="K183" s="8" t="n"/>
    </row>
    <row r="184">
      <c r="A184" s="22" t="n"/>
      <c r="B184" s="9" t="n"/>
      <c r="C184" s="17">
        <f>IF($A184="","",3+INT(($A184-DATE(2026,10,5))/7))</f>
        <v/>
      </c>
      <c r="D184" s="9" t="n"/>
      <c r="E184" s="9" t="n"/>
      <c r="F184" s="8" t="n"/>
      <c r="G184" s="23" t="n"/>
      <c r="H184" s="23" t="n"/>
      <c r="I184" s="15" t="n"/>
      <c r="J184" s="17">
        <f>IF(OR($G184="",$H184=""),"",MAX(0,ROUND(($H184-$G184)*1440,0)-N($I184)))</f>
        <v/>
      </c>
      <c r="K184" s="8" t="n"/>
    </row>
    <row r="185">
      <c r="A185" s="22" t="n"/>
      <c r="B185" s="9" t="n"/>
      <c r="C185" s="17">
        <f>IF($A185="","",3+INT(($A185-DATE(2026,10,5))/7))</f>
        <v/>
      </c>
      <c r="D185" s="9" t="n"/>
      <c r="E185" s="9" t="n"/>
      <c r="F185" s="8" t="n"/>
      <c r="G185" s="23" t="n"/>
      <c r="H185" s="23" t="n"/>
      <c r="I185" s="15" t="n"/>
      <c r="J185" s="17">
        <f>IF(OR($G185="",$H185=""),"",MAX(0,ROUND(($H185-$G185)*1440,0)-N($I185)))</f>
        <v/>
      </c>
      <c r="K185" s="8" t="n"/>
    </row>
    <row r="186">
      <c r="A186" s="22" t="n"/>
      <c r="B186" s="9" t="n"/>
      <c r="C186" s="17">
        <f>IF($A186="","",3+INT(($A186-DATE(2026,10,5))/7))</f>
        <v/>
      </c>
      <c r="D186" s="9" t="n"/>
      <c r="E186" s="9" t="n"/>
      <c r="F186" s="8" t="n"/>
      <c r="G186" s="23" t="n"/>
      <c r="H186" s="23" t="n"/>
      <c r="I186" s="15" t="n"/>
      <c r="J186" s="17">
        <f>IF(OR($G186="",$H186=""),"",MAX(0,ROUND(($H186-$G186)*1440,0)-N($I186)))</f>
        <v/>
      </c>
      <c r="K186" s="8" t="n"/>
    </row>
    <row r="187">
      <c r="A187" s="22" t="n"/>
      <c r="B187" s="9" t="n"/>
      <c r="C187" s="17">
        <f>IF($A187="","",3+INT(($A187-DATE(2026,10,5))/7))</f>
        <v/>
      </c>
      <c r="D187" s="9" t="n"/>
      <c r="E187" s="9" t="n"/>
      <c r="F187" s="8" t="n"/>
      <c r="G187" s="23" t="n"/>
      <c r="H187" s="23" t="n"/>
      <c r="I187" s="15" t="n"/>
      <c r="J187" s="17">
        <f>IF(OR($G187="",$H187=""),"",MAX(0,ROUND(($H187-$G187)*1440,0)-N($I187)))</f>
        <v/>
      </c>
      <c r="K187" s="8" t="n"/>
    </row>
    <row r="188">
      <c r="A188" s="22" t="n"/>
      <c r="B188" s="9" t="n"/>
      <c r="C188" s="17">
        <f>IF($A188="","",3+INT(($A188-DATE(2026,10,5))/7))</f>
        <v/>
      </c>
      <c r="D188" s="9" t="n"/>
      <c r="E188" s="9" t="n"/>
      <c r="F188" s="8" t="n"/>
      <c r="G188" s="23" t="n"/>
      <c r="H188" s="23" t="n"/>
      <c r="I188" s="15" t="n"/>
      <c r="J188" s="17">
        <f>IF(OR($G188="",$H188=""),"",MAX(0,ROUND(($H188-$G188)*1440,0)-N($I188)))</f>
        <v/>
      </c>
      <c r="K188" s="8" t="n"/>
    </row>
    <row r="189">
      <c r="A189" s="22" t="n"/>
      <c r="B189" s="9" t="n"/>
      <c r="C189" s="17">
        <f>IF($A189="","",3+INT(($A189-DATE(2026,10,5))/7))</f>
        <v/>
      </c>
      <c r="D189" s="9" t="n"/>
      <c r="E189" s="9" t="n"/>
      <c r="F189" s="8" t="n"/>
      <c r="G189" s="23" t="n"/>
      <c r="H189" s="23" t="n"/>
      <c r="I189" s="15" t="n"/>
      <c r="J189" s="17">
        <f>IF(OR($G189="",$H189=""),"",MAX(0,ROUND(($H189-$G189)*1440,0)-N($I189)))</f>
        <v/>
      </c>
      <c r="K189" s="8" t="n"/>
    </row>
    <row r="190">
      <c r="A190" s="22" t="n"/>
      <c r="B190" s="9" t="n"/>
      <c r="C190" s="17">
        <f>IF($A190="","",3+INT(($A190-DATE(2026,10,5))/7))</f>
        <v/>
      </c>
      <c r="D190" s="9" t="n"/>
      <c r="E190" s="9" t="n"/>
      <c r="F190" s="8" t="n"/>
      <c r="G190" s="23" t="n"/>
      <c r="H190" s="23" t="n"/>
      <c r="I190" s="15" t="n"/>
      <c r="J190" s="17">
        <f>IF(OR($G190="",$H190=""),"",MAX(0,ROUND(($H190-$G190)*1440,0)-N($I190)))</f>
        <v/>
      </c>
      <c r="K190" s="8" t="n"/>
    </row>
    <row r="191">
      <c r="A191" s="22" t="n"/>
      <c r="B191" s="9" t="n"/>
      <c r="C191" s="17">
        <f>IF($A191="","",3+INT(($A191-DATE(2026,10,5))/7))</f>
        <v/>
      </c>
      <c r="D191" s="9" t="n"/>
      <c r="E191" s="9" t="n"/>
      <c r="F191" s="8" t="n"/>
      <c r="G191" s="23" t="n"/>
      <c r="H191" s="23" t="n"/>
      <c r="I191" s="15" t="n"/>
      <c r="J191" s="17">
        <f>IF(OR($G191="",$H191=""),"",MAX(0,ROUND(($H191-$G191)*1440,0)-N($I191)))</f>
        <v/>
      </c>
      <c r="K191" s="8" t="n"/>
    </row>
    <row r="192">
      <c r="A192" s="22" t="n"/>
      <c r="B192" s="9" t="n"/>
      <c r="C192" s="17">
        <f>IF($A192="","",3+INT(($A192-DATE(2026,10,5))/7))</f>
        <v/>
      </c>
      <c r="D192" s="9" t="n"/>
      <c r="E192" s="9" t="n"/>
      <c r="F192" s="8" t="n"/>
      <c r="G192" s="23" t="n"/>
      <c r="H192" s="23" t="n"/>
      <c r="I192" s="15" t="n"/>
      <c r="J192" s="17">
        <f>IF(OR($G192="",$H192=""),"",MAX(0,ROUND(($H192-$G192)*1440,0)-N($I192)))</f>
        <v/>
      </c>
      <c r="K192" s="8" t="n"/>
    </row>
    <row r="193">
      <c r="A193" s="22" t="n"/>
      <c r="B193" s="9" t="n"/>
      <c r="C193" s="17">
        <f>IF($A193="","",3+INT(($A193-DATE(2026,10,5))/7))</f>
        <v/>
      </c>
      <c r="D193" s="9" t="n"/>
      <c r="E193" s="9" t="n"/>
      <c r="F193" s="8" t="n"/>
      <c r="G193" s="23" t="n"/>
      <c r="H193" s="23" t="n"/>
      <c r="I193" s="15" t="n"/>
      <c r="J193" s="17">
        <f>IF(OR($G193="",$H193=""),"",MAX(0,ROUND(($H193-$G193)*1440,0)-N($I193)))</f>
        <v/>
      </c>
      <c r="K193" s="8" t="n"/>
    </row>
    <row r="194">
      <c r="A194" s="22" t="n"/>
      <c r="B194" s="9" t="n"/>
      <c r="C194" s="17">
        <f>IF($A194="","",3+INT(($A194-DATE(2026,10,5))/7))</f>
        <v/>
      </c>
      <c r="D194" s="9" t="n"/>
      <c r="E194" s="9" t="n"/>
      <c r="F194" s="8" t="n"/>
      <c r="G194" s="23" t="n"/>
      <c r="H194" s="23" t="n"/>
      <c r="I194" s="15" t="n"/>
      <c r="J194" s="17">
        <f>IF(OR($G194="",$H194=""),"",MAX(0,ROUND(($H194-$G194)*1440,0)-N($I194)))</f>
        <v/>
      </c>
      <c r="K194" s="8" t="n"/>
    </row>
    <row r="195">
      <c r="A195" s="22" t="n"/>
      <c r="B195" s="9" t="n"/>
      <c r="C195" s="17">
        <f>IF($A195="","",3+INT(($A195-DATE(2026,10,5))/7))</f>
        <v/>
      </c>
      <c r="D195" s="9" t="n"/>
      <c r="E195" s="9" t="n"/>
      <c r="F195" s="8" t="n"/>
      <c r="G195" s="23" t="n"/>
      <c r="H195" s="23" t="n"/>
      <c r="I195" s="15" t="n"/>
      <c r="J195" s="17">
        <f>IF(OR($G195="",$H195=""),"",MAX(0,ROUND(($H195-$G195)*1440,0)-N($I195)))</f>
        <v/>
      </c>
      <c r="K195" s="8" t="n"/>
    </row>
    <row r="196">
      <c r="A196" s="22" t="n"/>
      <c r="B196" s="9" t="n"/>
      <c r="C196" s="17">
        <f>IF($A196="","",3+INT(($A196-DATE(2026,10,5))/7))</f>
        <v/>
      </c>
      <c r="D196" s="9" t="n"/>
      <c r="E196" s="9" t="n"/>
      <c r="F196" s="8" t="n"/>
      <c r="G196" s="23" t="n"/>
      <c r="H196" s="23" t="n"/>
      <c r="I196" s="15" t="n"/>
      <c r="J196" s="17">
        <f>IF(OR($G196="",$H196=""),"",MAX(0,ROUND(($H196-$G196)*1440,0)-N($I196)))</f>
        <v/>
      </c>
      <c r="K196" s="8" t="n"/>
    </row>
    <row r="197">
      <c r="A197" s="22" t="n"/>
      <c r="B197" s="9" t="n"/>
      <c r="C197" s="17">
        <f>IF($A197="","",3+INT(($A197-DATE(2026,10,5))/7))</f>
        <v/>
      </c>
      <c r="D197" s="9" t="n"/>
      <c r="E197" s="9" t="n"/>
      <c r="F197" s="8" t="n"/>
      <c r="G197" s="23" t="n"/>
      <c r="H197" s="23" t="n"/>
      <c r="I197" s="15" t="n"/>
      <c r="J197" s="17">
        <f>IF(OR($G197="",$H197=""),"",MAX(0,ROUND(($H197-$G197)*1440,0)-N($I197)))</f>
        <v/>
      </c>
      <c r="K197" s="8" t="n"/>
    </row>
    <row r="198">
      <c r="A198" s="22" t="n"/>
      <c r="B198" s="9" t="n"/>
      <c r="C198" s="17">
        <f>IF($A198="","",3+INT(($A198-DATE(2026,10,5))/7))</f>
        <v/>
      </c>
      <c r="D198" s="9" t="n"/>
      <c r="E198" s="9" t="n"/>
      <c r="F198" s="8" t="n"/>
      <c r="G198" s="23" t="n"/>
      <c r="H198" s="23" t="n"/>
      <c r="I198" s="15" t="n"/>
      <c r="J198" s="17">
        <f>IF(OR($G198="",$H198=""),"",MAX(0,ROUND(($H198-$G198)*1440,0)-N($I198)))</f>
        <v/>
      </c>
      <c r="K198" s="8" t="n"/>
    </row>
    <row r="199">
      <c r="A199" s="22" t="n"/>
      <c r="B199" s="9" t="n"/>
      <c r="C199" s="17">
        <f>IF($A199="","",3+INT(($A199-DATE(2026,10,5))/7))</f>
        <v/>
      </c>
      <c r="D199" s="9" t="n"/>
      <c r="E199" s="9" t="n"/>
      <c r="F199" s="8" t="n"/>
      <c r="G199" s="23" t="n"/>
      <c r="H199" s="23" t="n"/>
      <c r="I199" s="15" t="n"/>
      <c r="J199" s="17">
        <f>IF(OR($G199="",$H199=""),"",MAX(0,ROUND(($H199-$G199)*1440,0)-N($I199)))</f>
        <v/>
      </c>
      <c r="K199" s="8" t="n"/>
    </row>
    <row r="200">
      <c r="A200" s="22" t="n"/>
      <c r="B200" s="9" t="n"/>
      <c r="C200" s="17">
        <f>IF($A200="","",3+INT(($A200-DATE(2026,10,5))/7))</f>
        <v/>
      </c>
      <c r="D200" s="9" t="n"/>
      <c r="E200" s="9" t="n"/>
      <c r="F200" s="8" t="n"/>
      <c r="G200" s="23" t="n"/>
      <c r="H200" s="23" t="n"/>
      <c r="I200" s="15" t="n"/>
      <c r="J200" s="17">
        <f>IF(OR($G200="",$H200=""),"",MAX(0,ROUND(($H200-$G200)*1440,0)-N($I200)))</f>
        <v/>
      </c>
      <c r="K200" s="8" t="n"/>
    </row>
    <row r="201">
      <c r="A201" s="22" t="n"/>
      <c r="B201" s="9" t="n"/>
      <c r="C201" s="17">
        <f>IF($A201="","",3+INT(($A201-DATE(2026,10,5))/7))</f>
        <v/>
      </c>
      <c r="D201" s="9" t="n"/>
      <c r="E201" s="9" t="n"/>
      <c r="F201" s="8" t="n"/>
      <c r="G201" s="23" t="n"/>
      <c r="H201" s="23" t="n"/>
      <c r="I201" s="15" t="n"/>
      <c r="J201" s="17">
        <f>IF(OR($G201="",$H201=""),"",MAX(0,ROUND(($H201-$G201)*1440,0)-N($I201)))</f>
        <v/>
      </c>
      <c r="K201" s="8" t="n"/>
    </row>
    <row r="202">
      <c r="A202" s="22" t="n"/>
      <c r="B202" s="9" t="n"/>
      <c r="C202" s="17">
        <f>IF($A202="","",3+INT(($A202-DATE(2026,10,5))/7))</f>
        <v/>
      </c>
      <c r="D202" s="9" t="n"/>
      <c r="E202" s="9" t="n"/>
      <c r="F202" s="8" t="n"/>
      <c r="G202" s="23" t="n"/>
      <c r="H202" s="23" t="n"/>
      <c r="I202" s="15" t="n"/>
      <c r="J202" s="17">
        <f>IF(OR($G202="",$H202=""),"",MAX(0,ROUND(($H202-$G202)*1440,0)-N($I202)))</f>
        <v/>
      </c>
      <c r="K202" s="8" t="n"/>
    </row>
    <row r="203">
      <c r="A203" s="22" t="n"/>
      <c r="B203" s="9" t="n"/>
      <c r="C203" s="17">
        <f>IF($A203="","",3+INT(($A203-DATE(2026,10,5))/7))</f>
        <v/>
      </c>
      <c r="D203" s="9" t="n"/>
      <c r="E203" s="9" t="n"/>
      <c r="F203" s="8" t="n"/>
      <c r="G203" s="23" t="n"/>
      <c r="H203" s="23" t="n"/>
      <c r="I203" s="15" t="n"/>
      <c r="J203" s="17">
        <f>IF(OR($G203="",$H203=""),"",MAX(0,ROUND(($H203-$G203)*1440,0)-N($I203)))</f>
        <v/>
      </c>
      <c r="K203" s="8" t="n"/>
    </row>
    <row r="204">
      <c r="A204" s="22" t="n"/>
      <c r="B204" s="9" t="n"/>
      <c r="C204" s="17">
        <f>IF($A204="","",3+INT(($A204-DATE(2026,10,5))/7))</f>
        <v/>
      </c>
      <c r="D204" s="9" t="n"/>
      <c r="E204" s="9" t="n"/>
      <c r="F204" s="8" t="n"/>
      <c r="G204" s="23" t="n"/>
      <c r="H204" s="23" t="n"/>
      <c r="I204" s="15" t="n"/>
      <c r="J204" s="17">
        <f>IF(OR($G204="",$H204=""),"",MAX(0,ROUND(($H204-$G204)*1440,0)-N($I204)))</f>
        <v/>
      </c>
      <c r="K204" s="8" t="n"/>
    </row>
    <row r="205">
      <c r="A205" s="22" t="n"/>
      <c r="B205" s="9" t="n"/>
      <c r="C205" s="17">
        <f>IF($A205="","",3+INT(($A205-DATE(2026,10,5))/7))</f>
        <v/>
      </c>
      <c r="D205" s="9" t="n"/>
      <c r="E205" s="9" t="n"/>
      <c r="F205" s="8" t="n"/>
      <c r="G205" s="23" t="n"/>
      <c r="H205" s="23" t="n"/>
      <c r="I205" s="15" t="n"/>
      <c r="J205" s="17">
        <f>IF(OR($G205="",$H205=""),"",MAX(0,ROUND(($H205-$G205)*1440,0)-N($I205)))</f>
        <v/>
      </c>
      <c r="K205" s="8" t="n"/>
    </row>
    <row r="206">
      <c r="A206" s="22" t="n"/>
      <c r="B206" s="9" t="n"/>
      <c r="C206" s="17">
        <f>IF($A206="","",3+INT(($A206-DATE(2026,10,5))/7))</f>
        <v/>
      </c>
      <c r="D206" s="9" t="n"/>
      <c r="E206" s="9" t="n"/>
      <c r="F206" s="8" t="n"/>
      <c r="G206" s="23" t="n"/>
      <c r="H206" s="23" t="n"/>
      <c r="I206" s="15" t="n"/>
      <c r="J206" s="17">
        <f>IF(OR($G206="",$H206=""),"",MAX(0,ROUND(($H206-$G206)*1440,0)-N($I206)))</f>
        <v/>
      </c>
      <c r="K206" s="8" t="n"/>
    </row>
  </sheetData>
  <mergeCells count="2">
    <mergeCell ref="A2:K2"/>
    <mergeCell ref="A1:K1"/>
  </mergeCells>
  <dataValidations count="2">
    <dataValidation sqref="B7:B206" showDropDown="0" showInputMessage="0" showErrorMessage="0" allowBlank="1" error="Pick a value from the list." promptTitle="Milestone" type="list">
      <formula1>=LISTS!$D$5:$D$8</formula1>
    </dataValidation>
    <dataValidation sqref="D7:D206" showDropDown="0" showInputMessage="0" showErrorMessage="0" allowBlank="1" error="Pick a value from the list." promptTitle="Phase" type="list">
      <formula1>=LISTS!$A$5:$A$31</formula1>
    </dataValidation>
  </dataValidations>
  <printOptions horizontalCentered="1"/>
  <pageMargins left="0.75" right="0.75" top="1" bottom="1" header="0.5" footer="0.5"/>
  <pageSetup orientation="landscape" paperSize="9" fitToHeight="0" fitToWidth="1"/>
  <headerFooter>
    <oddHeader/>
    <oddFooter>&amp;R&amp;8 TMA3084 member workbook v3.0  -  &amp;P of &amp;N</oddFooter>
    <evenHeader/>
    <evenFooter/>
    <firstHeader/>
    <firstFooter/>
  </headerFooter>
</worksheet>
</file>

<file path=xl/worksheets/sheet6.xml><?xml version="1.0" encoding="utf-8"?>
<worksheet xmlns="http://schemas.openxmlformats.org/spreadsheetml/2006/main">
  <sheetPr>
    <tabColor rgb="0014505C"/>
    <outlinePr summaryBelow="1" summaryRight="1"/>
    <pageSetUpPr fitToPage="1"/>
  </sheetPr>
  <dimension ref="A1:L106"/>
  <sheetViews>
    <sheetView showGridLines="0" workbookViewId="0">
      <pane ySplit="6" topLeftCell="A7" activePane="bottomLeft" state="frozen"/>
      <selection pane="bottomLeft" activeCell="A1" sqref="A1"/>
    </sheetView>
  </sheetViews>
  <sheetFormatPr baseColWidth="8" defaultRowHeight="15"/>
  <cols>
    <col width="11" customWidth="1" min="1" max="1"/>
    <col width="9" customWidth="1" min="2" max="2"/>
    <col width="9" customWidth="1" min="3" max="3"/>
    <col width="20" customWidth="1" min="4" max="4"/>
    <col width="24" customWidth="1" min="5" max="5"/>
    <col width="11" customWidth="1" min="6" max="6"/>
    <col width="11" customWidth="1" min="7" max="7"/>
    <col width="10" customWidth="1" min="8" max="8"/>
    <col width="14" customWidth="1" min="9" max="9"/>
    <col width="11" customWidth="1" min="10" max="10"/>
    <col width="10" customWidth="1" min="11" max="11"/>
    <col width="44" customWidth="1" min="12" max="12"/>
  </cols>
  <sheetData>
    <row r="1" ht="30" customHeight="1">
      <c r="A1" s="1" t="inlineStr">
        <is>
          <t>Form LOGD  -  My Defect Recording Log</t>
        </is>
      </c>
    </row>
    <row r="2" ht="16" customHeight="1">
      <c r="A2" s="2" t="inlineStr">
        <is>
          <t>Every defect you found and fixed. Injected in is the phase the mistake was MADE.</t>
        </is>
      </c>
    </row>
    <row r="4">
      <c r="A4" s="7" t="inlineStr">
        <is>
          <t>Member</t>
        </is>
      </c>
      <c r="B4" s="10">
        <f>SETUP!$C$5</f>
        <v/>
      </c>
      <c r="E4" s="7" t="inlineStr">
        <is>
          <t>Defects</t>
        </is>
      </c>
      <c r="F4" s="11">
        <f>COUNTA(LOGD!$B$7:$B$106)</f>
        <v/>
      </c>
      <c r="G4" s="7" t="inlineStr">
        <is>
          <t>Fix time (hrs)</t>
        </is>
      </c>
      <c r="I4" s="12">
        <f>SUM(LOGD!$H$7:$H$106)/60</f>
        <v/>
      </c>
    </row>
    <row r="6" ht="30" customHeight="1">
      <c r="A6" s="13" t="inlineStr">
        <is>
          <t>Date</t>
        </is>
      </c>
      <c r="B6" s="13" t="inlineStr">
        <is>
          <t>Defect ID</t>
        </is>
      </c>
      <c r="C6" s="13" t="inlineStr">
        <is>
          <t>M/stone</t>
        </is>
      </c>
      <c r="D6" s="13" t="inlineStr">
        <is>
          <t>Type</t>
        </is>
      </c>
      <c r="E6" s="13" t="inlineStr">
        <is>
          <t>Component</t>
        </is>
      </c>
      <c r="F6" s="13" t="inlineStr">
        <is>
          <t>Injected in</t>
        </is>
      </c>
      <c r="G6" s="13" t="inlineStr">
        <is>
          <t>Removed in</t>
        </is>
      </c>
      <c r="H6" s="13" t="inlineStr">
        <is>
          <t>Fix time (min)</t>
        </is>
      </c>
      <c r="I6" s="13" t="inlineStr">
        <is>
          <t>Fix reference</t>
        </is>
      </c>
      <c r="J6" s="13" t="inlineStr">
        <is>
          <t>Severity</t>
        </is>
      </c>
      <c r="K6" s="13" t="inlineStr">
        <is>
          <t>From AI?</t>
        </is>
      </c>
      <c r="L6" s="13" t="inlineStr">
        <is>
          <t>Description &amp; root cause</t>
        </is>
      </c>
    </row>
    <row r="7">
      <c r="A7" s="22" t="n"/>
      <c r="B7" s="9" t="n"/>
      <c r="C7" s="9" t="n"/>
      <c r="D7" s="8" t="n"/>
      <c r="E7" s="8" t="n"/>
      <c r="F7" s="9" t="n"/>
      <c r="G7" s="9" t="n"/>
      <c r="H7" s="15" t="n"/>
      <c r="I7" s="8" t="n"/>
      <c r="J7" s="9" t="n"/>
      <c r="K7" s="9" t="n"/>
      <c r="L7" s="8" t="n"/>
    </row>
    <row r="8">
      <c r="A8" s="22" t="n"/>
      <c r="B8" s="9" t="n"/>
      <c r="C8" s="9" t="n"/>
      <c r="D8" s="8" t="n"/>
      <c r="E8" s="8" t="n"/>
      <c r="F8" s="9" t="n"/>
      <c r="G8" s="9" t="n"/>
      <c r="H8" s="15" t="n"/>
      <c r="I8" s="8" t="n"/>
      <c r="J8" s="9" t="n"/>
      <c r="K8" s="9" t="n"/>
      <c r="L8" s="8" t="n"/>
    </row>
    <row r="9">
      <c r="A9" s="22" t="n"/>
      <c r="B9" s="9" t="n"/>
      <c r="C9" s="9" t="n"/>
      <c r="D9" s="8" t="n"/>
      <c r="E9" s="8" t="n"/>
      <c r="F9" s="9" t="n"/>
      <c r="G9" s="9" t="n"/>
      <c r="H9" s="15" t="n"/>
      <c r="I9" s="8" t="n"/>
      <c r="J9" s="9" t="n"/>
      <c r="K9" s="9" t="n"/>
      <c r="L9" s="8" t="n"/>
    </row>
    <row r="10">
      <c r="A10" s="22" t="n"/>
      <c r="B10" s="9" t="n"/>
      <c r="C10" s="9" t="n"/>
      <c r="D10" s="8" t="n"/>
      <c r="E10" s="8" t="n"/>
      <c r="F10" s="9" t="n"/>
      <c r="G10" s="9" t="n"/>
      <c r="H10" s="15" t="n"/>
      <c r="I10" s="8" t="n"/>
      <c r="J10" s="9" t="n"/>
      <c r="K10" s="9" t="n"/>
      <c r="L10" s="8" t="n"/>
    </row>
    <row r="11">
      <c r="A11" s="22" t="n"/>
      <c r="B11" s="9" t="n"/>
      <c r="C11" s="9" t="n"/>
      <c r="D11" s="8" t="n"/>
      <c r="E11" s="8" t="n"/>
      <c r="F11" s="9" t="n"/>
      <c r="G11" s="9" t="n"/>
      <c r="H11" s="15" t="n"/>
      <c r="I11" s="8" t="n"/>
      <c r="J11" s="9" t="n"/>
      <c r="K11" s="9" t="n"/>
      <c r="L11" s="8" t="n"/>
    </row>
    <row r="12">
      <c r="A12" s="22" t="n"/>
      <c r="B12" s="9" t="n"/>
      <c r="C12" s="9" t="n"/>
      <c r="D12" s="8" t="n"/>
      <c r="E12" s="8" t="n"/>
      <c r="F12" s="9" t="n"/>
      <c r="G12" s="9" t="n"/>
      <c r="H12" s="15" t="n"/>
      <c r="I12" s="8" t="n"/>
      <c r="J12" s="9" t="n"/>
      <c r="K12" s="9" t="n"/>
      <c r="L12" s="8" t="n"/>
    </row>
    <row r="13">
      <c r="A13" s="22" t="n"/>
      <c r="B13" s="9" t="n"/>
      <c r="C13" s="9" t="n"/>
      <c r="D13" s="8" t="n"/>
      <c r="E13" s="8" t="n"/>
      <c r="F13" s="9" t="n"/>
      <c r="G13" s="9" t="n"/>
      <c r="H13" s="15" t="n"/>
      <c r="I13" s="8" t="n"/>
      <c r="J13" s="9" t="n"/>
      <c r="K13" s="9" t="n"/>
      <c r="L13" s="8" t="n"/>
    </row>
    <row r="14">
      <c r="A14" s="22" t="n"/>
      <c r="B14" s="9" t="n"/>
      <c r="C14" s="9" t="n"/>
      <c r="D14" s="8" t="n"/>
      <c r="E14" s="8" t="n"/>
      <c r="F14" s="9" t="n"/>
      <c r="G14" s="9" t="n"/>
      <c r="H14" s="15" t="n"/>
      <c r="I14" s="8" t="n"/>
      <c r="J14" s="9" t="n"/>
      <c r="K14" s="9" t="n"/>
      <c r="L14" s="8" t="n"/>
    </row>
    <row r="15">
      <c r="A15" s="22" t="n"/>
      <c r="B15" s="9" t="n"/>
      <c r="C15" s="9" t="n"/>
      <c r="D15" s="8" t="n"/>
      <c r="E15" s="8" t="n"/>
      <c r="F15" s="9" t="n"/>
      <c r="G15" s="9" t="n"/>
      <c r="H15" s="15" t="n"/>
      <c r="I15" s="8" t="n"/>
      <c r="J15" s="9" t="n"/>
      <c r="K15" s="9" t="n"/>
      <c r="L15" s="8" t="n"/>
    </row>
    <row r="16">
      <c r="A16" s="22" t="n"/>
      <c r="B16" s="9" t="n"/>
      <c r="C16" s="9" t="n"/>
      <c r="D16" s="8" t="n"/>
      <c r="E16" s="8" t="n"/>
      <c r="F16" s="9" t="n"/>
      <c r="G16" s="9" t="n"/>
      <c r="H16" s="15" t="n"/>
      <c r="I16" s="8" t="n"/>
      <c r="J16" s="9" t="n"/>
      <c r="K16" s="9" t="n"/>
      <c r="L16" s="8" t="n"/>
    </row>
    <row r="17">
      <c r="A17" s="22" t="n"/>
      <c r="B17" s="9" t="n"/>
      <c r="C17" s="9" t="n"/>
      <c r="D17" s="8" t="n"/>
      <c r="E17" s="8" t="n"/>
      <c r="F17" s="9" t="n"/>
      <c r="G17" s="9" t="n"/>
      <c r="H17" s="15" t="n"/>
      <c r="I17" s="8" t="n"/>
      <c r="J17" s="9" t="n"/>
      <c r="K17" s="9" t="n"/>
      <c r="L17" s="8" t="n"/>
    </row>
    <row r="18">
      <c r="A18" s="22" t="n"/>
      <c r="B18" s="9" t="n"/>
      <c r="C18" s="9" t="n"/>
      <c r="D18" s="8" t="n"/>
      <c r="E18" s="8" t="n"/>
      <c r="F18" s="9" t="n"/>
      <c r="G18" s="9" t="n"/>
      <c r="H18" s="15" t="n"/>
      <c r="I18" s="8" t="n"/>
      <c r="J18" s="9" t="n"/>
      <c r="K18" s="9" t="n"/>
      <c r="L18" s="8" t="n"/>
    </row>
    <row r="19">
      <c r="A19" s="22" t="n"/>
      <c r="B19" s="9" t="n"/>
      <c r="C19" s="9" t="n"/>
      <c r="D19" s="8" t="n"/>
      <c r="E19" s="8" t="n"/>
      <c r="F19" s="9" t="n"/>
      <c r="G19" s="9" t="n"/>
      <c r="H19" s="15" t="n"/>
      <c r="I19" s="8" t="n"/>
      <c r="J19" s="9" t="n"/>
      <c r="K19" s="9" t="n"/>
      <c r="L19" s="8" t="n"/>
    </row>
    <row r="20">
      <c r="A20" s="22" t="n"/>
      <c r="B20" s="9" t="n"/>
      <c r="C20" s="9" t="n"/>
      <c r="D20" s="8" t="n"/>
      <c r="E20" s="8" t="n"/>
      <c r="F20" s="9" t="n"/>
      <c r="G20" s="9" t="n"/>
      <c r="H20" s="15" t="n"/>
      <c r="I20" s="8" t="n"/>
      <c r="J20" s="9" t="n"/>
      <c r="K20" s="9" t="n"/>
      <c r="L20" s="8" t="n"/>
    </row>
    <row r="21">
      <c r="A21" s="22" t="n"/>
      <c r="B21" s="9" t="n"/>
      <c r="C21" s="9" t="n"/>
      <c r="D21" s="8" t="n"/>
      <c r="E21" s="8" t="n"/>
      <c r="F21" s="9" t="n"/>
      <c r="G21" s="9" t="n"/>
      <c r="H21" s="15" t="n"/>
      <c r="I21" s="8" t="n"/>
      <c r="J21" s="9" t="n"/>
      <c r="K21" s="9" t="n"/>
      <c r="L21" s="8" t="n"/>
    </row>
    <row r="22">
      <c r="A22" s="22" t="n"/>
      <c r="B22" s="9" t="n"/>
      <c r="C22" s="9" t="n"/>
      <c r="D22" s="8" t="n"/>
      <c r="E22" s="8" t="n"/>
      <c r="F22" s="9" t="n"/>
      <c r="G22" s="9" t="n"/>
      <c r="H22" s="15" t="n"/>
      <c r="I22" s="8" t="n"/>
      <c r="J22" s="9" t="n"/>
      <c r="K22" s="9" t="n"/>
      <c r="L22" s="8" t="n"/>
    </row>
    <row r="23">
      <c r="A23" s="22" t="n"/>
      <c r="B23" s="9" t="n"/>
      <c r="C23" s="9" t="n"/>
      <c r="D23" s="8" t="n"/>
      <c r="E23" s="8" t="n"/>
      <c r="F23" s="9" t="n"/>
      <c r="G23" s="9" t="n"/>
      <c r="H23" s="15" t="n"/>
      <c r="I23" s="8" t="n"/>
      <c r="J23" s="9" t="n"/>
      <c r="K23" s="9" t="n"/>
      <c r="L23" s="8" t="n"/>
    </row>
    <row r="24">
      <c r="A24" s="22" t="n"/>
      <c r="B24" s="9" t="n"/>
      <c r="C24" s="9" t="n"/>
      <c r="D24" s="8" t="n"/>
      <c r="E24" s="8" t="n"/>
      <c r="F24" s="9" t="n"/>
      <c r="G24" s="9" t="n"/>
      <c r="H24" s="15" t="n"/>
      <c r="I24" s="8" t="n"/>
      <c r="J24" s="9" t="n"/>
      <c r="K24" s="9" t="n"/>
      <c r="L24" s="8" t="n"/>
    </row>
    <row r="25">
      <c r="A25" s="22" t="n"/>
      <c r="B25" s="9" t="n"/>
      <c r="C25" s="9" t="n"/>
      <c r="D25" s="8" t="n"/>
      <c r="E25" s="8" t="n"/>
      <c r="F25" s="9" t="n"/>
      <c r="G25" s="9" t="n"/>
      <c r="H25" s="15" t="n"/>
      <c r="I25" s="8" t="n"/>
      <c r="J25" s="9" t="n"/>
      <c r="K25" s="9" t="n"/>
      <c r="L25" s="8" t="n"/>
    </row>
    <row r="26">
      <c r="A26" s="22" t="n"/>
      <c r="B26" s="9" t="n"/>
      <c r="C26" s="9" t="n"/>
      <c r="D26" s="8" t="n"/>
      <c r="E26" s="8" t="n"/>
      <c r="F26" s="9" t="n"/>
      <c r="G26" s="9" t="n"/>
      <c r="H26" s="15" t="n"/>
      <c r="I26" s="8" t="n"/>
      <c r="J26" s="9" t="n"/>
      <c r="K26" s="9" t="n"/>
      <c r="L26" s="8" t="n"/>
    </row>
    <row r="27">
      <c r="A27" s="22" t="n"/>
      <c r="B27" s="9" t="n"/>
      <c r="C27" s="9" t="n"/>
      <c r="D27" s="8" t="n"/>
      <c r="E27" s="8" t="n"/>
      <c r="F27" s="9" t="n"/>
      <c r="G27" s="9" t="n"/>
      <c r="H27" s="15" t="n"/>
      <c r="I27" s="8" t="n"/>
      <c r="J27" s="9" t="n"/>
      <c r="K27" s="9" t="n"/>
      <c r="L27" s="8" t="n"/>
    </row>
    <row r="28">
      <c r="A28" s="22" t="n"/>
      <c r="B28" s="9" t="n"/>
      <c r="C28" s="9" t="n"/>
      <c r="D28" s="8" t="n"/>
      <c r="E28" s="8" t="n"/>
      <c r="F28" s="9" t="n"/>
      <c r="G28" s="9" t="n"/>
      <c r="H28" s="15" t="n"/>
      <c r="I28" s="8" t="n"/>
      <c r="J28" s="9" t="n"/>
      <c r="K28" s="9" t="n"/>
      <c r="L28" s="8" t="n"/>
    </row>
    <row r="29">
      <c r="A29" s="22" t="n"/>
      <c r="B29" s="9" t="n"/>
      <c r="C29" s="9" t="n"/>
      <c r="D29" s="8" t="n"/>
      <c r="E29" s="8" t="n"/>
      <c r="F29" s="9" t="n"/>
      <c r="G29" s="9" t="n"/>
      <c r="H29" s="15" t="n"/>
      <c r="I29" s="8" t="n"/>
      <c r="J29" s="9" t="n"/>
      <c r="K29" s="9" t="n"/>
      <c r="L29" s="8" t="n"/>
    </row>
    <row r="30">
      <c r="A30" s="22" t="n"/>
      <c r="B30" s="9" t="n"/>
      <c r="C30" s="9" t="n"/>
      <c r="D30" s="8" t="n"/>
      <c r="E30" s="8" t="n"/>
      <c r="F30" s="9" t="n"/>
      <c r="G30" s="9" t="n"/>
      <c r="H30" s="15" t="n"/>
      <c r="I30" s="8" t="n"/>
      <c r="J30" s="9" t="n"/>
      <c r="K30" s="9" t="n"/>
      <c r="L30" s="8" t="n"/>
    </row>
    <row r="31">
      <c r="A31" s="22" t="n"/>
      <c r="B31" s="9" t="n"/>
      <c r="C31" s="9" t="n"/>
      <c r="D31" s="8" t="n"/>
      <c r="E31" s="8" t="n"/>
      <c r="F31" s="9" t="n"/>
      <c r="G31" s="9" t="n"/>
      <c r="H31" s="15" t="n"/>
      <c r="I31" s="8" t="n"/>
      <c r="J31" s="9" t="n"/>
      <c r="K31" s="9" t="n"/>
      <c r="L31" s="8" t="n"/>
    </row>
    <row r="32">
      <c r="A32" s="22" t="n"/>
      <c r="B32" s="9" t="n"/>
      <c r="C32" s="9" t="n"/>
      <c r="D32" s="8" t="n"/>
      <c r="E32" s="8" t="n"/>
      <c r="F32" s="9" t="n"/>
      <c r="G32" s="9" t="n"/>
      <c r="H32" s="15" t="n"/>
      <c r="I32" s="8" t="n"/>
      <c r="J32" s="9" t="n"/>
      <c r="K32" s="9" t="n"/>
      <c r="L32" s="8" t="n"/>
    </row>
    <row r="33">
      <c r="A33" s="22" t="n"/>
      <c r="B33" s="9" t="n"/>
      <c r="C33" s="9" t="n"/>
      <c r="D33" s="8" t="n"/>
      <c r="E33" s="8" t="n"/>
      <c r="F33" s="9" t="n"/>
      <c r="G33" s="9" t="n"/>
      <c r="H33" s="15" t="n"/>
      <c r="I33" s="8" t="n"/>
      <c r="J33" s="9" t="n"/>
      <c r="K33" s="9" t="n"/>
      <c r="L33" s="8" t="n"/>
    </row>
    <row r="34">
      <c r="A34" s="22" t="n"/>
      <c r="B34" s="9" t="n"/>
      <c r="C34" s="9" t="n"/>
      <c r="D34" s="8" t="n"/>
      <c r="E34" s="8" t="n"/>
      <c r="F34" s="9" t="n"/>
      <c r="G34" s="9" t="n"/>
      <c r="H34" s="15" t="n"/>
      <c r="I34" s="8" t="n"/>
      <c r="J34" s="9" t="n"/>
      <c r="K34" s="9" t="n"/>
      <c r="L34" s="8" t="n"/>
    </row>
    <row r="35">
      <c r="A35" s="22" t="n"/>
      <c r="B35" s="9" t="n"/>
      <c r="C35" s="9" t="n"/>
      <c r="D35" s="8" t="n"/>
      <c r="E35" s="8" t="n"/>
      <c r="F35" s="9" t="n"/>
      <c r="G35" s="9" t="n"/>
      <c r="H35" s="15" t="n"/>
      <c r="I35" s="8" t="n"/>
      <c r="J35" s="9" t="n"/>
      <c r="K35" s="9" t="n"/>
      <c r="L35" s="8" t="n"/>
    </row>
    <row r="36">
      <c r="A36" s="22" t="n"/>
      <c r="B36" s="9" t="n"/>
      <c r="C36" s="9" t="n"/>
      <c r="D36" s="8" t="n"/>
      <c r="E36" s="8" t="n"/>
      <c r="F36" s="9" t="n"/>
      <c r="G36" s="9" t="n"/>
      <c r="H36" s="15" t="n"/>
      <c r="I36" s="8" t="n"/>
      <c r="J36" s="9" t="n"/>
      <c r="K36" s="9" t="n"/>
      <c r="L36" s="8" t="n"/>
    </row>
    <row r="37">
      <c r="A37" s="22" t="n"/>
      <c r="B37" s="9" t="n"/>
      <c r="C37" s="9" t="n"/>
      <c r="D37" s="8" t="n"/>
      <c r="E37" s="8" t="n"/>
      <c r="F37" s="9" t="n"/>
      <c r="G37" s="9" t="n"/>
      <c r="H37" s="15" t="n"/>
      <c r="I37" s="8" t="n"/>
      <c r="J37" s="9" t="n"/>
      <c r="K37" s="9" t="n"/>
      <c r="L37" s="8" t="n"/>
    </row>
    <row r="38">
      <c r="A38" s="22" t="n"/>
      <c r="B38" s="9" t="n"/>
      <c r="C38" s="9" t="n"/>
      <c r="D38" s="8" t="n"/>
      <c r="E38" s="8" t="n"/>
      <c r="F38" s="9" t="n"/>
      <c r="G38" s="9" t="n"/>
      <c r="H38" s="15" t="n"/>
      <c r="I38" s="8" t="n"/>
      <c r="J38" s="9" t="n"/>
      <c r="K38" s="9" t="n"/>
      <c r="L38" s="8" t="n"/>
    </row>
    <row r="39">
      <c r="A39" s="22" t="n"/>
      <c r="B39" s="9" t="n"/>
      <c r="C39" s="9" t="n"/>
      <c r="D39" s="8" t="n"/>
      <c r="E39" s="8" t="n"/>
      <c r="F39" s="9" t="n"/>
      <c r="G39" s="9" t="n"/>
      <c r="H39" s="15" t="n"/>
      <c r="I39" s="8" t="n"/>
      <c r="J39" s="9" t="n"/>
      <c r="K39" s="9" t="n"/>
      <c r="L39" s="8" t="n"/>
    </row>
    <row r="40">
      <c r="A40" s="22" t="n"/>
      <c r="B40" s="9" t="n"/>
      <c r="C40" s="9" t="n"/>
      <c r="D40" s="8" t="n"/>
      <c r="E40" s="8" t="n"/>
      <c r="F40" s="9" t="n"/>
      <c r="G40" s="9" t="n"/>
      <c r="H40" s="15" t="n"/>
      <c r="I40" s="8" t="n"/>
      <c r="J40" s="9" t="n"/>
      <c r="K40" s="9" t="n"/>
      <c r="L40" s="8" t="n"/>
    </row>
    <row r="41">
      <c r="A41" s="22" t="n"/>
      <c r="B41" s="9" t="n"/>
      <c r="C41" s="9" t="n"/>
      <c r="D41" s="8" t="n"/>
      <c r="E41" s="8" t="n"/>
      <c r="F41" s="9" t="n"/>
      <c r="G41" s="9" t="n"/>
      <c r="H41" s="15" t="n"/>
      <c r="I41" s="8" t="n"/>
      <c r="J41" s="9" t="n"/>
      <c r="K41" s="9" t="n"/>
      <c r="L41" s="8" t="n"/>
    </row>
    <row r="42">
      <c r="A42" s="22" t="n"/>
      <c r="B42" s="9" t="n"/>
      <c r="C42" s="9" t="n"/>
      <c r="D42" s="8" t="n"/>
      <c r="E42" s="8" t="n"/>
      <c r="F42" s="9" t="n"/>
      <c r="G42" s="9" t="n"/>
      <c r="H42" s="15" t="n"/>
      <c r="I42" s="8" t="n"/>
      <c r="J42" s="9" t="n"/>
      <c r="K42" s="9" t="n"/>
      <c r="L42" s="8" t="n"/>
    </row>
    <row r="43">
      <c r="A43" s="22" t="n"/>
      <c r="B43" s="9" t="n"/>
      <c r="C43" s="9" t="n"/>
      <c r="D43" s="8" t="n"/>
      <c r="E43" s="8" t="n"/>
      <c r="F43" s="9" t="n"/>
      <c r="G43" s="9" t="n"/>
      <c r="H43" s="15" t="n"/>
      <c r="I43" s="8" t="n"/>
      <c r="J43" s="9" t="n"/>
      <c r="K43" s="9" t="n"/>
      <c r="L43" s="8" t="n"/>
    </row>
    <row r="44">
      <c r="A44" s="22" t="n"/>
      <c r="B44" s="9" t="n"/>
      <c r="C44" s="9" t="n"/>
      <c r="D44" s="8" t="n"/>
      <c r="E44" s="8" t="n"/>
      <c r="F44" s="9" t="n"/>
      <c r="G44" s="9" t="n"/>
      <c r="H44" s="15" t="n"/>
      <c r="I44" s="8" t="n"/>
      <c r="J44" s="9" t="n"/>
      <c r="K44" s="9" t="n"/>
      <c r="L44" s="8" t="n"/>
    </row>
    <row r="45">
      <c r="A45" s="22" t="n"/>
      <c r="B45" s="9" t="n"/>
      <c r="C45" s="9" t="n"/>
      <c r="D45" s="8" t="n"/>
      <c r="E45" s="8" t="n"/>
      <c r="F45" s="9" t="n"/>
      <c r="G45" s="9" t="n"/>
      <c r="H45" s="15" t="n"/>
      <c r="I45" s="8" t="n"/>
      <c r="J45" s="9" t="n"/>
      <c r="K45" s="9" t="n"/>
      <c r="L45" s="8" t="n"/>
    </row>
    <row r="46">
      <c r="A46" s="22" t="n"/>
      <c r="B46" s="9" t="n"/>
      <c r="C46" s="9" t="n"/>
      <c r="D46" s="8" t="n"/>
      <c r="E46" s="8" t="n"/>
      <c r="F46" s="9" t="n"/>
      <c r="G46" s="9" t="n"/>
      <c r="H46" s="15" t="n"/>
      <c r="I46" s="8" t="n"/>
      <c r="J46" s="9" t="n"/>
      <c r="K46" s="9" t="n"/>
      <c r="L46" s="8" t="n"/>
    </row>
    <row r="47">
      <c r="A47" s="22" t="n"/>
      <c r="B47" s="9" t="n"/>
      <c r="C47" s="9" t="n"/>
      <c r="D47" s="8" t="n"/>
      <c r="E47" s="8" t="n"/>
      <c r="F47" s="9" t="n"/>
      <c r="G47" s="9" t="n"/>
      <c r="H47" s="15" t="n"/>
      <c r="I47" s="8" t="n"/>
      <c r="J47" s="9" t="n"/>
      <c r="K47" s="9" t="n"/>
      <c r="L47" s="8" t="n"/>
    </row>
    <row r="48">
      <c r="A48" s="22" t="n"/>
      <c r="B48" s="9" t="n"/>
      <c r="C48" s="9" t="n"/>
      <c r="D48" s="8" t="n"/>
      <c r="E48" s="8" t="n"/>
      <c r="F48" s="9" t="n"/>
      <c r="G48" s="9" t="n"/>
      <c r="H48" s="15" t="n"/>
      <c r="I48" s="8" t="n"/>
      <c r="J48" s="9" t="n"/>
      <c r="K48" s="9" t="n"/>
      <c r="L48" s="8" t="n"/>
    </row>
    <row r="49">
      <c r="A49" s="22" t="n"/>
      <c r="B49" s="9" t="n"/>
      <c r="C49" s="9" t="n"/>
      <c r="D49" s="8" t="n"/>
      <c r="E49" s="8" t="n"/>
      <c r="F49" s="9" t="n"/>
      <c r="G49" s="9" t="n"/>
      <c r="H49" s="15" t="n"/>
      <c r="I49" s="8" t="n"/>
      <c r="J49" s="9" t="n"/>
      <c r="K49" s="9" t="n"/>
      <c r="L49" s="8" t="n"/>
    </row>
    <row r="50">
      <c r="A50" s="22" t="n"/>
      <c r="B50" s="9" t="n"/>
      <c r="C50" s="9" t="n"/>
      <c r="D50" s="8" t="n"/>
      <c r="E50" s="8" t="n"/>
      <c r="F50" s="9" t="n"/>
      <c r="G50" s="9" t="n"/>
      <c r="H50" s="15" t="n"/>
      <c r="I50" s="8" t="n"/>
      <c r="J50" s="9" t="n"/>
      <c r="K50" s="9" t="n"/>
      <c r="L50" s="8" t="n"/>
    </row>
    <row r="51">
      <c r="A51" s="22" t="n"/>
      <c r="B51" s="9" t="n"/>
      <c r="C51" s="9" t="n"/>
      <c r="D51" s="8" t="n"/>
      <c r="E51" s="8" t="n"/>
      <c r="F51" s="9" t="n"/>
      <c r="G51" s="9" t="n"/>
      <c r="H51" s="15" t="n"/>
      <c r="I51" s="8" t="n"/>
      <c r="J51" s="9" t="n"/>
      <c r="K51" s="9" t="n"/>
      <c r="L51" s="8" t="n"/>
    </row>
    <row r="52">
      <c r="A52" s="22" t="n"/>
      <c r="B52" s="9" t="n"/>
      <c r="C52" s="9" t="n"/>
      <c r="D52" s="8" t="n"/>
      <c r="E52" s="8" t="n"/>
      <c r="F52" s="9" t="n"/>
      <c r="G52" s="9" t="n"/>
      <c r="H52" s="15" t="n"/>
      <c r="I52" s="8" t="n"/>
      <c r="J52" s="9" t="n"/>
      <c r="K52" s="9" t="n"/>
      <c r="L52" s="8" t="n"/>
    </row>
    <row r="53">
      <c r="A53" s="22" t="n"/>
      <c r="B53" s="9" t="n"/>
      <c r="C53" s="9" t="n"/>
      <c r="D53" s="8" t="n"/>
      <c r="E53" s="8" t="n"/>
      <c r="F53" s="9" t="n"/>
      <c r="G53" s="9" t="n"/>
      <c r="H53" s="15" t="n"/>
      <c r="I53" s="8" t="n"/>
      <c r="J53" s="9" t="n"/>
      <c r="K53" s="9" t="n"/>
      <c r="L53" s="8" t="n"/>
    </row>
    <row r="54">
      <c r="A54" s="22" t="n"/>
      <c r="B54" s="9" t="n"/>
      <c r="C54" s="9" t="n"/>
      <c r="D54" s="8" t="n"/>
      <c r="E54" s="8" t="n"/>
      <c r="F54" s="9" t="n"/>
      <c r="G54" s="9" t="n"/>
      <c r="H54" s="15" t="n"/>
      <c r="I54" s="8" t="n"/>
      <c r="J54" s="9" t="n"/>
      <c r="K54" s="9" t="n"/>
      <c r="L54" s="8" t="n"/>
    </row>
    <row r="55">
      <c r="A55" s="22" t="n"/>
      <c r="B55" s="9" t="n"/>
      <c r="C55" s="9" t="n"/>
      <c r="D55" s="8" t="n"/>
      <c r="E55" s="8" t="n"/>
      <c r="F55" s="9" t="n"/>
      <c r="G55" s="9" t="n"/>
      <c r="H55" s="15" t="n"/>
      <c r="I55" s="8" t="n"/>
      <c r="J55" s="9" t="n"/>
      <c r="K55" s="9" t="n"/>
      <c r="L55" s="8" t="n"/>
    </row>
    <row r="56">
      <c r="A56" s="22" t="n"/>
      <c r="B56" s="9" t="n"/>
      <c r="C56" s="9" t="n"/>
      <c r="D56" s="8" t="n"/>
      <c r="E56" s="8" t="n"/>
      <c r="F56" s="9" t="n"/>
      <c r="G56" s="9" t="n"/>
      <c r="H56" s="15" t="n"/>
      <c r="I56" s="8" t="n"/>
      <c r="J56" s="9" t="n"/>
      <c r="K56" s="9" t="n"/>
      <c r="L56" s="8" t="n"/>
    </row>
    <row r="57">
      <c r="A57" s="22" t="n"/>
      <c r="B57" s="9" t="n"/>
      <c r="C57" s="9" t="n"/>
      <c r="D57" s="8" t="n"/>
      <c r="E57" s="8" t="n"/>
      <c r="F57" s="9" t="n"/>
      <c r="G57" s="9" t="n"/>
      <c r="H57" s="15" t="n"/>
      <c r="I57" s="8" t="n"/>
      <c r="J57" s="9" t="n"/>
      <c r="K57" s="9" t="n"/>
      <c r="L57" s="8" t="n"/>
    </row>
    <row r="58">
      <c r="A58" s="22" t="n"/>
      <c r="B58" s="9" t="n"/>
      <c r="C58" s="9" t="n"/>
      <c r="D58" s="8" t="n"/>
      <c r="E58" s="8" t="n"/>
      <c r="F58" s="9" t="n"/>
      <c r="G58" s="9" t="n"/>
      <c r="H58" s="15" t="n"/>
      <c r="I58" s="8" t="n"/>
      <c r="J58" s="9" t="n"/>
      <c r="K58" s="9" t="n"/>
      <c r="L58" s="8" t="n"/>
    </row>
    <row r="59">
      <c r="A59" s="22" t="n"/>
      <c r="B59" s="9" t="n"/>
      <c r="C59" s="9" t="n"/>
      <c r="D59" s="8" t="n"/>
      <c r="E59" s="8" t="n"/>
      <c r="F59" s="9" t="n"/>
      <c r="G59" s="9" t="n"/>
      <c r="H59" s="15" t="n"/>
      <c r="I59" s="8" t="n"/>
      <c r="J59" s="9" t="n"/>
      <c r="K59" s="9" t="n"/>
      <c r="L59" s="8" t="n"/>
    </row>
    <row r="60">
      <c r="A60" s="22" t="n"/>
      <c r="B60" s="9" t="n"/>
      <c r="C60" s="9" t="n"/>
      <c r="D60" s="8" t="n"/>
      <c r="E60" s="8" t="n"/>
      <c r="F60" s="9" t="n"/>
      <c r="G60" s="9" t="n"/>
      <c r="H60" s="15" t="n"/>
      <c r="I60" s="8" t="n"/>
      <c r="J60" s="9" t="n"/>
      <c r="K60" s="9" t="n"/>
      <c r="L60" s="8" t="n"/>
    </row>
    <row r="61">
      <c r="A61" s="22" t="n"/>
      <c r="B61" s="9" t="n"/>
      <c r="C61" s="9" t="n"/>
      <c r="D61" s="8" t="n"/>
      <c r="E61" s="8" t="n"/>
      <c r="F61" s="9" t="n"/>
      <c r="G61" s="9" t="n"/>
      <c r="H61" s="15" t="n"/>
      <c r="I61" s="8" t="n"/>
      <c r="J61" s="9" t="n"/>
      <c r="K61" s="9" t="n"/>
      <c r="L61" s="8" t="n"/>
    </row>
    <row r="62">
      <c r="A62" s="22" t="n"/>
      <c r="B62" s="9" t="n"/>
      <c r="C62" s="9" t="n"/>
      <c r="D62" s="8" t="n"/>
      <c r="E62" s="8" t="n"/>
      <c r="F62" s="9" t="n"/>
      <c r="G62" s="9" t="n"/>
      <c r="H62" s="15" t="n"/>
      <c r="I62" s="8" t="n"/>
      <c r="J62" s="9" t="n"/>
      <c r="K62" s="9" t="n"/>
      <c r="L62" s="8" t="n"/>
    </row>
    <row r="63">
      <c r="A63" s="22" t="n"/>
      <c r="B63" s="9" t="n"/>
      <c r="C63" s="9" t="n"/>
      <c r="D63" s="8" t="n"/>
      <c r="E63" s="8" t="n"/>
      <c r="F63" s="9" t="n"/>
      <c r="G63" s="9" t="n"/>
      <c r="H63" s="15" t="n"/>
      <c r="I63" s="8" t="n"/>
      <c r="J63" s="9" t="n"/>
      <c r="K63" s="9" t="n"/>
      <c r="L63" s="8" t="n"/>
    </row>
    <row r="64">
      <c r="A64" s="22" t="n"/>
      <c r="B64" s="9" t="n"/>
      <c r="C64" s="9" t="n"/>
      <c r="D64" s="8" t="n"/>
      <c r="E64" s="8" t="n"/>
      <c r="F64" s="9" t="n"/>
      <c r="G64" s="9" t="n"/>
      <c r="H64" s="15" t="n"/>
      <c r="I64" s="8" t="n"/>
      <c r="J64" s="9" t="n"/>
      <c r="K64" s="9" t="n"/>
      <c r="L64" s="8" t="n"/>
    </row>
    <row r="65">
      <c r="A65" s="22" t="n"/>
      <c r="B65" s="9" t="n"/>
      <c r="C65" s="9" t="n"/>
      <c r="D65" s="8" t="n"/>
      <c r="E65" s="8" t="n"/>
      <c r="F65" s="9" t="n"/>
      <c r="G65" s="9" t="n"/>
      <c r="H65" s="15" t="n"/>
      <c r="I65" s="8" t="n"/>
      <c r="J65" s="9" t="n"/>
      <c r="K65" s="9" t="n"/>
      <c r="L65" s="8" t="n"/>
    </row>
    <row r="66">
      <c r="A66" s="22" t="n"/>
      <c r="B66" s="9" t="n"/>
      <c r="C66" s="9" t="n"/>
      <c r="D66" s="8" t="n"/>
      <c r="E66" s="8" t="n"/>
      <c r="F66" s="9" t="n"/>
      <c r="G66" s="9" t="n"/>
      <c r="H66" s="15" t="n"/>
      <c r="I66" s="8" t="n"/>
      <c r="J66" s="9" t="n"/>
      <c r="K66" s="9" t="n"/>
      <c r="L66" s="8" t="n"/>
    </row>
    <row r="67">
      <c r="A67" s="22" t="n"/>
      <c r="B67" s="9" t="n"/>
      <c r="C67" s="9" t="n"/>
      <c r="D67" s="8" t="n"/>
      <c r="E67" s="8" t="n"/>
      <c r="F67" s="9" t="n"/>
      <c r="G67" s="9" t="n"/>
      <c r="H67" s="15" t="n"/>
      <c r="I67" s="8" t="n"/>
      <c r="J67" s="9" t="n"/>
      <c r="K67" s="9" t="n"/>
      <c r="L67" s="8" t="n"/>
    </row>
    <row r="68">
      <c r="A68" s="22" t="n"/>
      <c r="B68" s="9" t="n"/>
      <c r="C68" s="9" t="n"/>
      <c r="D68" s="8" t="n"/>
      <c r="E68" s="8" t="n"/>
      <c r="F68" s="9" t="n"/>
      <c r="G68" s="9" t="n"/>
      <c r="H68" s="15" t="n"/>
      <c r="I68" s="8" t="n"/>
      <c r="J68" s="9" t="n"/>
      <c r="K68" s="9" t="n"/>
      <c r="L68" s="8" t="n"/>
    </row>
    <row r="69">
      <c r="A69" s="22" t="n"/>
      <c r="B69" s="9" t="n"/>
      <c r="C69" s="9" t="n"/>
      <c r="D69" s="8" t="n"/>
      <c r="E69" s="8" t="n"/>
      <c r="F69" s="9" t="n"/>
      <c r="G69" s="9" t="n"/>
      <c r="H69" s="15" t="n"/>
      <c r="I69" s="8" t="n"/>
      <c r="J69" s="9" t="n"/>
      <c r="K69" s="9" t="n"/>
      <c r="L69" s="8" t="n"/>
    </row>
    <row r="70">
      <c r="A70" s="22" t="n"/>
      <c r="B70" s="9" t="n"/>
      <c r="C70" s="9" t="n"/>
      <c r="D70" s="8" t="n"/>
      <c r="E70" s="8" t="n"/>
      <c r="F70" s="9" t="n"/>
      <c r="G70" s="9" t="n"/>
      <c r="H70" s="15" t="n"/>
      <c r="I70" s="8" t="n"/>
      <c r="J70" s="9" t="n"/>
      <c r="K70" s="9" t="n"/>
      <c r="L70" s="8" t="n"/>
    </row>
    <row r="71">
      <c r="A71" s="22" t="n"/>
      <c r="B71" s="9" t="n"/>
      <c r="C71" s="9" t="n"/>
      <c r="D71" s="8" t="n"/>
      <c r="E71" s="8" t="n"/>
      <c r="F71" s="9" t="n"/>
      <c r="G71" s="9" t="n"/>
      <c r="H71" s="15" t="n"/>
      <c r="I71" s="8" t="n"/>
      <c r="J71" s="9" t="n"/>
      <c r="K71" s="9" t="n"/>
      <c r="L71" s="8" t="n"/>
    </row>
    <row r="72">
      <c r="A72" s="22" t="n"/>
      <c r="B72" s="9" t="n"/>
      <c r="C72" s="9" t="n"/>
      <c r="D72" s="8" t="n"/>
      <c r="E72" s="8" t="n"/>
      <c r="F72" s="9" t="n"/>
      <c r="G72" s="9" t="n"/>
      <c r="H72" s="15" t="n"/>
      <c r="I72" s="8" t="n"/>
      <c r="J72" s="9" t="n"/>
      <c r="K72" s="9" t="n"/>
      <c r="L72" s="8" t="n"/>
    </row>
    <row r="73">
      <c r="A73" s="22" t="n"/>
      <c r="B73" s="9" t="n"/>
      <c r="C73" s="9" t="n"/>
      <c r="D73" s="8" t="n"/>
      <c r="E73" s="8" t="n"/>
      <c r="F73" s="9" t="n"/>
      <c r="G73" s="9" t="n"/>
      <c r="H73" s="15" t="n"/>
      <c r="I73" s="8" t="n"/>
      <c r="J73" s="9" t="n"/>
      <c r="K73" s="9" t="n"/>
      <c r="L73" s="8" t="n"/>
    </row>
    <row r="74">
      <c r="A74" s="22" t="n"/>
      <c r="B74" s="9" t="n"/>
      <c r="C74" s="9" t="n"/>
      <c r="D74" s="8" t="n"/>
      <c r="E74" s="8" t="n"/>
      <c r="F74" s="9" t="n"/>
      <c r="G74" s="9" t="n"/>
      <c r="H74" s="15" t="n"/>
      <c r="I74" s="8" t="n"/>
      <c r="J74" s="9" t="n"/>
      <c r="K74" s="9" t="n"/>
      <c r="L74" s="8" t="n"/>
    </row>
    <row r="75">
      <c r="A75" s="22" t="n"/>
      <c r="B75" s="9" t="n"/>
      <c r="C75" s="9" t="n"/>
      <c r="D75" s="8" t="n"/>
      <c r="E75" s="8" t="n"/>
      <c r="F75" s="9" t="n"/>
      <c r="G75" s="9" t="n"/>
      <c r="H75" s="15" t="n"/>
      <c r="I75" s="8" t="n"/>
      <c r="J75" s="9" t="n"/>
      <c r="K75" s="9" t="n"/>
      <c r="L75" s="8" t="n"/>
    </row>
    <row r="76">
      <c r="A76" s="22" t="n"/>
      <c r="B76" s="9" t="n"/>
      <c r="C76" s="9" t="n"/>
      <c r="D76" s="8" t="n"/>
      <c r="E76" s="8" t="n"/>
      <c r="F76" s="9" t="n"/>
      <c r="G76" s="9" t="n"/>
      <c r="H76" s="15" t="n"/>
      <c r="I76" s="8" t="n"/>
      <c r="J76" s="9" t="n"/>
      <c r="K76" s="9" t="n"/>
      <c r="L76" s="8" t="n"/>
    </row>
    <row r="77">
      <c r="A77" s="22" t="n"/>
      <c r="B77" s="9" t="n"/>
      <c r="C77" s="9" t="n"/>
      <c r="D77" s="8" t="n"/>
      <c r="E77" s="8" t="n"/>
      <c r="F77" s="9" t="n"/>
      <c r="G77" s="9" t="n"/>
      <c r="H77" s="15" t="n"/>
      <c r="I77" s="8" t="n"/>
      <c r="J77" s="9" t="n"/>
      <c r="K77" s="9" t="n"/>
      <c r="L77" s="8" t="n"/>
    </row>
    <row r="78">
      <c r="A78" s="22" t="n"/>
      <c r="B78" s="9" t="n"/>
      <c r="C78" s="9" t="n"/>
      <c r="D78" s="8" t="n"/>
      <c r="E78" s="8" t="n"/>
      <c r="F78" s="9" t="n"/>
      <c r="G78" s="9" t="n"/>
      <c r="H78" s="15" t="n"/>
      <c r="I78" s="8" t="n"/>
      <c r="J78" s="9" t="n"/>
      <c r="K78" s="9" t="n"/>
      <c r="L78" s="8" t="n"/>
    </row>
    <row r="79">
      <c r="A79" s="22" t="n"/>
      <c r="B79" s="9" t="n"/>
      <c r="C79" s="9" t="n"/>
      <c r="D79" s="8" t="n"/>
      <c r="E79" s="8" t="n"/>
      <c r="F79" s="9" t="n"/>
      <c r="G79" s="9" t="n"/>
      <c r="H79" s="15" t="n"/>
      <c r="I79" s="8" t="n"/>
      <c r="J79" s="9" t="n"/>
      <c r="K79" s="9" t="n"/>
      <c r="L79" s="8" t="n"/>
    </row>
    <row r="80">
      <c r="A80" s="22" t="n"/>
      <c r="B80" s="9" t="n"/>
      <c r="C80" s="9" t="n"/>
      <c r="D80" s="8" t="n"/>
      <c r="E80" s="8" t="n"/>
      <c r="F80" s="9" t="n"/>
      <c r="G80" s="9" t="n"/>
      <c r="H80" s="15" t="n"/>
      <c r="I80" s="8" t="n"/>
      <c r="J80" s="9" t="n"/>
      <c r="K80" s="9" t="n"/>
      <c r="L80" s="8" t="n"/>
    </row>
    <row r="81">
      <c r="A81" s="22" t="n"/>
      <c r="B81" s="9" t="n"/>
      <c r="C81" s="9" t="n"/>
      <c r="D81" s="8" t="n"/>
      <c r="E81" s="8" t="n"/>
      <c r="F81" s="9" t="n"/>
      <c r="G81" s="9" t="n"/>
      <c r="H81" s="15" t="n"/>
      <c r="I81" s="8" t="n"/>
      <c r="J81" s="9" t="n"/>
      <c r="K81" s="9" t="n"/>
      <c r="L81" s="8" t="n"/>
    </row>
    <row r="82">
      <c r="A82" s="22" t="n"/>
      <c r="B82" s="9" t="n"/>
      <c r="C82" s="9" t="n"/>
      <c r="D82" s="8" t="n"/>
      <c r="E82" s="8" t="n"/>
      <c r="F82" s="9" t="n"/>
      <c r="G82" s="9" t="n"/>
      <c r="H82" s="15" t="n"/>
      <c r="I82" s="8" t="n"/>
      <c r="J82" s="9" t="n"/>
      <c r="K82" s="9" t="n"/>
      <c r="L82" s="8" t="n"/>
    </row>
    <row r="83">
      <c r="A83" s="22" t="n"/>
      <c r="B83" s="9" t="n"/>
      <c r="C83" s="9" t="n"/>
      <c r="D83" s="8" t="n"/>
      <c r="E83" s="8" t="n"/>
      <c r="F83" s="9" t="n"/>
      <c r="G83" s="9" t="n"/>
      <c r="H83" s="15" t="n"/>
      <c r="I83" s="8" t="n"/>
      <c r="J83" s="9" t="n"/>
      <c r="K83" s="9" t="n"/>
      <c r="L83" s="8" t="n"/>
    </row>
    <row r="84">
      <c r="A84" s="22" t="n"/>
      <c r="B84" s="9" t="n"/>
      <c r="C84" s="9" t="n"/>
      <c r="D84" s="8" t="n"/>
      <c r="E84" s="8" t="n"/>
      <c r="F84" s="9" t="n"/>
      <c r="G84" s="9" t="n"/>
      <c r="H84" s="15" t="n"/>
      <c r="I84" s="8" t="n"/>
      <c r="J84" s="9" t="n"/>
      <c r="K84" s="9" t="n"/>
      <c r="L84" s="8" t="n"/>
    </row>
    <row r="85">
      <c r="A85" s="22" t="n"/>
      <c r="B85" s="9" t="n"/>
      <c r="C85" s="9" t="n"/>
      <c r="D85" s="8" t="n"/>
      <c r="E85" s="8" t="n"/>
      <c r="F85" s="9" t="n"/>
      <c r="G85" s="9" t="n"/>
      <c r="H85" s="15" t="n"/>
      <c r="I85" s="8" t="n"/>
      <c r="J85" s="9" t="n"/>
      <c r="K85" s="9" t="n"/>
      <c r="L85" s="8" t="n"/>
    </row>
    <row r="86">
      <c r="A86" s="22" t="n"/>
      <c r="B86" s="9" t="n"/>
      <c r="C86" s="9" t="n"/>
      <c r="D86" s="8" t="n"/>
      <c r="E86" s="8" t="n"/>
      <c r="F86" s="9" t="n"/>
      <c r="G86" s="9" t="n"/>
      <c r="H86" s="15" t="n"/>
      <c r="I86" s="8" t="n"/>
      <c r="J86" s="9" t="n"/>
      <c r="K86" s="9" t="n"/>
      <c r="L86" s="8" t="n"/>
    </row>
    <row r="87">
      <c r="A87" s="22" t="n"/>
      <c r="B87" s="9" t="n"/>
      <c r="C87" s="9" t="n"/>
      <c r="D87" s="8" t="n"/>
      <c r="E87" s="8" t="n"/>
      <c r="F87" s="9" t="n"/>
      <c r="G87" s="9" t="n"/>
      <c r="H87" s="15" t="n"/>
      <c r="I87" s="8" t="n"/>
      <c r="J87" s="9" t="n"/>
      <c r="K87" s="9" t="n"/>
      <c r="L87" s="8" t="n"/>
    </row>
    <row r="88">
      <c r="A88" s="22" t="n"/>
      <c r="B88" s="9" t="n"/>
      <c r="C88" s="9" t="n"/>
      <c r="D88" s="8" t="n"/>
      <c r="E88" s="8" t="n"/>
      <c r="F88" s="9" t="n"/>
      <c r="G88" s="9" t="n"/>
      <c r="H88" s="15" t="n"/>
      <c r="I88" s="8" t="n"/>
      <c r="J88" s="9" t="n"/>
      <c r="K88" s="9" t="n"/>
      <c r="L88" s="8" t="n"/>
    </row>
    <row r="89">
      <c r="A89" s="22" t="n"/>
      <c r="B89" s="9" t="n"/>
      <c r="C89" s="9" t="n"/>
      <c r="D89" s="8" t="n"/>
      <c r="E89" s="8" t="n"/>
      <c r="F89" s="9" t="n"/>
      <c r="G89" s="9" t="n"/>
      <c r="H89" s="15" t="n"/>
      <c r="I89" s="8" t="n"/>
      <c r="J89" s="9" t="n"/>
      <c r="K89" s="9" t="n"/>
      <c r="L89" s="8" t="n"/>
    </row>
    <row r="90">
      <c r="A90" s="22" t="n"/>
      <c r="B90" s="9" t="n"/>
      <c r="C90" s="9" t="n"/>
      <c r="D90" s="8" t="n"/>
      <c r="E90" s="8" t="n"/>
      <c r="F90" s="9" t="n"/>
      <c r="G90" s="9" t="n"/>
      <c r="H90" s="15" t="n"/>
      <c r="I90" s="8" t="n"/>
      <c r="J90" s="9" t="n"/>
      <c r="K90" s="9" t="n"/>
      <c r="L90" s="8" t="n"/>
    </row>
    <row r="91">
      <c r="A91" s="22" t="n"/>
      <c r="B91" s="9" t="n"/>
      <c r="C91" s="9" t="n"/>
      <c r="D91" s="8" t="n"/>
      <c r="E91" s="8" t="n"/>
      <c r="F91" s="9" t="n"/>
      <c r="G91" s="9" t="n"/>
      <c r="H91" s="15" t="n"/>
      <c r="I91" s="8" t="n"/>
      <c r="J91" s="9" t="n"/>
      <c r="K91" s="9" t="n"/>
      <c r="L91" s="8" t="n"/>
    </row>
    <row r="92">
      <c r="A92" s="22" t="n"/>
      <c r="B92" s="9" t="n"/>
      <c r="C92" s="9" t="n"/>
      <c r="D92" s="8" t="n"/>
      <c r="E92" s="8" t="n"/>
      <c r="F92" s="9" t="n"/>
      <c r="G92" s="9" t="n"/>
      <c r="H92" s="15" t="n"/>
      <c r="I92" s="8" t="n"/>
      <c r="J92" s="9" t="n"/>
      <c r="K92" s="9" t="n"/>
      <c r="L92" s="8" t="n"/>
    </row>
    <row r="93">
      <c r="A93" s="22" t="n"/>
      <c r="B93" s="9" t="n"/>
      <c r="C93" s="9" t="n"/>
      <c r="D93" s="8" t="n"/>
      <c r="E93" s="8" t="n"/>
      <c r="F93" s="9" t="n"/>
      <c r="G93" s="9" t="n"/>
      <c r="H93" s="15" t="n"/>
      <c r="I93" s="8" t="n"/>
      <c r="J93" s="9" t="n"/>
      <c r="K93" s="9" t="n"/>
      <c r="L93" s="8" t="n"/>
    </row>
    <row r="94">
      <c r="A94" s="22" t="n"/>
      <c r="B94" s="9" t="n"/>
      <c r="C94" s="9" t="n"/>
      <c r="D94" s="8" t="n"/>
      <c r="E94" s="8" t="n"/>
      <c r="F94" s="9" t="n"/>
      <c r="G94" s="9" t="n"/>
      <c r="H94" s="15" t="n"/>
      <c r="I94" s="8" t="n"/>
      <c r="J94" s="9" t="n"/>
      <c r="K94" s="9" t="n"/>
      <c r="L94" s="8" t="n"/>
    </row>
    <row r="95">
      <c r="A95" s="22" t="n"/>
      <c r="B95" s="9" t="n"/>
      <c r="C95" s="9" t="n"/>
      <c r="D95" s="8" t="n"/>
      <c r="E95" s="8" t="n"/>
      <c r="F95" s="9" t="n"/>
      <c r="G95" s="9" t="n"/>
      <c r="H95" s="15" t="n"/>
      <c r="I95" s="8" t="n"/>
      <c r="J95" s="9" t="n"/>
      <c r="K95" s="9" t="n"/>
      <c r="L95" s="8" t="n"/>
    </row>
    <row r="96">
      <c r="A96" s="22" t="n"/>
      <c r="B96" s="9" t="n"/>
      <c r="C96" s="9" t="n"/>
      <c r="D96" s="8" t="n"/>
      <c r="E96" s="8" t="n"/>
      <c r="F96" s="9" t="n"/>
      <c r="G96" s="9" t="n"/>
      <c r="H96" s="15" t="n"/>
      <c r="I96" s="8" t="n"/>
      <c r="J96" s="9" t="n"/>
      <c r="K96" s="9" t="n"/>
      <c r="L96" s="8" t="n"/>
    </row>
    <row r="97">
      <c r="A97" s="22" t="n"/>
      <c r="B97" s="9" t="n"/>
      <c r="C97" s="9" t="n"/>
      <c r="D97" s="8" t="n"/>
      <c r="E97" s="8" t="n"/>
      <c r="F97" s="9" t="n"/>
      <c r="G97" s="9" t="n"/>
      <c r="H97" s="15" t="n"/>
      <c r="I97" s="8" t="n"/>
      <c r="J97" s="9" t="n"/>
      <c r="K97" s="9" t="n"/>
      <c r="L97" s="8" t="n"/>
    </row>
    <row r="98">
      <c r="A98" s="22" t="n"/>
      <c r="B98" s="9" t="n"/>
      <c r="C98" s="9" t="n"/>
      <c r="D98" s="8" t="n"/>
      <c r="E98" s="8" t="n"/>
      <c r="F98" s="9" t="n"/>
      <c r="G98" s="9" t="n"/>
      <c r="H98" s="15" t="n"/>
      <c r="I98" s="8" t="n"/>
      <c r="J98" s="9" t="n"/>
      <c r="K98" s="9" t="n"/>
      <c r="L98" s="8" t="n"/>
    </row>
    <row r="99">
      <c r="A99" s="22" t="n"/>
      <c r="B99" s="9" t="n"/>
      <c r="C99" s="9" t="n"/>
      <c r="D99" s="8" t="n"/>
      <c r="E99" s="8" t="n"/>
      <c r="F99" s="9" t="n"/>
      <c r="G99" s="9" t="n"/>
      <c r="H99" s="15" t="n"/>
      <c r="I99" s="8" t="n"/>
      <c r="J99" s="9" t="n"/>
      <c r="K99" s="9" t="n"/>
      <c r="L99" s="8" t="n"/>
    </row>
    <row r="100">
      <c r="A100" s="22" t="n"/>
      <c r="B100" s="9" t="n"/>
      <c r="C100" s="9" t="n"/>
      <c r="D100" s="8" t="n"/>
      <c r="E100" s="8" t="n"/>
      <c r="F100" s="9" t="n"/>
      <c r="G100" s="9" t="n"/>
      <c r="H100" s="15" t="n"/>
      <c r="I100" s="8" t="n"/>
      <c r="J100" s="9" t="n"/>
      <c r="K100" s="9" t="n"/>
      <c r="L100" s="8" t="n"/>
    </row>
    <row r="101">
      <c r="A101" s="22" t="n"/>
      <c r="B101" s="9" t="n"/>
      <c r="C101" s="9" t="n"/>
      <c r="D101" s="8" t="n"/>
      <c r="E101" s="8" t="n"/>
      <c r="F101" s="9" t="n"/>
      <c r="G101" s="9" t="n"/>
      <c r="H101" s="15" t="n"/>
      <c r="I101" s="8" t="n"/>
      <c r="J101" s="9" t="n"/>
      <c r="K101" s="9" t="n"/>
      <c r="L101" s="8" t="n"/>
    </row>
    <row r="102">
      <c r="A102" s="22" t="n"/>
      <c r="B102" s="9" t="n"/>
      <c r="C102" s="9" t="n"/>
      <c r="D102" s="8" t="n"/>
      <c r="E102" s="8" t="n"/>
      <c r="F102" s="9" t="n"/>
      <c r="G102" s="9" t="n"/>
      <c r="H102" s="15" t="n"/>
      <c r="I102" s="8" t="n"/>
      <c r="J102" s="9" t="n"/>
      <c r="K102" s="9" t="n"/>
      <c r="L102" s="8" t="n"/>
    </row>
    <row r="103">
      <c r="A103" s="22" t="n"/>
      <c r="B103" s="9" t="n"/>
      <c r="C103" s="9" t="n"/>
      <c r="D103" s="8" t="n"/>
      <c r="E103" s="8" t="n"/>
      <c r="F103" s="9" t="n"/>
      <c r="G103" s="9" t="n"/>
      <c r="H103" s="15" t="n"/>
      <c r="I103" s="8" t="n"/>
      <c r="J103" s="9" t="n"/>
      <c r="K103" s="9" t="n"/>
      <c r="L103" s="8" t="n"/>
    </row>
    <row r="104">
      <c r="A104" s="22" t="n"/>
      <c r="B104" s="9" t="n"/>
      <c r="C104" s="9" t="n"/>
      <c r="D104" s="8" t="n"/>
      <c r="E104" s="8" t="n"/>
      <c r="F104" s="9" t="n"/>
      <c r="G104" s="9" t="n"/>
      <c r="H104" s="15" t="n"/>
      <c r="I104" s="8" t="n"/>
      <c r="J104" s="9" t="n"/>
      <c r="K104" s="9" t="n"/>
      <c r="L104" s="8" t="n"/>
    </row>
    <row r="105">
      <c r="A105" s="22" t="n"/>
      <c r="B105" s="9" t="n"/>
      <c r="C105" s="9" t="n"/>
      <c r="D105" s="8" t="n"/>
      <c r="E105" s="8" t="n"/>
      <c r="F105" s="9" t="n"/>
      <c r="G105" s="9" t="n"/>
      <c r="H105" s="15" t="n"/>
      <c r="I105" s="8" t="n"/>
      <c r="J105" s="9" t="n"/>
      <c r="K105" s="9" t="n"/>
      <c r="L105" s="8" t="n"/>
    </row>
    <row r="106">
      <c r="A106" s="22" t="n"/>
      <c r="B106" s="9" t="n"/>
      <c r="C106" s="9" t="n"/>
      <c r="D106" s="8" t="n"/>
      <c r="E106" s="8" t="n"/>
      <c r="F106" s="9" t="n"/>
      <c r="G106" s="9" t="n"/>
      <c r="H106" s="15" t="n"/>
      <c r="I106" s="8" t="n"/>
      <c r="J106" s="9" t="n"/>
      <c r="K106" s="9" t="n"/>
      <c r="L106" s="8" t="n"/>
    </row>
  </sheetData>
  <mergeCells count="2">
    <mergeCell ref="A2:L2"/>
    <mergeCell ref="A1:L1"/>
  </mergeCells>
  <dataValidations count="5">
    <dataValidation sqref="C7:C106" showDropDown="0" showInputMessage="0" showErrorMessage="0" allowBlank="1" error="Pick a value from the list." promptTitle="Milestone" type="list">
      <formula1>=LISTS!$D$5:$D$8</formula1>
    </dataValidation>
    <dataValidation sqref="D7:D106" showDropDown="0" showInputMessage="0" showErrorMessage="0" allowBlank="1" error="Pick a value from the list." promptTitle="Defect type" type="list">
      <formula1>=LISTS!$C$5:$C$19</formula1>
    </dataValidation>
    <dataValidation sqref="F7:G106" showDropDown="0" showInputMessage="0" showErrorMessage="0" allowBlank="1" error="Pick a value from the list." promptTitle="Phase" type="list">
      <formula1>=LISTS!$A$5:$A$31</formula1>
    </dataValidation>
    <dataValidation sqref="J7:J106" showDropDown="0" showInputMessage="0" showErrorMessage="0" allowBlank="1" error="Pick a value from the list." promptTitle="Severity" type="list">
      <formula1>=LISTS!$J$5:$J$8</formula1>
    </dataValidation>
    <dataValidation sqref="K7:K106" showDropDown="0" showInputMessage="0" showErrorMessage="0" allowBlank="1" error="Pick a value from the list." promptTitle="From AI-generated code?" type="list">
      <formula1>=LISTS!$G$5:$G$6</formula1>
    </dataValidation>
  </dataValidations>
  <printOptions horizontalCentered="1"/>
  <pageMargins left="0.75" right="0.75" top="1" bottom="1" header="0.5" footer="0.5"/>
  <pageSetup orientation="landscape" paperSize="9" fitToHeight="0" fitToWidth="1"/>
  <headerFooter>
    <oddHeader/>
    <oddFooter>&amp;R&amp;8 TMA3084 member workbook v3.0  -  &amp;P of &amp;N</oddFooter>
    <evenHeader/>
    <evenFooter/>
    <firstHeader/>
    <firstFooter/>
  </headerFooter>
</worksheet>
</file>

<file path=xl/worksheets/sheet7.xml><?xml version="1.0" encoding="utf-8"?>
<worksheet xmlns="http://schemas.openxmlformats.org/spreadsheetml/2006/main">
  <sheetPr>
    <tabColor rgb="0014505C"/>
    <outlinePr summaryBelow="1" summaryRight="1"/>
    <pageSetUpPr fitToPage="1"/>
  </sheetPr>
  <dimension ref="A1:K106"/>
  <sheetViews>
    <sheetView showGridLines="0" workbookViewId="0">
      <pane ySplit="6" topLeftCell="A7" activePane="bottomLeft" state="frozen"/>
      <selection pane="bottomLeft" activeCell="A1" sqref="A1"/>
    </sheetView>
  </sheetViews>
  <sheetFormatPr baseColWidth="8" defaultRowHeight="15"/>
  <cols>
    <col width="11" customWidth="1" min="1" max="1"/>
    <col width="10" customWidth="1" min="2" max="2"/>
    <col width="22" customWidth="1" min="3" max="3"/>
    <col width="40" customWidth="1" min="4" max="4"/>
    <col width="12" customWidth="1" min="5" max="5"/>
    <col width="26" customWidth="1" min="6" max="6"/>
    <col width="26" customWidth="1" min="7" max="7"/>
    <col width="10" customWidth="1" min="8" max="8"/>
    <col width="9" customWidth="1" min="9" max="9"/>
    <col width="12" customWidth="1" min="10" max="10"/>
    <col width="11" customWidth="1" min="11" max="11"/>
  </cols>
  <sheetData>
    <row r="1" ht="30" customHeight="1">
      <c r="A1" s="1" t="inlineStr">
        <is>
          <t>Form LOGTEST  -  My Test Case Log</t>
        </is>
      </c>
    </row>
    <row r="2" ht="16" customHeight="1">
      <c r="A2" s="2" t="inlineStr">
        <is>
          <t>Automated tests get a row too.</t>
        </is>
      </c>
    </row>
    <row r="4">
      <c r="A4" s="7" t="inlineStr">
        <is>
          <t>Member</t>
        </is>
      </c>
      <c r="B4" s="10">
        <f>SETUP!$C$5</f>
        <v/>
      </c>
      <c r="E4" s="7" t="inlineStr">
        <is>
          <t>Cases</t>
        </is>
      </c>
      <c r="F4" s="11">
        <f>COUNTA(LOGTEST!$B$7:$B$106)</f>
        <v/>
      </c>
      <c r="G4" s="7" t="inlineStr">
        <is>
          <t>Pass rate</t>
        </is>
      </c>
      <c r="H4" s="24">
        <f>IFERROR(COUNTIF(LOGTEST!$H$7:$H$106,"Pass")/COUNTA(LOGTEST!$H$7:$H$106),"")</f>
        <v/>
      </c>
    </row>
    <row r="6" ht="30" customHeight="1">
      <c r="A6" s="13" t="inlineStr">
        <is>
          <t>Date run</t>
        </is>
      </c>
      <c r="B6" s="13" t="inlineStr">
        <is>
          <t>Test ID</t>
        </is>
      </c>
      <c r="C6" s="13" t="inlineStr">
        <is>
          <t>Module / screen</t>
        </is>
      </c>
      <c r="D6" s="13" t="inlineStr">
        <is>
          <t>What is being tested</t>
        </is>
      </c>
      <c r="E6" s="13" t="inlineStr">
        <is>
          <t>Type</t>
        </is>
      </c>
      <c r="F6" s="13" t="inlineStr">
        <is>
          <t>Expected</t>
        </is>
      </c>
      <c r="G6" s="13" t="inlineStr">
        <is>
          <t>Actual</t>
        </is>
      </c>
      <c r="H6" s="13" t="inlineStr">
        <is>
          <t>Status</t>
        </is>
      </c>
      <c r="I6" s="13" t="inlineStr">
        <is>
          <t>M/stone</t>
        </is>
      </c>
      <c r="J6" s="13" t="inlineStr">
        <is>
          <t>Defect ref</t>
        </is>
      </c>
      <c r="K6" s="13" t="inlineStr">
        <is>
          <t>Automated?</t>
        </is>
      </c>
    </row>
    <row r="7">
      <c r="A7" s="22" t="n"/>
      <c r="B7" s="9" t="n"/>
      <c r="C7" s="8" t="n"/>
      <c r="D7" s="8" t="n"/>
      <c r="E7" s="8" t="n"/>
      <c r="F7" s="8" t="n"/>
      <c r="G7" s="8" t="n"/>
      <c r="H7" s="9" t="n"/>
      <c r="I7" s="9" t="n"/>
      <c r="J7" s="9" t="n"/>
      <c r="K7" s="9" t="n"/>
    </row>
    <row r="8">
      <c r="A8" s="22" t="n"/>
      <c r="B8" s="9" t="n"/>
      <c r="C8" s="8" t="n"/>
      <c r="D8" s="8" t="n"/>
      <c r="E8" s="8" t="n"/>
      <c r="F8" s="8" t="n"/>
      <c r="G8" s="8" t="n"/>
      <c r="H8" s="9" t="n"/>
      <c r="I8" s="9" t="n"/>
      <c r="J8" s="9" t="n"/>
      <c r="K8" s="9" t="n"/>
    </row>
    <row r="9">
      <c r="A9" s="22" t="n"/>
      <c r="B9" s="9" t="n"/>
      <c r="C9" s="8" t="n"/>
      <c r="D9" s="8" t="n"/>
      <c r="E9" s="8" t="n"/>
      <c r="F9" s="8" t="n"/>
      <c r="G9" s="8" t="n"/>
      <c r="H9" s="9" t="n"/>
      <c r="I9" s="9" t="n"/>
      <c r="J9" s="9" t="n"/>
      <c r="K9" s="9" t="n"/>
    </row>
    <row r="10">
      <c r="A10" s="22" t="n"/>
      <c r="B10" s="9" t="n"/>
      <c r="C10" s="8" t="n"/>
      <c r="D10" s="8" t="n"/>
      <c r="E10" s="8" t="n"/>
      <c r="F10" s="8" t="n"/>
      <c r="G10" s="8" t="n"/>
      <c r="H10" s="9" t="n"/>
      <c r="I10" s="9" t="n"/>
      <c r="J10" s="9" t="n"/>
      <c r="K10" s="9" t="n"/>
    </row>
    <row r="11">
      <c r="A11" s="22" t="n"/>
      <c r="B11" s="9" t="n"/>
      <c r="C11" s="8" t="n"/>
      <c r="D11" s="8" t="n"/>
      <c r="E11" s="8" t="n"/>
      <c r="F11" s="8" t="n"/>
      <c r="G11" s="8" t="n"/>
      <c r="H11" s="9" t="n"/>
      <c r="I11" s="9" t="n"/>
      <c r="J11" s="9" t="n"/>
      <c r="K11" s="9" t="n"/>
    </row>
    <row r="12">
      <c r="A12" s="22" t="n"/>
      <c r="B12" s="9" t="n"/>
      <c r="C12" s="8" t="n"/>
      <c r="D12" s="8" t="n"/>
      <c r="E12" s="8" t="n"/>
      <c r="F12" s="8" t="n"/>
      <c r="G12" s="8" t="n"/>
      <c r="H12" s="9" t="n"/>
      <c r="I12" s="9" t="n"/>
      <c r="J12" s="9" t="n"/>
      <c r="K12" s="9" t="n"/>
    </row>
    <row r="13">
      <c r="A13" s="22" t="n"/>
      <c r="B13" s="9" t="n"/>
      <c r="C13" s="8" t="n"/>
      <c r="D13" s="8" t="n"/>
      <c r="E13" s="8" t="n"/>
      <c r="F13" s="8" t="n"/>
      <c r="G13" s="8" t="n"/>
      <c r="H13" s="9" t="n"/>
      <c r="I13" s="9" t="n"/>
      <c r="J13" s="9" t="n"/>
      <c r="K13" s="9" t="n"/>
    </row>
    <row r="14">
      <c r="A14" s="22" t="n"/>
      <c r="B14" s="9" t="n"/>
      <c r="C14" s="8" t="n"/>
      <c r="D14" s="8" t="n"/>
      <c r="E14" s="8" t="n"/>
      <c r="F14" s="8" t="n"/>
      <c r="G14" s="8" t="n"/>
      <c r="H14" s="9" t="n"/>
      <c r="I14" s="9" t="n"/>
      <c r="J14" s="9" t="n"/>
      <c r="K14" s="9" t="n"/>
    </row>
    <row r="15">
      <c r="A15" s="22" t="n"/>
      <c r="B15" s="9" t="n"/>
      <c r="C15" s="8" t="n"/>
      <c r="D15" s="8" t="n"/>
      <c r="E15" s="8" t="n"/>
      <c r="F15" s="8" t="n"/>
      <c r="G15" s="8" t="n"/>
      <c r="H15" s="9" t="n"/>
      <c r="I15" s="9" t="n"/>
      <c r="J15" s="9" t="n"/>
      <c r="K15" s="9" t="n"/>
    </row>
    <row r="16">
      <c r="A16" s="22" t="n"/>
      <c r="B16" s="9" t="n"/>
      <c r="C16" s="8" t="n"/>
      <c r="D16" s="8" t="n"/>
      <c r="E16" s="8" t="n"/>
      <c r="F16" s="8" t="n"/>
      <c r="G16" s="8" t="n"/>
      <c r="H16" s="9" t="n"/>
      <c r="I16" s="9" t="n"/>
      <c r="J16" s="9" t="n"/>
      <c r="K16" s="9" t="n"/>
    </row>
    <row r="17">
      <c r="A17" s="22" t="n"/>
      <c r="B17" s="9" t="n"/>
      <c r="C17" s="8" t="n"/>
      <c r="D17" s="8" t="n"/>
      <c r="E17" s="8" t="n"/>
      <c r="F17" s="8" t="n"/>
      <c r="G17" s="8" t="n"/>
      <c r="H17" s="9" t="n"/>
      <c r="I17" s="9" t="n"/>
      <c r="J17" s="9" t="n"/>
      <c r="K17" s="9" t="n"/>
    </row>
    <row r="18">
      <c r="A18" s="22" t="n"/>
      <c r="B18" s="9" t="n"/>
      <c r="C18" s="8" t="n"/>
      <c r="D18" s="8" t="n"/>
      <c r="E18" s="8" t="n"/>
      <c r="F18" s="8" t="n"/>
      <c r="G18" s="8" t="n"/>
      <c r="H18" s="9" t="n"/>
      <c r="I18" s="9" t="n"/>
      <c r="J18" s="9" t="n"/>
      <c r="K18" s="9" t="n"/>
    </row>
    <row r="19">
      <c r="A19" s="22" t="n"/>
      <c r="B19" s="9" t="n"/>
      <c r="C19" s="8" t="n"/>
      <c r="D19" s="8" t="n"/>
      <c r="E19" s="8" t="n"/>
      <c r="F19" s="8" t="n"/>
      <c r="G19" s="8" t="n"/>
      <c r="H19" s="9" t="n"/>
      <c r="I19" s="9" t="n"/>
      <c r="J19" s="9" t="n"/>
      <c r="K19" s="9" t="n"/>
    </row>
    <row r="20">
      <c r="A20" s="22" t="n"/>
      <c r="B20" s="9" t="n"/>
      <c r="C20" s="8" t="n"/>
      <c r="D20" s="8" t="n"/>
      <c r="E20" s="8" t="n"/>
      <c r="F20" s="8" t="n"/>
      <c r="G20" s="8" t="n"/>
      <c r="H20" s="9" t="n"/>
      <c r="I20" s="9" t="n"/>
      <c r="J20" s="9" t="n"/>
      <c r="K20" s="9" t="n"/>
    </row>
    <row r="21">
      <c r="A21" s="22" t="n"/>
      <c r="B21" s="9" t="n"/>
      <c r="C21" s="8" t="n"/>
      <c r="D21" s="8" t="n"/>
      <c r="E21" s="8" t="n"/>
      <c r="F21" s="8" t="n"/>
      <c r="G21" s="8" t="n"/>
      <c r="H21" s="9" t="n"/>
      <c r="I21" s="9" t="n"/>
      <c r="J21" s="9" t="n"/>
      <c r="K21" s="9" t="n"/>
    </row>
    <row r="22">
      <c r="A22" s="22" t="n"/>
      <c r="B22" s="9" t="n"/>
      <c r="C22" s="8" t="n"/>
      <c r="D22" s="8" t="n"/>
      <c r="E22" s="8" t="n"/>
      <c r="F22" s="8" t="n"/>
      <c r="G22" s="8" t="n"/>
      <c r="H22" s="9" t="n"/>
      <c r="I22" s="9" t="n"/>
      <c r="J22" s="9" t="n"/>
      <c r="K22" s="9" t="n"/>
    </row>
    <row r="23">
      <c r="A23" s="22" t="n"/>
      <c r="B23" s="9" t="n"/>
      <c r="C23" s="8" t="n"/>
      <c r="D23" s="8" t="n"/>
      <c r="E23" s="8" t="n"/>
      <c r="F23" s="8" t="n"/>
      <c r="G23" s="8" t="n"/>
      <c r="H23" s="9" t="n"/>
      <c r="I23" s="9" t="n"/>
      <c r="J23" s="9" t="n"/>
      <c r="K23" s="9" t="n"/>
    </row>
    <row r="24">
      <c r="A24" s="22" t="n"/>
      <c r="B24" s="9" t="n"/>
      <c r="C24" s="8" t="n"/>
      <c r="D24" s="8" t="n"/>
      <c r="E24" s="8" t="n"/>
      <c r="F24" s="8" t="n"/>
      <c r="G24" s="8" t="n"/>
      <c r="H24" s="9" t="n"/>
      <c r="I24" s="9" t="n"/>
      <c r="J24" s="9" t="n"/>
      <c r="K24" s="9" t="n"/>
    </row>
    <row r="25">
      <c r="A25" s="22" t="n"/>
      <c r="B25" s="9" t="n"/>
      <c r="C25" s="8" t="n"/>
      <c r="D25" s="8" t="n"/>
      <c r="E25" s="8" t="n"/>
      <c r="F25" s="8" t="n"/>
      <c r="G25" s="8" t="n"/>
      <c r="H25" s="9" t="n"/>
      <c r="I25" s="9" t="n"/>
      <c r="J25" s="9" t="n"/>
      <c r="K25" s="9" t="n"/>
    </row>
    <row r="26">
      <c r="A26" s="22" t="n"/>
      <c r="B26" s="9" t="n"/>
      <c r="C26" s="8" t="n"/>
      <c r="D26" s="8" t="n"/>
      <c r="E26" s="8" t="n"/>
      <c r="F26" s="8" t="n"/>
      <c r="G26" s="8" t="n"/>
      <c r="H26" s="9" t="n"/>
      <c r="I26" s="9" t="n"/>
      <c r="J26" s="9" t="n"/>
      <c r="K26" s="9" t="n"/>
    </row>
    <row r="27">
      <c r="A27" s="22" t="n"/>
      <c r="B27" s="9" t="n"/>
      <c r="C27" s="8" t="n"/>
      <c r="D27" s="8" t="n"/>
      <c r="E27" s="8" t="n"/>
      <c r="F27" s="8" t="n"/>
      <c r="G27" s="8" t="n"/>
      <c r="H27" s="9" t="n"/>
      <c r="I27" s="9" t="n"/>
      <c r="J27" s="9" t="n"/>
      <c r="K27" s="9" t="n"/>
    </row>
    <row r="28">
      <c r="A28" s="22" t="n"/>
      <c r="B28" s="9" t="n"/>
      <c r="C28" s="8" t="n"/>
      <c r="D28" s="8" t="n"/>
      <c r="E28" s="8" t="n"/>
      <c r="F28" s="8" t="n"/>
      <c r="G28" s="8" t="n"/>
      <c r="H28" s="9" t="n"/>
      <c r="I28" s="9" t="n"/>
      <c r="J28" s="9" t="n"/>
      <c r="K28" s="9" t="n"/>
    </row>
    <row r="29">
      <c r="A29" s="22" t="n"/>
      <c r="B29" s="9" t="n"/>
      <c r="C29" s="8" t="n"/>
      <c r="D29" s="8" t="n"/>
      <c r="E29" s="8" t="n"/>
      <c r="F29" s="8" t="n"/>
      <c r="G29" s="8" t="n"/>
      <c r="H29" s="9" t="n"/>
      <c r="I29" s="9" t="n"/>
      <c r="J29" s="9" t="n"/>
      <c r="K29" s="9" t="n"/>
    </row>
    <row r="30">
      <c r="A30" s="22" t="n"/>
      <c r="B30" s="9" t="n"/>
      <c r="C30" s="8" t="n"/>
      <c r="D30" s="8" t="n"/>
      <c r="E30" s="8" t="n"/>
      <c r="F30" s="8" t="n"/>
      <c r="G30" s="8" t="n"/>
      <c r="H30" s="9" t="n"/>
      <c r="I30" s="9" t="n"/>
      <c r="J30" s="9" t="n"/>
      <c r="K30" s="9" t="n"/>
    </row>
    <row r="31">
      <c r="A31" s="22" t="n"/>
      <c r="B31" s="9" t="n"/>
      <c r="C31" s="8" t="n"/>
      <c r="D31" s="8" t="n"/>
      <c r="E31" s="8" t="n"/>
      <c r="F31" s="8" t="n"/>
      <c r="G31" s="8" t="n"/>
      <c r="H31" s="9" t="n"/>
      <c r="I31" s="9" t="n"/>
      <c r="J31" s="9" t="n"/>
      <c r="K31" s="9" t="n"/>
    </row>
    <row r="32">
      <c r="A32" s="22" t="n"/>
      <c r="B32" s="9" t="n"/>
      <c r="C32" s="8" t="n"/>
      <c r="D32" s="8" t="n"/>
      <c r="E32" s="8" t="n"/>
      <c r="F32" s="8" t="n"/>
      <c r="G32" s="8" t="n"/>
      <c r="H32" s="9" t="n"/>
      <c r="I32" s="9" t="n"/>
      <c r="J32" s="9" t="n"/>
      <c r="K32" s="9" t="n"/>
    </row>
    <row r="33">
      <c r="A33" s="22" t="n"/>
      <c r="B33" s="9" t="n"/>
      <c r="C33" s="8" t="n"/>
      <c r="D33" s="8" t="n"/>
      <c r="E33" s="8" t="n"/>
      <c r="F33" s="8" t="n"/>
      <c r="G33" s="8" t="n"/>
      <c r="H33" s="9" t="n"/>
      <c r="I33" s="9" t="n"/>
      <c r="J33" s="9" t="n"/>
      <c r="K33" s="9" t="n"/>
    </row>
    <row r="34">
      <c r="A34" s="22" t="n"/>
      <c r="B34" s="9" t="n"/>
      <c r="C34" s="8" t="n"/>
      <c r="D34" s="8" t="n"/>
      <c r="E34" s="8" t="n"/>
      <c r="F34" s="8" t="n"/>
      <c r="G34" s="8" t="n"/>
      <c r="H34" s="9" t="n"/>
      <c r="I34" s="9" t="n"/>
      <c r="J34" s="9" t="n"/>
      <c r="K34" s="9" t="n"/>
    </row>
    <row r="35">
      <c r="A35" s="22" t="n"/>
      <c r="B35" s="9" t="n"/>
      <c r="C35" s="8" t="n"/>
      <c r="D35" s="8" t="n"/>
      <c r="E35" s="8" t="n"/>
      <c r="F35" s="8" t="n"/>
      <c r="G35" s="8" t="n"/>
      <c r="H35" s="9" t="n"/>
      <c r="I35" s="9" t="n"/>
      <c r="J35" s="9" t="n"/>
      <c r="K35" s="9" t="n"/>
    </row>
    <row r="36">
      <c r="A36" s="22" t="n"/>
      <c r="B36" s="9" t="n"/>
      <c r="C36" s="8" t="n"/>
      <c r="D36" s="8" t="n"/>
      <c r="E36" s="8" t="n"/>
      <c r="F36" s="8" t="n"/>
      <c r="G36" s="8" t="n"/>
      <c r="H36" s="9" t="n"/>
      <c r="I36" s="9" t="n"/>
      <c r="J36" s="9" t="n"/>
      <c r="K36" s="9" t="n"/>
    </row>
    <row r="37">
      <c r="A37" s="22" t="n"/>
      <c r="B37" s="9" t="n"/>
      <c r="C37" s="8" t="n"/>
      <c r="D37" s="8" t="n"/>
      <c r="E37" s="8" t="n"/>
      <c r="F37" s="8" t="n"/>
      <c r="G37" s="8" t="n"/>
      <c r="H37" s="9" t="n"/>
      <c r="I37" s="9" t="n"/>
      <c r="J37" s="9" t="n"/>
      <c r="K37" s="9" t="n"/>
    </row>
    <row r="38">
      <c r="A38" s="22" t="n"/>
      <c r="B38" s="9" t="n"/>
      <c r="C38" s="8" t="n"/>
      <c r="D38" s="8" t="n"/>
      <c r="E38" s="8" t="n"/>
      <c r="F38" s="8" t="n"/>
      <c r="G38" s="8" t="n"/>
      <c r="H38" s="9" t="n"/>
      <c r="I38" s="9" t="n"/>
      <c r="J38" s="9" t="n"/>
      <c r="K38" s="9" t="n"/>
    </row>
    <row r="39">
      <c r="A39" s="22" t="n"/>
      <c r="B39" s="9" t="n"/>
      <c r="C39" s="8" t="n"/>
      <c r="D39" s="8" t="n"/>
      <c r="E39" s="8" t="n"/>
      <c r="F39" s="8" t="n"/>
      <c r="G39" s="8" t="n"/>
      <c r="H39" s="9" t="n"/>
      <c r="I39" s="9" t="n"/>
      <c r="J39" s="9" t="n"/>
      <c r="K39" s="9" t="n"/>
    </row>
    <row r="40">
      <c r="A40" s="22" t="n"/>
      <c r="B40" s="9" t="n"/>
      <c r="C40" s="8" t="n"/>
      <c r="D40" s="8" t="n"/>
      <c r="E40" s="8" t="n"/>
      <c r="F40" s="8" t="n"/>
      <c r="G40" s="8" t="n"/>
      <c r="H40" s="9" t="n"/>
      <c r="I40" s="9" t="n"/>
      <c r="J40" s="9" t="n"/>
      <c r="K40" s="9" t="n"/>
    </row>
    <row r="41">
      <c r="A41" s="22" t="n"/>
      <c r="B41" s="9" t="n"/>
      <c r="C41" s="8" t="n"/>
      <c r="D41" s="8" t="n"/>
      <c r="E41" s="8" t="n"/>
      <c r="F41" s="8" t="n"/>
      <c r="G41" s="8" t="n"/>
      <c r="H41" s="9" t="n"/>
      <c r="I41" s="9" t="n"/>
      <c r="J41" s="9" t="n"/>
      <c r="K41" s="9" t="n"/>
    </row>
    <row r="42">
      <c r="A42" s="22" t="n"/>
      <c r="B42" s="9" t="n"/>
      <c r="C42" s="8" t="n"/>
      <c r="D42" s="8" t="n"/>
      <c r="E42" s="8" t="n"/>
      <c r="F42" s="8" t="n"/>
      <c r="G42" s="8" t="n"/>
      <c r="H42" s="9" t="n"/>
      <c r="I42" s="9" t="n"/>
      <c r="J42" s="9" t="n"/>
      <c r="K42" s="9" t="n"/>
    </row>
    <row r="43">
      <c r="A43" s="22" t="n"/>
      <c r="B43" s="9" t="n"/>
      <c r="C43" s="8" t="n"/>
      <c r="D43" s="8" t="n"/>
      <c r="E43" s="8" t="n"/>
      <c r="F43" s="8" t="n"/>
      <c r="G43" s="8" t="n"/>
      <c r="H43" s="9" t="n"/>
      <c r="I43" s="9" t="n"/>
      <c r="J43" s="9" t="n"/>
      <c r="K43" s="9" t="n"/>
    </row>
    <row r="44">
      <c r="A44" s="22" t="n"/>
      <c r="B44" s="9" t="n"/>
      <c r="C44" s="8" t="n"/>
      <c r="D44" s="8" t="n"/>
      <c r="E44" s="8" t="n"/>
      <c r="F44" s="8" t="n"/>
      <c r="G44" s="8" t="n"/>
      <c r="H44" s="9" t="n"/>
      <c r="I44" s="9" t="n"/>
      <c r="J44" s="9" t="n"/>
      <c r="K44" s="9" t="n"/>
    </row>
    <row r="45">
      <c r="A45" s="22" t="n"/>
      <c r="B45" s="9" t="n"/>
      <c r="C45" s="8" t="n"/>
      <c r="D45" s="8" t="n"/>
      <c r="E45" s="8" t="n"/>
      <c r="F45" s="8" t="n"/>
      <c r="G45" s="8" t="n"/>
      <c r="H45" s="9" t="n"/>
      <c r="I45" s="9" t="n"/>
      <c r="J45" s="9" t="n"/>
      <c r="K45" s="9" t="n"/>
    </row>
    <row r="46">
      <c r="A46" s="22" t="n"/>
      <c r="B46" s="9" t="n"/>
      <c r="C46" s="8" t="n"/>
      <c r="D46" s="8" t="n"/>
      <c r="E46" s="8" t="n"/>
      <c r="F46" s="8" t="n"/>
      <c r="G46" s="8" t="n"/>
      <c r="H46" s="9" t="n"/>
      <c r="I46" s="9" t="n"/>
      <c r="J46" s="9" t="n"/>
      <c r="K46" s="9" t="n"/>
    </row>
    <row r="47">
      <c r="A47" s="22" t="n"/>
      <c r="B47" s="9" t="n"/>
      <c r="C47" s="8" t="n"/>
      <c r="D47" s="8" t="n"/>
      <c r="E47" s="8" t="n"/>
      <c r="F47" s="8" t="n"/>
      <c r="G47" s="8" t="n"/>
      <c r="H47" s="9" t="n"/>
      <c r="I47" s="9" t="n"/>
      <c r="J47" s="9" t="n"/>
      <c r="K47" s="9" t="n"/>
    </row>
    <row r="48">
      <c r="A48" s="22" t="n"/>
      <c r="B48" s="9" t="n"/>
      <c r="C48" s="8" t="n"/>
      <c r="D48" s="8" t="n"/>
      <c r="E48" s="8" t="n"/>
      <c r="F48" s="8" t="n"/>
      <c r="G48" s="8" t="n"/>
      <c r="H48" s="9" t="n"/>
      <c r="I48" s="9" t="n"/>
      <c r="J48" s="9" t="n"/>
      <c r="K48" s="9" t="n"/>
    </row>
    <row r="49">
      <c r="A49" s="22" t="n"/>
      <c r="B49" s="9" t="n"/>
      <c r="C49" s="8" t="n"/>
      <c r="D49" s="8" t="n"/>
      <c r="E49" s="8" t="n"/>
      <c r="F49" s="8" t="n"/>
      <c r="G49" s="8" t="n"/>
      <c r="H49" s="9" t="n"/>
      <c r="I49" s="9" t="n"/>
      <c r="J49" s="9" t="n"/>
      <c r="K49" s="9" t="n"/>
    </row>
    <row r="50">
      <c r="A50" s="22" t="n"/>
      <c r="B50" s="9" t="n"/>
      <c r="C50" s="8" t="n"/>
      <c r="D50" s="8" t="n"/>
      <c r="E50" s="8" t="n"/>
      <c r="F50" s="8" t="n"/>
      <c r="G50" s="8" t="n"/>
      <c r="H50" s="9" t="n"/>
      <c r="I50" s="9" t="n"/>
      <c r="J50" s="9" t="n"/>
      <c r="K50" s="9" t="n"/>
    </row>
    <row r="51">
      <c r="A51" s="22" t="n"/>
      <c r="B51" s="9" t="n"/>
      <c r="C51" s="8" t="n"/>
      <c r="D51" s="8" t="n"/>
      <c r="E51" s="8" t="n"/>
      <c r="F51" s="8" t="n"/>
      <c r="G51" s="8" t="n"/>
      <c r="H51" s="9" t="n"/>
      <c r="I51" s="9" t="n"/>
      <c r="J51" s="9" t="n"/>
      <c r="K51" s="9" t="n"/>
    </row>
    <row r="52">
      <c r="A52" s="22" t="n"/>
      <c r="B52" s="9" t="n"/>
      <c r="C52" s="8" t="n"/>
      <c r="D52" s="8" t="n"/>
      <c r="E52" s="8" t="n"/>
      <c r="F52" s="8" t="n"/>
      <c r="G52" s="8" t="n"/>
      <c r="H52" s="9" t="n"/>
      <c r="I52" s="9" t="n"/>
      <c r="J52" s="9" t="n"/>
      <c r="K52" s="9" t="n"/>
    </row>
    <row r="53">
      <c r="A53" s="22" t="n"/>
      <c r="B53" s="9" t="n"/>
      <c r="C53" s="8" t="n"/>
      <c r="D53" s="8" t="n"/>
      <c r="E53" s="8" t="n"/>
      <c r="F53" s="8" t="n"/>
      <c r="G53" s="8" t="n"/>
      <c r="H53" s="9" t="n"/>
      <c r="I53" s="9" t="n"/>
      <c r="J53" s="9" t="n"/>
      <c r="K53" s="9" t="n"/>
    </row>
    <row r="54">
      <c r="A54" s="22" t="n"/>
      <c r="B54" s="9" t="n"/>
      <c r="C54" s="8" t="n"/>
      <c r="D54" s="8" t="n"/>
      <c r="E54" s="8" t="n"/>
      <c r="F54" s="8" t="n"/>
      <c r="G54" s="8" t="n"/>
      <c r="H54" s="9" t="n"/>
      <c r="I54" s="9" t="n"/>
      <c r="J54" s="9" t="n"/>
      <c r="K54" s="9" t="n"/>
    </row>
    <row r="55">
      <c r="A55" s="22" t="n"/>
      <c r="B55" s="9" t="n"/>
      <c r="C55" s="8" t="n"/>
      <c r="D55" s="8" t="n"/>
      <c r="E55" s="8" t="n"/>
      <c r="F55" s="8" t="n"/>
      <c r="G55" s="8" t="n"/>
      <c r="H55" s="9" t="n"/>
      <c r="I55" s="9" t="n"/>
      <c r="J55" s="9" t="n"/>
      <c r="K55" s="9" t="n"/>
    </row>
    <row r="56">
      <c r="A56" s="22" t="n"/>
      <c r="B56" s="9" t="n"/>
      <c r="C56" s="8" t="n"/>
      <c r="D56" s="8" t="n"/>
      <c r="E56" s="8" t="n"/>
      <c r="F56" s="8" t="n"/>
      <c r="G56" s="8" t="n"/>
      <c r="H56" s="9" t="n"/>
      <c r="I56" s="9" t="n"/>
      <c r="J56" s="9" t="n"/>
      <c r="K56" s="9" t="n"/>
    </row>
    <row r="57">
      <c r="A57" s="22" t="n"/>
      <c r="B57" s="9" t="n"/>
      <c r="C57" s="8" t="n"/>
      <c r="D57" s="8" t="n"/>
      <c r="E57" s="8" t="n"/>
      <c r="F57" s="8" t="n"/>
      <c r="G57" s="8" t="n"/>
      <c r="H57" s="9" t="n"/>
      <c r="I57" s="9" t="n"/>
      <c r="J57" s="9" t="n"/>
      <c r="K57" s="9" t="n"/>
    </row>
    <row r="58">
      <c r="A58" s="22" t="n"/>
      <c r="B58" s="9" t="n"/>
      <c r="C58" s="8" t="n"/>
      <c r="D58" s="8" t="n"/>
      <c r="E58" s="8" t="n"/>
      <c r="F58" s="8" t="n"/>
      <c r="G58" s="8" t="n"/>
      <c r="H58" s="9" t="n"/>
      <c r="I58" s="9" t="n"/>
      <c r="J58" s="9" t="n"/>
      <c r="K58" s="9" t="n"/>
    </row>
    <row r="59">
      <c r="A59" s="22" t="n"/>
      <c r="B59" s="9" t="n"/>
      <c r="C59" s="8" t="n"/>
      <c r="D59" s="8" t="n"/>
      <c r="E59" s="8" t="n"/>
      <c r="F59" s="8" t="n"/>
      <c r="G59" s="8" t="n"/>
      <c r="H59" s="9" t="n"/>
      <c r="I59" s="9" t="n"/>
      <c r="J59" s="9" t="n"/>
      <c r="K59" s="9" t="n"/>
    </row>
    <row r="60">
      <c r="A60" s="22" t="n"/>
      <c r="B60" s="9" t="n"/>
      <c r="C60" s="8" t="n"/>
      <c r="D60" s="8" t="n"/>
      <c r="E60" s="8" t="n"/>
      <c r="F60" s="8" t="n"/>
      <c r="G60" s="8" t="n"/>
      <c r="H60" s="9" t="n"/>
      <c r="I60" s="9" t="n"/>
      <c r="J60" s="9" t="n"/>
      <c r="K60" s="9" t="n"/>
    </row>
    <row r="61">
      <c r="A61" s="22" t="n"/>
      <c r="B61" s="9" t="n"/>
      <c r="C61" s="8" t="n"/>
      <c r="D61" s="8" t="n"/>
      <c r="E61" s="8" t="n"/>
      <c r="F61" s="8" t="n"/>
      <c r="G61" s="8" t="n"/>
      <c r="H61" s="9" t="n"/>
      <c r="I61" s="9" t="n"/>
      <c r="J61" s="9" t="n"/>
      <c r="K61" s="9" t="n"/>
    </row>
    <row r="62">
      <c r="A62" s="22" t="n"/>
      <c r="B62" s="9" t="n"/>
      <c r="C62" s="8" t="n"/>
      <c r="D62" s="8" t="n"/>
      <c r="E62" s="8" t="n"/>
      <c r="F62" s="8" t="n"/>
      <c r="G62" s="8" t="n"/>
      <c r="H62" s="9" t="n"/>
      <c r="I62" s="9" t="n"/>
      <c r="J62" s="9" t="n"/>
      <c r="K62" s="9" t="n"/>
    </row>
    <row r="63">
      <c r="A63" s="22" t="n"/>
      <c r="B63" s="9" t="n"/>
      <c r="C63" s="8" t="n"/>
      <c r="D63" s="8" t="n"/>
      <c r="E63" s="8" t="n"/>
      <c r="F63" s="8" t="n"/>
      <c r="G63" s="8" t="n"/>
      <c r="H63" s="9" t="n"/>
      <c r="I63" s="9" t="n"/>
      <c r="J63" s="9" t="n"/>
      <c r="K63" s="9" t="n"/>
    </row>
    <row r="64">
      <c r="A64" s="22" t="n"/>
      <c r="B64" s="9" t="n"/>
      <c r="C64" s="8" t="n"/>
      <c r="D64" s="8" t="n"/>
      <c r="E64" s="8" t="n"/>
      <c r="F64" s="8" t="n"/>
      <c r="G64" s="8" t="n"/>
      <c r="H64" s="9" t="n"/>
      <c r="I64" s="9" t="n"/>
      <c r="J64" s="9" t="n"/>
      <c r="K64" s="9" t="n"/>
    </row>
    <row r="65">
      <c r="A65" s="22" t="n"/>
      <c r="B65" s="9" t="n"/>
      <c r="C65" s="8" t="n"/>
      <c r="D65" s="8" t="n"/>
      <c r="E65" s="8" t="n"/>
      <c r="F65" s="8" t="n"/>
      <c r="G65" s="8" t="n"/>
      <c r="H65" s="9" t="n"/>
      <c r="I65" s="9" t="n"/>
      <c r="J65" s="9" t="n"/>
      <c r="K65" s="9" t="n"/>
    </row>
    <row r="66">
      <c r="A66" s="22" t="n"/>
      <c r="B66" s="9" t="n"/>
      <c r="C66" s="8" t="n"/>
      <c r="D66" s="8" t="n"/>
      <c r="E66" s="8" t="n"/>
      <c r="F66" s="8" t="n"/>
      <c r="G66" s="8" t="n"/>
      <c r="H66" s="9" t="n"/>
      <c r="I66" s="9" t="n"/>
      <c r="J66" s="9" t="n"/>
      <c r="K66" s="9" t="n"/>
    </row>
    <row r="67">
      <c r="A67" s="22" t="n"/>
      <c r="B67" s="9" t="n"/>
      <c r="C67" s="8" t="n"/>
      <c r="D67" s="8" t="n"/>
      <c r="E67" s="8" t="n"/>
      <c r="F67" s="8" t="n"/>
      <c r="G67" s="8" t="n"/>
      <c r="H67" s="9" t="n"/>
      <c r="I67" s="9" t="n"/>
      <c r="J67" s="9" t="n"/>
      <c r="K67" s="9" t="n"/>
    </row>
    <row r="68">
      <c r="A68" s="22" t="n"/>
      <c r="B68" s="9" t="n"/>
      <c r="C68" s="8" t="n"/>
      <c r="D68" s="8" t="n"/>
      <c r="E68" s="8" t="n"/>
      <c r="F68" s="8" t="n"/>
      <c r="G68" s="8" t="n"/>
      <c r="H68" s="9" t="n"/>
      <c r="I68" s="9" t="n"/>
      <c r="J68" s="9" t="n"/>
      <c r="K68" s="9" t="n"/>
    </row>
    <row r="69">
      <c r="A69" s="22" t="n"/>
      <c r="B69" s="9" t="n"/>
      <c r="C69" s="8" t="n"/>
      <c r="D69" s="8" t="n"/>
      <c r="E69" s="8" t="n"/>
      <c r="F69" s="8" t="n"/>
      <c r="G69" s="8" t="n"/>
      <c r="H69" s="9" t="n"/>
      <c r="I69" s="9" t="n"/>
      <c r="J69" s="9" t="n"/>
      <c r="K69" s="9" t="n"/>
    </row>
    <row r="70">
      <c r="A70" s="22" t="n"/>
      <c r="B70" s="9" t="n"/>
      <c r="C70" s="8" t="n"/>
      <c r="D70" s="8" t="n"/>
      <c r="E70" s="8" t="n"/>
      <c r="F70" s="8" t="n"/>
      <c r="G70" s="8" t="n"/>
      <c r="H70" s="9" t="n"/>
      <c r="I70" s="9" t="n"/>
      <c r="J70" s="9" t="n"/>
      <c r="K70" s="9" t="n"/>
    </row>
    <row r="71">
      <c r="A71" s="22" t="n"/>
      <c r="B71" s="9" t="n"/>
      <c r="C71" s="8" t="n"/>
      <c r="D71" s="8" t="n"/>
      <c r="E71" s="8" t="n"/>
      <c r="F71" s="8" t="n"/>
      <c r="G71" s="8" t="n"/>
      <c r="H71" s="9" t="n"/>
      <c r="I71" s="9" t="n"/>
      <c r="J71" s="9" t="n"/>
      <c r="K71" s="9" t="n"/>
    </row>
    <row r="72">
      <c r="A72" s="22" t="n"/>
      <c r="B72" s="9" t="n"/>
      <c r="C72" s="8" t="n"/>
      <c r="D72" s="8" t="n"/>
      <c r="E72" s="8" t="n"/>
      <c r="F72" s="8" t="n"/>
      <c r="G72" s="8" t="n"/>
      <c r="H72" s="9" t="n"/>
      <c r="I72" s="9" t="n"/>
      <c r="J72" s="9" t="n"/>
      <c r="K72" s="9" t="n"/>
    </row>
    <row r="73">
      <c r="A73" s="22" t="n"/>
      <c r="B73" s="9" t="n"/>
      <c r="C73" s="8" t="n"/>
      <c r="D73" s="8" t="n"/>
      <c r="E73" s="8" t="n"/>
      <c r="F73" s="8" t="n"/>
      <c r="G73" s="8" t="n"/>
      <c r="H73" s="9" t="n"/>
      <c r="I73" s="9" t="n"/>
      <c r="J73" s="9" t="n"/>
      <c r="K73" s="9" t="n"/>
    </row>
    <row r="74">
      <c r="A74" s="22" t="n"/>
      <c r="B74" s="9" t="n"/>
      <c r="C74" s="8" t="n"/>
      <c r="D74" s="8" t="n"/>
      <c r="E74" s="8" t="n"/>
      <c r="F74" s="8" t="n"/>
      <c r="G74" s="8" t="n"/>
      <c r="H74" s="9" t="n"/>
      <c r="I74" s="9" t="n"/>
      <c r="J74" s="9" t="n"/>
      <c r="K74" s="9" t="n"/>
    </row>
    <row r="75">
      <c r="A75" s="22" t="n"/>
      <c r="B75" s="9" t="n"/>
      <c r="C75" s="8" t="n"/>
      <c r="D75" s="8" t="n"/>
      <c r="E75" s="8" t="n"/>
      <c r="F75" s="8" t="n"/>
      <c r="G75" s="8" t="n"/>
      <c r="H75" s="9" t="n"/>
      <c r="I75" s="9" t="n"/>
      <c r="J75" s="9" t="n"/>
      <c r="K75" s="9" t="n"/>
    </row>
    <row r="76">
      <c r="A76" s="22" t="n"/>
      <c r="B76" s="9" t="n"/>
      <c r="C76" s="8" t="n"/>
      <c r="D76" s="8" t="n"/>
      <c r="E76" s="8" t="n"/>
      <c r="F76" s="8" t="n"/>
      <c r="G76" s="8" t="n"/>
      <c r="H76" s="9" t="n"/>
      <c r="I76" s="9" t="n"/>
      <c r="J76" s="9" t="n"/>
      <c r="K76" s="9" t="n"/>
    </row>
    <row r="77">
      <c r="A77" s="22" t="n"/>
      <c r="B77" s="9" t="n"/>
      <c r="C77" s="8" t="n"/>
      <c r="D77" s="8" t="n"/>
      <c r="E77" s="8" t="n"/>
      <c r="F77" s="8" t="n"/>
      <c r="G77" s="8" t="n"/>
      <c r="H77" s="9" t="n"/>
      <c r="I77" s="9" t="n"/>
      <c r="J77" s="9" t="n"/>
      <c r="K77" s="9" t="n"/>
    </row>
    <row r="78">
      <c r="A78" s="22" t="n"/>
      <c r="B78" s="9" t="n"/>
      <c r="C78" s="8" t="n"/>
      <c r="D78" s="8" t="n"/>
      <c r="E78" s="8" t="n"/>
      <c r="F78" s="8" t="n"/>
      <c r="G78" s="8" t="n"/>
      <c r="H78" s="9" t="n"/>
      <c r="I78" s="9" t="n"/>
      <c r="J78" s="9" t="n"/>
      <c r="K78" s="9" t="n"/>
    </row>
    <row r="79">
      <c r="A79" s="22" t="n"/>
      <c r="B79" s="9" t="n"/>
      <c r="C79" s="8" t="n"/>
      <c r="D79" s="8" t="n"/>
      <c r="E79" s="8" t="n"/>
      <c r="F79" s="8" t="n"/>
      <c r="G79" s="8" t="n"/>
      <c r="H79" s="9" t="n"/>
      <c r="I79" s="9" t="n"/>
      <c r="J79" s="9" t="n"/>
      <c r="K79" s="9" t="n"/>
    </row>
    <row r="80">
      <c r="A80" s="22" t="n"/>
      <c r="B80" s="9" t="n"/>
      <c r="C80" s="8" t="n"/>
      <c r="D80" s="8" t="n"/>
      <c r="E80" s="8" t="n"/>
      <c r="F80" s="8" t="n"/>
      <c r="G80" s="8" t="n"/>
      <c r="H80" s="9" t="n"/>
      <c r="I80" s="9" t="n"/>
      <c r="J80" s="9" t="n"/>
      <c r="K80" s="9" t="n"/>
    </row>
    <row r="81">
      <c r="A81" s="22" t="n"/>
      <c r="B81" s="9" t="n"/>
      <c r="C81" s="8" t="n"/>
      <c r="D81" s="8" t="n"/>
      <c r="E81" s="8" t="n"/>
      <c r="F81" s="8" t="n"/>
      <c r="G81" s="8" t="n"/>
      <c r="H81" s="9" t="n"/>
      <c r="I81" s="9" t="n"/>
      <c r="J81" s="9" t="n"/>
      <c r="K81" s="9" t="n"/>
    </row>
    <row r="82">
      <c r="A82" s="22" t="n"/>
      <c r="B82" s="9" t="n"/>
      <c r="C82" s="8" t="n"/>
      <c r="D82" s="8" t="n"/>
      <c r="E82" s="8" t="n"/>
      <c r="F82" s="8" t="n"/>
      <c r="G82" s="8" t="n"/>
      <c r="H82" s="9" t="n"/>
      <c r="I82" s="9" t="n"/>
      <c r="J82" s="9" t="n"/>
      <c r="K82" s="9" t="n"/>
    </row>
    <row r="83">
      <c r="A83" s="22" t="n"/>
      <c r="B83" s="9" t="n"/>
      <c r="C83" s="8" t="n"/>
      <c r="D83" s="8" t="n"/>
      <c r="E83" s="8" t="n"/>
      <c r="F83" s="8" t="n"/>
      <c r="G83" s="8" t="n"/>
      <c r="H83" s="9" t="n"/>
      <c r="I83" s="9" t="n"/>
      <c r="J83" s="9" t="n"/>
      <c r="K83" s="9" t="n"/>
    </row>
    <row r="84">
      <c r="A84" s="22" t="n"/>
      <c r="B84" s="9" t="n"/>
      <c r="C84" s="8" t="n"/>
      <c r="D84" s="8" t="n"/>
      <c r="E84" s="8" t="n"/>
      <c r="F84" s="8" t="n"/>
      <c r="G84" s="8" t="n"/>
      <c r="H84" s="9" t="n"/>
      <c r="I84" s="9" t="n"/>
      <c r="J84" s="9" t="n"/>
      <c r="K84" s="9" t="n"/>
    </row>
    <row r="85">
      <c r="A85" s="22" t="n"/>
      <c r="B85" s="9" t="n"/>
      <c r="C85" s="8" t="n"/>
      <c r="D85" s="8" t="n"/>
      <c r="E85" s="8" t="n"/>
      <c r="F85" s="8" t="n"/>
      <c r="G85" s="8" t="n"/>
      <c r="H85" s="9" t="n"/>
      <c r="I85" s="9" t="n"/>
      <c r="J85" s="9" t="n"/>
      <c r="K85" s="9" t="n"/>
    </row>
    <row r="86">
      <c r="A86" s="22" t="n"/>
      <c r="B86" s="9" t="n"/>
      <c r="C86" s="8" t="n"/>
      <c r="D86" s="8" t="n"/>
      <c r="E86" s="8" t="n"/>
      <c r="F86" s="8" t="n"/>
      <c r="G86" s="8" t="n"/>
      <c r="H86" s="9" t="n"/>
      <c r="I86" s="9" t="n"/>
      <c r="J86" s="9" t="n"/>
      <c r="K86" s="9" t="n"/>
    </row>
    <row r="87">
      <c r="A87" s="22" t="n"/>
      <c r="B87" s="9" t="n"/>
      <c r="C87" s="8" t="n"/>
      <c r="D87" s="8" t="n"/>
      <c r="E87" s="8" t="n"/>
      <c r="F87" s="8" t="n"/>
      <c r="G87" s="8" t="n"/>
      <c r="H87" s="9" t="n"/>
      <c r="I87" s="9" t="n"/>
      <c r="J87" s="9" t="n"/>
      <c r="K87" s="9" t="n"/>
    </row>
    <row r="88">
      <c r="A88" s="22" t="n"/>
      <c r="B88" s="9" t="n"/>
      <c r="C88" s="8" t="n"/>
      <c r="D88" s="8" t="n"/>
      <c r="E88" s="8" t="n"/>
      <c r="F88" s="8" t="n"/>
      <c r="G88" s="8" t="n"/>
      <c r="H88" s="9" t="n"/>
      <c r="I88" s="9" t="n"/>
      <c r="J88" s="9" t="n"/>
      <c r="K88" s="9" t="n"/>
    </row>
    <row r="89">
      <c r="A89" s="22" t="n"/>
      <c r="B89" s="9" t="n"/>
      <c r="C89" s="8" t="n"/>
      <c r="D89" s="8" t="n"/>
      <c r="E89" s="8" t="n"/>
      <c r="F89" s="8" t="n"/>
      <c r="G89" s="8" t="n"/>
      <c r="H89" s="9" t="n"/>
      <c r="I89" s="9" t="n"/>
      <c r="J89" s="9" t="n"/>
      <c r="K89" s="9" t="n"/>
    </row>
    <row r="90">
      <c r="A90" s="22" t="n"/>
      <c r="B90" s="9" t="n"/>
      <c r="C90" s="8" t="n"/>
      <c r="D90" s="8" t="n"/>
      <c r="E90" s="8" t="n"/>
      <c r="F90" s="8" t="n"/>
      <c r="G90" s="8" t="n"/>
      <c r="H90" s="9" t="n"/>
      <c r="I90" s="9" t="n"/>
      <c r="J90" s="9" t="n"/>
      <c r="K90" s="9" t="n"/>
    </row>
    <row r="91">
      <c r="A91" s="22" t="n"/>
      <c r="B91" s="9" t="n"/>
      <c r="C91" s="8" t="n"/>
      <c r="D91" s="8" t="n"/>
      <c r="E91" s="8" t="n"/>
      <c r="F91" s="8" t="n"/>
      <c r="G91" s="8" t="n"/>
      <c r="H91" s="9" t="n"/>
      <c r="I91" s="9" t="n"/>
      <c r="J91" s="9" t="n"/>
      <c r="K91" s="9" t="n"/>
    </row>
    <row r="92">
      <c r="A92" s="22" t="n"/>
      <c r="B92" s="9" t="n"/>
      <c r="C92" s="8" t="n"/>
      <c r="D92" s="8" t="n"/>
      <c r="E92" s="8" t="n"/>
      <c r="F92" s="8" t="n"/>
      <c r="G92" s="8" t="n"/>
      <c r="H92" s="9" t="n"/>
      <c r="I92" s="9" t="n"/>
      <c r="J92" s="9" t="n"/>
      <c r="K92" s="9" t="n"/>
    </row>
    <row r="93">
      <c r="A93" s="22" t="n"/>
      <c r="B93" s="9" t="n"/>
      <c r="C93" s="8" t="n"/>
      <c r="D93" s="8" t="n"/>
      <c r="E93" s="8" t="n"/>
      <c r="F93" s="8" t="n"/>
      <c r="G93" s="8" t="n"/>
      <c r="H93" s="9" t="n"/>
      <c r="I93" s="9" t="n"/>
      <c r="J93" s="9" t="n"/>
      <c r="K93" s="9" t="n"/>
    </row>
    <row r="94">
      <c r="A94" s="22" t="n"/>
      <c r="B94" s="9" t="n"/>
      <c r="C94" s="8" t="n"/>
      <c r="D94" s="8" t="n"/>
      <c r="E94" s="8" t="n"/>
      <c r="F94" s="8" t="n"/>
      <c r="G94" s="8" t="n"/>
      <c r="H94" s="9" t="n"/>
      <c r="I94" s="9" t="n"/>
      <c r="J94" s="9" t="n"/>
      <c r="K94" s="9" t="n"/>
    </row>
    <row r="95">
      <c r="A95" s="22" t="n"/>
      <c r="B95" s="9" t="n"/>
      <c r="C95" s="8" t="n"/>
      <c r="D95" s="8" t="n"/>
      <c r="E95" s="8" t="n"/>
      <c r="F95" s="8" t="n"/>
      <c r="G95" s="8" t="n"/>
      <c r="H95" s="9" t="n"/>
      <c r="I95" s="9" t="n"/>
      <c r="J95" s="9" t="n"/>
      <c r="K95" s="9" t="n"/>
    </row>
    <row r="96">
      <c r="A96" s="22" t="n"/>
      <c r="B96" s="9" t="n"/>
      <c r="C96" s="8" t="n"/>
      <c r="D96" s="8" t="n"/>
      <c r="E96" s="8" t="n"/>
      <c r="F96" s="8" t="n"/>
      <c r="G96" s="8" t="n"/>
      <c r="H96" s="9" t="n"/>
      <c r="I96" s="9" t="n"/>
      <c r="J96" s="9" t="n"/>
      <c r="K96" s="9" t="n"/>
    </row>
    <row r="97">
      <c r="A97" s="22" t="n"/>
      <c r="B97" s="9" t="n"/>
      <c r="C97" s="8" t="n"/>
      <c r="D97" s="8" t="n"/>
      <c r="E97" s="8" t="n"/>
      <c r="F97" s="8" t="n"/>
      <c r="G97" s="8" t="n"/>
      <c r="H97" s="9" t="n"/>
      <c r="I97" s="9" t="n"/>
      <c r="J97" s="9" t="n"/>
      <c r="K97" s="9" t="n"/>
    </row>
    <row r="98">
      <c r="A98" s="22" t="n"/>
      <c r="B98" s="9" t="n"/>
      <c r="C98" s="8" t="n"/>
      <c r="D98" s="8" t="n"/>
      <c r="E98" s="8" t="n"/>
      <c r="F98" s="8" t="n"/>
      <c r="G98" s="8" t="n"/>
      <c r="H98" s="9" t="n"/>
      <c r="I98" s="9" t="n"/>
      <c r="J98" s="9" t="n"/>
      <c r="K98" s="9" t="n"/>
    </row>
    <row r="99">
      <c r="A99" s="22" t="n"/>
      <c r="B99" s="9" t="n"/>
      <c r="C99" s="8" t="n"/>
      <c r="D99" s="8" t="n"/>
      <c r="E99" s="8" t="n"/>
      <c r="F99" s="8" t="n"/>
      <c r="G99" s="8" t="n"/>
      <c r="H99" s="9" t="n"/>
      <c r="I99" s="9" t="n"/>
      <c r="J99" s="9" t="n"/>
      <c r="K99" s="9" t="n"/>
    </row>
    <row r="100">
      <c r="A100" s="22" t="n"/>
      <c r="B100" s="9" t="n"/>
      <c r="C100" s="8" t="n"/>
      <c r="D100" s="8" t="n"/>
      <c r="E100" s="8" t="n"/>
      <c r="F100" s="8" t="n"/>
      <c r="G100" s="8" t="n"/>
      <c r="H100" s="9" t="n"/>
      <c r="I100" s="9" t="n"/>
      <c r="J100" s="9" t="n"/>
      <c r="K100" s="9" t="n"/>
    </row>
    <row r="101">
      <c r="A101" s="22" t="n"/>
      <c r="B101" s="9" t="n"/>
      <c r="C101" s="8" t="n"/>
      <c r="D101" s="8" t="n"/>
      <c r="E101" s="8" t="n"/>
      <c r="F101" s="8" t="n"/>
      <c r="G101" s="8" t="n"/>
      <c r="H101" s="9" t="n"/>
      <c r="I101" s="9" t="n"/>
      <c r="J101" s="9" t="n"/>
      <c r="K101" s="9" t="n"/>
    </row>
    <row r="102">
      <c r="A102" s="22" t="n"/>
      <c r="B102" s="9" t="n"/>
      <c r="C102" s="8" t="n"/>
      <c r="D102" s="8" t="n"/>
      <c r="E102" s="8" t="n"/>
      <c r="F102" s="8" t="n"/>
      <c r="G102" s="8" t="n"/>
      <c r="H102" s="9" t="n"/>
      <c r="I102" s="9" t="n"/>
      <c r="J102" s="9" t="n"/>
      <c r="K102" s="9" t="n"/>
    </row>
    <row r="103">
      <c r="A103" s="22" t="n"/>
      <c r="B103" s="9" t="n"/>
      <c r="C103" s="8" t="n"/>
      <c r="D103" s="8" t="n"/>
      <c r="E103" s="8" t="n"/>
      <c r="F103" s="8" t="n"/>
      <c r="G103" s="8" t="n"/>
      <c r="H103" s="9" t="n"/>
      <c r="I103" s="9" t="n"/>
      <c r="J103" s="9" t="n"/>
      <c r="K103" s="9" t="n"/>
    </row>
    <row r="104">
      <c r="A104" s="22" t="n"/>
      <c r="B104" s="9" t="n"/>
      <c r="C104" s="8" t="n"/>
      <c r="D104" s="8" t="n"/>
      <c r="E104" s="8" t="n"/>
      <c r="F104" s="8" t="n"/>
      <c r="G104" s="8" t="n"/>
      <c r="H104" s="9" t="n"/>
      <c r="I104" s="9" t="n"/>
      <c r="J104" s="9" t="n"/>
      <c r="K104" s="9" t="n"/>
    </row>
    <row r="105">
      <c r="A105" s="22" t="n"/>
      <c r="B105" s="9" t="n"/>
      <c r="C105" s="8" t="n"/>
      <c r="D105" s="8" t="n"/>
      <c r="E105" s="8" t="n"/>
      <c r="F105" s="8" t="n"/>
      <c r="G105" s="8" t="n"/>
      <c r="H105" s="9" t="n"/>
      <c r="I105" s="9" t="n"/>
      <c r="J105" s="9" t="n"/>
      <c r="K105" s="9" t="n"/>
    </row>
    <row r="106">
      <c r="A106" s="22" t="n"/>
      <c r="B106" s="9" t="n"/>
      <c r="C106" s="8" t="n"/>
      <c r="D106" s="8" t="n"/>
      <c r="E106" s="8" t="n"/>
      <c r="F106" s="8" t="n"/>
      <c r="G106" s="8" t="n"/>
      <c r="H106" s="9" t="n"/>
      <c r="I106" s="9" t="n"/>
      <c r="J106" s="9" t="n"/>
      <c r="K106" s="9" t="n"/>
    </row>
  </sheetData>
  <mergeCells count="2">
    <mergeCell ref="A2:K2"/>
    <mergeCell ref="A1:K1"/>
  </mergeCells>
  <conditionalFormatting sqref="H7:H106">
    <cfRule type="cellIs" priority="1" operator="equal" dxfId="0">
      <formula>"Pass"</formula>
    </cfRule>
    <cfRule type="cellIs" priority="2" operator="equal" dxfId="2">
      <formula>"Fail"</formula>
    </cfRule>
  </conditionalFormatting>
  <dataValidations count="4">
    <dataValidation sqref="E7:E106" showDropDown="0" showInputMessage="0" showErrorMessage="0" allowBlank="1" error="Pick a value from the list." promptTitle="Test type" type="list">
      <formula1>=LISTS!$I$5:$I$12</formula1>
    </dataValidation>
    <dataValidation sqref="H7:H106" showDropDown="0" showInputMessage="0" showErrorMessage="0" allowBlank="1" error="Pick a value from the list." promptTitle="Status" type="list">
      <formula1>"Pass,Fail,Blocked,Not run"</formula1>
    </dataValidation>
    <dataValidation sqref="I7:I106" showDropDown="0" showInputMessage="0" showErrorMessage="0" allowBlank="1" error="Pick a value from the list." promptTitle="Milestone" type="list">
      <formula1>=LISTS!$D$5:$D$8</formula1>
    </dataValidation>
    <dataValidation sqref="K7:K106" showDropDown="0" showInputMessage="0" showErrorMessage="0" allowBlank="1" error="Pick a value from the list." promptTitle="Automated?" type="list">
      <formula1>=LISTS!$G$5:$G$6</formula1>
    </dataValidation>
  </dataValidations>
  <printOptions horizontalCentered="1"/>
  <pageMargins left="0.75" right="0.75" top="1" bottom="1" header="0.5" footer="0.5"/>
  <pageSetup orientation="landscape" paperSize="9" fitToHeight="0" fitToWidth="1"/>
  <headerFooter>
    <oddHeader/>
    <oddFooter>&amp;R&amp;8 TMA3084 member workbook v3.0  -  &amp;P of &amp;N</oddFooter>
    <evenHeader/>
    <evenFooter/>
    <firstHeader/>
    <firstFooter/>
  </headerFooter>
</worksheet>
</file>

<file path=xl/worksheets/sheet8.xml><?xml version="1.0" encoding="utf-8"?>
<worksheet xmlns="http://schemas.openxmlformats.org/spreadsheetml/2006/main">
  <sheetPr>
    <tabColor rgb="00B4531A"/>
    <outlinePr summaryBelow="1" summaryRight="1"/>
    <pageSetUpPr fitToPage="1"/>
  </sheetPr>
  <dimension ref="A1:N56"/>
  <sheetViews>
    <sheetView showGridLines="0" workbookViewId="0">
      <pane ySplit="6" topLeftCell="A7" activePane="bottomLeft" state="frozen"/>
      <selection pane="bottomLeft" activeCell="A1" sqref="A1"/>
    </sheetView>
  </sheetViews>
  <sheetFormatPr baseColWidth="8" defaultRowHeight="15"/>
  <cols>
    <col width="11" customWidth="1" min="1" max="1"/>
    <col width="9" customWidth="1" min="2" max="2"/>
    <col width="26" customWidth="1" min="3" max="3"/>
    <col width="26" customWidth="1" min="4" max="4"/>
    <col width="16" customWidth="1" min="5" max="5"/>
    <col width="40" customWidth="1" min="6" max="6"/>
    <col width="9" customWidth="1" min="7" max="7"/>
    <col width="9" customWidth="1" min="8" max="8"/>
    <col width="9" customWidth="1" min="9" max="9"/>
    <col width="19" customWidth="1" min="10" max="10"/>
    <col width="18" customWidth="1" min="11" max="11"/>
    <col width="9" customWidth="1" min="12" max="12"/>
    <col width="11" customWidth="1" min="13" max="13"/>
    <col width="18" customWidth="1" min="14" max="14"/>
  </cols>
  <sheetData>
    <row r="1" ht="30" customHeight="1">
      <c r="A1" s="1" t="inlineStr">
        <is>
          <t>Form LOGAI  -  My AI-Assisted Development Log</t>
        </is>
      </c>
    </row>
    <row r="2" ht="16" customHeight="1">
      <c r="A2" s="2" t="inlineStr">
        <is>
          <t>Every change where a generator wrote code that reached the repository. The reviewer must not be you.</t>
        </is>
      </c>
    </row>
    <row r="4">
      <c r="A4" s="7" t="inlineStr">
        <is>
          <t>Member</t>
        </is>
      </c>
      <c r="B4" s="10">
        <f>SETUP!$C$5</f>
        <v/>
      </c>
      <c r="E4" s="7" t="inlineStr">
        <is>
          <t>Entries</t>
        </is>
      </c>
      <c r="F4" s="11">
        <f>COUNTA(LOGAI!$A$7:$A$56)</f>
        <v/>
      </c>
      <c r="G4" s="7" t="inlineStr">
        <is>
          <t>Lines kept</t>
        </is>
      </c>
      <c r="I4" s="11">
        <f>SUM(LOGAI!$H$7:$H$56)</f>
        <v/>
      </c>
      <c r="J4" s="7" t="inlineStr">
        <is>
          <t>Keep rate</t>
        </is>
      </c>
      <c r="L4" s="24">
        <f>IFERROR(SUM(LOGAI!$H$7:$H$56)/SUM(LOGAI!$G$7:$G$56),"")</f>
        <v/>
      </c>
    </row>
    <row r="6" ht="32" customHeight="1">
      <c r="A6" s="13" t="inlineStr">
        <is>
          <t>Date</t>
        </is>
      </c>
      <c r="B6" s="13" t="inlineStr">
        <is>
          <t>M/stone</t>
        </is>
      </c>
      <c r="C6" s="13" t="inlineStr">
        <is>
          <t>File / module</t>
        </is>
      </c>
      <c r="D6" s="13" t="inlineStr">
        <is>
          <t>Feature</t>
        </is>
      </c>
      <c r="E6" s="13" t="inlineStr">
        <is>
          <t>AI tool</t>
        </is>
      </c>
      <c r="F6" s="13" t="inlineStr">
        <is>
          <t>Prompt (summarised)</t>
        </is>
      </c>
      <c r="G6" s="13" t="inlineStr">
        <is>
          <t>Lines gen.</t>
        </is>
      </c>
      <c r="H6" s="13" t="inlineStr">
        <is>
          <t>Lines kept</t>
        </is>
      </c>
      <c r="I6" s="13" t="inlineStr">
        <is>
          <t>Keep %</t>
        </is>
      </c>
      <c r="J6" s="13" t="inlineStr">
        <is>
          <t>Reviewer</t>
        </is>
      </c>
      <c r="K6" s="13" t="inlineStr">
        <is>
          <t>Verdict</t>
        </is>
      </c>
      <c r="L6" s="13" t="inlineStr">
        <is>
          <t>Tests?</t>
        </is>
      </c>
      <c r="M6" s="13" t="inlineStr">
        <is>
          <t>Test status</t>
        </is>
      </c>
      <c r="N6" s="13" t="inlineStr">
        <is>
          <t>Commit / PR ref</t>
        </is>
      </c>
    </row>
    <row r="7">
      <c r="A7" s="22" t="n"/>
      <c r="B7" s="9" t="n"/>
      <c r="C7" s="8" t="n"/>
      <c r="D7" s="8" t="n"/>
      <c r="E7" s="8" t="n"/>
      <c r="F7" s="8" t="n"/>
      <c r="G7" s="15" t="n"/>
      <c r="H7" s="15" t="n"/>
      <c r="I7" s="25">
        <f>IF(N($G7)=0,"",$H7/$G7)</f>
        <v/>
      </c>
      <c r="J7" s="8" t="n"/>
      <c r="K7" s="8" t="n"/>
      <c r="L7" s="9" t="n"/>
      <c r="M7" s="9" t="n"/>
      <c r="N7" s="8" t="n"/>
    </row>
    <row r="8">
      <c r="A8" s="22" t="n"/>
      <c r="B8" s="9" t="n"/>
      <c r="C8" s="8" t="n"/>
      <c r="D8" s="8" t="n"/>
      <c r="E8" s="8" t="n"/>
      <c r="F8" s="8" t="n"/>
      <c r="G8" s="15" t="n"/>
      <c r="H8" s="15" t="n"/>
      <c r="I8" s="25">
        <f>IF(N($G8)=0,"",$H8/$G8)</f>
        <v/>
      </c>
      <c r="J8" s="8" t="n"/>
      <c r="K8" s="8" t="n"/>
      <c r="L8" s="9" t="n"/>
      <c r="M8" s="9" t="n"/>
      <c r="N8" s="8" t="n"/>
    </row>
    <row r="9">
      <c r="A9" s="22" t="n"/>
      <c r="B9" s="9" t="n"/>
      <c r="C9" s="8" t="n"/>
      <c r="D9" s="8" t="n"/>
      <c r="E9" s="8" t="n"/>
      <c r="F9" s="8" t="n"/>
      <c r="G9" s="15" t="n"/>
      <c r="H9" s="15" t="n"/>
      <c r="I9" s="25">
        <f>IF(N($G9)=0,"",$H9/$G9)</f>
        <v/>
      </c>
      <c r="J9" s="8" t="n"/>
      <c r="K9" s="8" t="n"/>
      <c r="L9" s="9" t="n"/>
      <c r="M9" s="9" t="n"/>
      <c r="N9" s="8" t="n"/>
    </row>
    <row r="10">
      <c r="A10" s="22" t="n"/>
      <c r="B10" s="9" t="n"/>
      <c r="C10" s="8" t="n"/>
      <c r="D10" s="8" t="n"/>
      <c r="E10" s="8" t="n"/>
      <c r="F10" s="8" t="n"/>
      <c r="G10" s="15" t="n"/>
      <c r="H10" s="15" t="n"/>
      <c r="I10" s="25">
        <f>IF(N($G10)=0,"",$H10/$G10)</f>
        <v/>
      </c>
      <c r="J10" s="8" t="n"/>
      <c r="K10" s="8" t="n"/>
      <c r="L10" s="9" t="n"/>
      <c r="M10" s="9" t="n"/>
      <c r="N10" s="8" t="n"/>
    </row>
    <row r="11">
      <c r="A11" s="22" t="n"/>
      <c r="B11" s="9" t="n"/>
      <c r="C11" s="8" t="n"/>
      <c r="D11" s="8" t="n"/>
      <c r="E11" s="8" t="n"/>
      <c r="F11" s="8" t="n"/>
      <c r="G11" s="15" t="n"/>
      <c r="H11" s="15" t="n"/>
      <c r="I11" s="25">
        <f>IF(N($G11)=0,"",$H11/$G11)</f>
        <v/>
      </c>
      <c r="J11" s="8" t="n"/>
      <c r="K11" s="8" t="n"/>
      <c r="L11" s="9" t="n"/>
      <c r="M11" s="9" t="n"/>
      <c r="N11" s="8" t="n"/>
    </row>
    <row r="12">
      <c r="A12" s="22" t="n"/>
      <c r="B12" s="9" t="n"/>
      <c r="C12" s="8" t="n"/>
      <c r="D12" s="8" t="n"/>
      <c r="E12" s="8" t="n"/>
      <c r="F12" s="8" t="n"/>
      <c r="G12" s="15" t="n"/>
      <c r="H12" s="15" t="n"/>
      <c r="I12" s="25">
        <f>IF(N($G12)=0,"",$H12/$G12)</f>
        <v/>
      </c>
      <c r="J12" s="8" t="n"/>
      <c r="K12" s="8" t="n"/>
      <c r="L12" s="9" t="n"/>
      <c r="M12" s="9" t="n"/>
      <c r="N12" s="8" t="n"/>
    </row>
    <row r="13">
      <c r="A13" s="22" t="n"/>
      <c r="B13" s="9" t="n"/>
      <c r="C13" s="8" t="n"/>
      <c r="D13" s="8" t="n"/>
      <c r="E13" s="8" t="n"/>
      <c r="F13" s="8" t="n"/>
      <c r="G13" s="15" t="n"/>
      <c r="H13" s="15" t="n"/>
      <c r="I13" s="25">
        <f>IF(N($G13)=0,"",$H13/$G13)</f>
        <v/>
      </c>
      <c r="J13" s="8" t="n"/>
      <c r="K13" s="8" t="n"/>
      <c r="L13" s="9" t="n"/>
      <c r="M13" s="9" t="n"/>
      <c r="N13" s="8" t="n"/>
    </row>
    <row r="14">
      <c r="A14" s="22" t="n"/>
      <c r="B14" s="9" t="n"/>
      <c r="C14" s="8" t="n"/>
      <c r="D14" s="8" t="n"/>
      <c r="E14" s="8" t="n"/>
      <c r="F14" s="8" t="n"/>
      <c r="G14" s="15" t="n"/>
      <c r="H14" s="15" t="n"/>
      <c r="I14" s="25">
        <f>IF(N($G14)=0,"",$H14/$G14)</f>
        <v/>
      </c>
      <c r="J14" s="8" t="n"/>
      <c r="K14" s="8" t="n"/>
      <c r="L14" s="9" t="n"/>
      <c r="M14" s="9" t="n"/>
      <c r="N14" s="8" t="n"/>
    </row>
    <row r="15">
      <c r="A15" s="22" t="n"/>
      <c r="B15" s="9" t="n"/>
      <c r="C15" s="8" t="n"/>
      <c r="D15" s="8" t="n"/>
      <c r="E15" s="8" t="n"/>
      <c r="F15" s="8" t="n"/>
      <c r="G15" s="15" t="n"/>
      <c r="H15" s="15" t="n"/>
      <c r="I15" s="25">
        <f>IF(N($G15)=0,"",$H15/$G15)</f>
        <v/>
      </c>
      <c r="J15" s="8" t="n"/>
      <c r="K15" s="8" t="n"/>
      <c r="L15" s="9" t="n"/>
      <c r="M15" s="9" t="n"/>
      <c r="N15" s="8" t="n"/>
    </row>
    <row r="16">
      <c r="A16" s="22" t="n"/>
      <c r="B16" s="9" t="n"/>
      <c r="C16" s="8" t="n"/>
      <c r="D16" s="8" t="n"/>
      <c r="E16" s="8" t="n"/>
      <c r="F16" s="8" t="n"/>
      <c r="G16" s="15" t="n"/>
      <c r="H16" s="15" t="n"/>
      <c r="I16" s="25">
        <f>IF(N($G16)=0,"",$H16/$G16)</f>
        <v/>
      </c>
      <c r="J16" s="8" t="n"/>
      <c r="K16" s="8" t="n"/>
      <c r="L16" s="9" t="n"/>
      <c r="M16" s="9" t="n"/>
      <c r="N16" s="8" t="n"/>
    </row>
    <row r="17">
      <c r="A17" s="22" t="n"/>
      <c r="B17" s="9" t="n"/>
      <c r="C17" s="8" t="n"/>
      <c r="D17" s="8" t="n"/>
      <c r="E17" s="8" t="n"/>
      <c r="F17" s="8" t="n"/>
      <c r="G17" s="15" t="n"/>
      <c r="H17" s="15" t="n"/>
      <c r="I17" s="25">
        <f>IF(N($G17)=0,"",$H17/$G17)</f>
        <v/>
      </c>
      <c r="J17" s="8" t="n"/>
      <c r="K17" s="8" t="n"/>
      <c r="L17" s="9" t="n"/>
      <c r="M17" s="9" t="n"/>
      <c r="N17" s="8" t="n"/>
    </row>
    <row r="18">
      <c r="A18" s="22" t="n"/>
      <c r="B18" s="9" t="n"/>
      <c r="C18" s="8" t="n"/>
      <c r="D18" s="8" t="n"/>
      <c r="E18" s="8" t="n"/>
      <c r="F18" s="8" t="n"/>
      <c r="G18" s="15" t="n"/>
      <c r="H18" s="15" t="n"/>
      <c r="I18" s="25">
        <f>IF(N($G18)=0,"",$H18/$G18)</f>
        <v/>
      </c>
      <c r="J18" s="8" t="n"/>
      <c r="K18" s="8" t="n"/>
      <c r="L18" s="9" t="n"/>
      <c r="M18" s="9" t="n"/>
      <c r="N18" s="8" t="n"/>
    </row>
    <row r="19">
      <c r="A19" s="22" t="n"/>
      <c r="B19" s="9" t="n"/>
      <c r="C19" s="8" t="n"/>
      <c r="D19" s="8" t="n"/>
      <c r="E19" s="8" t="n"/>
      <c r="F19" s="8" t="n"/>
      <c r="G19" s="15" t="n"/>
      <c r="H19" s="15" t="n"/>
      <c r="I19" s="25">
        <f>IF(N($G19)=0,"",$H19/$G19)</f>
        <v/>
      </c>
      <c r="J19" s="8" t="n"/>
      <c r="K19" s="8" t="n"/>
      <c r="L19" s="9" t="n"/>
      <c r="M19" s="9" t="n"/>
      <c r="N19" s="8" t="n"/>
    </row>
    <row r="20">
      <c r="A20" s="22" t="n"/>
      <c r="B20" s="9" t="n"/>
      <c r="C20" s="8" t="n"/>
      <c r="D20" s="8" t="n"/>
      <c r="E20" s="8" t="n"/>
      <c r="F20" s="8" t="n"/>
      <c r="G20" s="15" t="n"/>
      <c r="H20" s="15" t="n"/>
      <c r="I20" s="25">
        <f>IF(N($G20)=0,"",$H20/$G20)</f>
        <v/>
      </c>
      <c r="J20" s="8" t="n"/>
      <c r="K20" s="8" t="n"/>
      <c r="L20" s="9" t="n"/>
      <c r="M20" s="9" t="n"/>
      <c r="N20" s="8" t="n"/>
    </row>
    <row r="21">
      <c r="A21" s="22" t="n"/>
      <c r="B21" s="9" t="n"/>
      <c r="C21" s="8" t="n"/>
      <c r="D21" s="8" t="n"/>
      <c r="E21" s="8" t="n"/>
      <c r="F21" s="8" t="n"/>
      <c r="G21" s="15" t="n"/>
      <c r="H21" s="15" t="n"/>
      <c r="I21" s="25">
        <f>IF(N($G21)=0,"",$H21/$G21)</f>
        <v/>
      </c>
      <c r="J21" s="8" t="n"/>
      <c r="K21" s="8" t="n"/>
      <c r="L21" s="9" t="n"/>
      <c r="M21" s="9" t="n"/>
      <c r="N21" s="8" t="n"/>
    </row>
    <row r="22">
      <c r="A22" s="22" t="n"/>
      <c r="B22" s="9" t="n"/>
      <c r="C22" s="8" t="n"/>
      <c r="D22" s="8" t="n"/>
      <c r="E22" s="8" t="n"/>
      <c r="F22" s="8" t="n"/>
      <c r="G22" s="15" t="n"/>
      <c r="H22" s="15" t="n"/>
      <c r="I22" s="25">
        <f>IF(N($G22)=0,"",$H22/$G22)</f>
        <v/>
      </c>
      <c r="J22" s="8" t="n"/>
      <c r="K22" s="8" t="n"/>
      <c r="L22" s="9" t="n"/>
      <c r="M22" s="9" t="n"/>
      <c r="N22" s="8" t="n"/>
    </row>
    <row r="23">
      <c r="A23" s="22" t="n"/>
      <c r="B23" s="9" t="n"/>
      <c r="C23" s="8" t="n"/>
      <c r="D23" s="8" t="n"/>
      <c r="E23" s="8" t="n"/>
      <c r="F23" s="8" t="n"/>
      <c r="G23" s="15" t="n"/>
      <c r="H23" s="15" t="n"/>
      <c r="I23" s="25">
        <f>IF(N($G23)=0,"",$H23/$G23)</f>
        <v/>
      </c>
      <c r="J23" s="8" t="n"/>
      <c r="K23" s="8" t="n"/>
      <c r="L23" s="9" t="n"/>
      <c r="M23" s="9" t="n"/>
      <c r="N23" s="8" t="n"/>
    </row>
    <row r="24">
      <c r="A24" s="22" t="n"/>
      <c r="B24" s="9" t="n"/>
      <c r="C24" s="8" t="n"/>
      <c r="D24" s="8" t="n"/>
      <c r="E24" s="8" t="n"/>
      <c r="F24" s="8" t="n"/>
      <c r="G24" s="15" t="n"/>
      <c r="H24" s="15" t="n"/>
      <c r="I24" s="25">
        <f>IF(N($G24)=0,"",$H24/$G24)</f>
        <v/>
      </c>
      <c r="J24" s="8" t="n"/>
      <c r="K24" s="8" t="n"/>
      <c r="L24" s="9" t="n"/>
      <c r="M24" s="9" t="n"/>
      <c r="N24" s="8" t="n"/>
    </row>
    <row r="25">
      <c r="A25" s="22" t="n"/>
      <c r="B25" s="9" t="n"/>
      <c r="C25" s="8" t="n"/>
      <c r="D25" s="8" t="n"/>
      <c r="E25" s="8" t="n"/>
      <c r="F25" s="8" t="n"/>
      <c r="G25" s="15" t="n"/>
      <c r="H25" s="15" t="n"/>
      <c r="I25" s="25">
        <f>IF(N($G25)=0,"",$H25/$G25)</f>
        <v/>
      </c>
      <c r="J25" s="8" t="n"/>
      <c r="K25" s="8" t="n"/>
      <c r="L25" s="9" t="n"/>
      <c r="M25" s="9" t="n"/>
      <c r="N25" s="8" t="n"/>
    </row>
    <row r="26">
      <c r="A26" s="22" t="n"/>
      <c r="B26" s="9" t="n"/>
      <c r="C26" s="8" t="n"/>
      <c r="D26" s="8" t="n"/>
      <c r="E26" s="8" t="n"/>
      <c r="F26" s="8" t="n"/>
      <c r="G26" s="15" t="n"/>
      <c r="H26" s="15" t="n"/>
      <c r="I26" s="25">
        <f>IF(N($G26)=0,"",$H26/$G26)</f>
        <v/>
      </c>
      <c r="J26" s="8" t="n"/>
      <c r="K26" s="8" t="n"/>
      <c r="L26" s="9" t="n"/>
      <c r="M26" s="9" t="n"/>
      <c r="N26" s="8" t="n"/>
    </row>
    <row r="27">
      <c r="A27" s="22" t="n"/>
      <c r="B27" s="9" t="n"/>
      <c r="C27" s="8" t="n"/>
      <c r="D27" s="8" t="n"/>
      <c r="E27" s="8" t="n"/>
      <c r="F27" s="8" t="n"/>
      <c r="G27" s="15" t="n"/>
      <c r="H27" s="15" t="n"/>
      <c r="I27" s="25">
        <f>IF(N($G27)=0,"",$H27/$G27)</f>
        <v/>
      </c>
      <c r="J27" s="8" t="n"/>
      <c r="K27" s="8" t="n"/>
      <c r="L27" s="9" t="n"/>
      <c r="M27" s="9" t="n"/>
      <c r="N27" s="8" t="n"/>
    </row>
    <row r="28">
      <c r="A28" s="22" t="n"/>
      <c r="B28" s="9" t="n"/>
      <c r="C28" s="8" t="n"/>
      <c r="D28" s="8" t="n"/>
      <c r="E28" s="8" t="n"/>
      <c r="F28" s="8" t="n"/>
      <c r="G28" s="15" t="n"/>
      <c r="H28" s="15" t="n"/>
      <c r="I28" s="25">
        <f>IF(N($G28)=0,"",$H28/$G28)</f>
        <v/>
      </c>
      <c r="J28" s="8" t="n"/>
      <c r="K28" s="8" t="n"/>
      <c r="L28" s="9" t="n"/>
      <c r="M28" s="9" t="n"/>
      <c r="N28" s="8" t="n"/>
    </row>
    <row r="29">
      <c r="A29" s="22" t="n"/>
      <c r="B29" s="9" t="n"/>
      <c r="C29" s="8" t="n"/>
      <c r="D29" s="8" t="n"/>
      <c r="E29" s="8" t="n"/>
      <c r="F29" s="8" t="n"/>
      <c r="G29" s="15" t="n"/>
      <c r="H29" s="15" t="n"/>
      <c r="I29" s="25">
        <f>IF(N($G29)=0,"",$H29/$G29)</f>
        <v/>
      </c>
      <c r="J29" s="8" t="n"/>
      <c r="K29" s="8" t="n"/>
      <c r="L29" s="9" t="n"/>
      <c r="M29" s="9" t="n"/>
      <c r="N29" s="8" t="n"/>
    </row>
    <row r="30">
      <c r="A30" s="22" t="n"/>
      <c r="B30" s="9" t="n"/>
      <c r="C30" s="8" t="n"/>
      <c r="D30" s="8" t="n"/>
      <c r="E30" s="8" t="n"/>
      <c r="F30" s="8" t="n"/>
      <c r="G30" s="15" t="n"/>
      <c r="H30" s="15" t="n"/>
      <c r="I30" s="25">
        <f>IF(N($G30)=0,"",$H30/$G30)</f>
        <v/>
      </c>
      <c r="J30" s="8" t="n"/>
      <c r="K30" s="8" t="n"/>
      <c r="L30" s="9" t="n"/>
      <c r="M30" s="9" t="n"/>
      <c r="N30" s="8" t="n"/>
    </row>
    <row r="31">
      <c r="A31" s="22" t="n"/>
      <c r="B31" s="9" t="n"/>
      <c r="C31" s="8" t="n"/>
      <c r="D31" s="8" t="n"/>
      <c r="E31" s="8" t="n"/>
      <c r="F31" s="8" t="n"/>
      <c r="G31" s="15" t="n"/>
      <c r="H31" s="15" t="n"/>
      <c r="I31" s="25">
        <f>IF(N($G31)=0,"",$H31/$G31)</f>
        <v/>
      </c>
      <c r="J31" s="8" t="n"/>
      <c r="K31" s="8" t="n"/>
      <c r="L31" s="9" t="n"/>
      <c r="M31" s="9" t="n"/>
      <c r="N31" s="8" t="n"/>
    </row>
    <row r="32">
      <c r="A32" s="22" t="n"/>
      <c r="B32" s="9" t="n"/>
      <c r="C32" s="8" t="n"/>
      <c r="D32" s="8" t="n"/>
      <c r="E32" s="8" t="n"/>
      <c r="F32" s="8" t="n"/>
      <c r="G32" s="15" t="n"/>
      <c r="H32" s="15" t="n"/>
      <c r="I32" s="25">
        <f>IF(N($G32)=0,"",$H32/$G32)</f>
        <v/>
      </c>
      <c r="J32" s="8" t="n"/>
      <c r="K32" s="8" t="n"/>
      <c r="L32" s="9" t="n"/>
      <c r="M32" s="9" t="n"/>
      <c r="N32" s="8" t="n"/>
    </row>
    <row r="33">
      <c r="A33" s="22" t="n"/>
      <c r="B33" s="9" t="n"/>
      <c r="C33" s="8" t="n"/>
      <c r="D33" s="8" t="n"/>
      <c r="E33" s="8" t="n"/>
      <c r="F33" s="8" t="n"/>
      <c r="G33" s="15" t="n"/>
      <c r="H33" s="15" t="n"/>
      <c r="I33" s="25">
        <f>IF(N($G33)=0,"",$H33/$G33)</f>
        <v/>
      </c>
      <c r="J33" s="8" t="n"/>
      <c r="K33" s="8" t="n"/>
      <c r="L33" s="9" t="n"/>
      <c r="M33" s="9" t="n"/>
      <c r="N33" s="8" t="n"/>
    </row>
    <row r="34">
      <c r="A34" s="22" t="n"/>
      <c r="B34" s="9" t="n"/>
      <c r="C34" s="8" t="n"/>
      <c r="D34" s="8" t="n"/>
      <c r="E34" s="8" t="n"/>
      <c r="F34" s="8" t="n"/>
      <c r="G34" s="15" t="n"/>
      <c r="H34" s="15" t="n"/>
      <c r="I34" s="25">
        <f>IF(N($G34)=0,"",$H34/$G34)</f>
        <v/>
      </c>
      <c r="J34" s="8" t="n"/>
      <c r="K34" s="8" t="n"/>
      <c r="L34" s="9" t="n"/>
      <c r="M34" s="9" t="n"/>
      <c r="N34" s="8" t="n"/>
    </row>
    <row r="35">
      <c r="A35" s="22" t="n"/>
      <c r="B35" s="9" t="n"/>
      <c r="C35" s="8" t="n"/>
      <c r="D35" s="8" t="n"/>
      <c r="E35" s="8" t="n"/>
      <c r="F35" s="8" t="n"/>
      <c r="G35" s="15" t="n"/>
      <c r="H35" s="15" t="n"/>
      <c r="I35" s="25">
        <f>IF(N($G35)=0,"",$H35/$G35)</f>
        <v/>
      </c>
      <c r="J35" s="8" t="n"/>
      <c r="K35" s="8" t="n"/>
      <c r="L35" s="9" t="n"/>
      <c r="M35" s="9" t="n"/>
      <c r="N35" s="8" t="n"/>
    </row>
    <row r="36">
      <c r="A36" s="22" t="n"/>
      <c r="B36" s="9" t="n"/>
      <c r="C36" s="8" t="n"/>
      <c r="D36" s="8" t="n"/>
      <c r="E36" s="8" t="n"/>
      <c r="F36" s="8" t="n"/>
      <c r="G36" s="15" t="n"/>
      <c r="H36" s="15" t="n"/>
      <c r="I36" s="25">
        <f>IF(N($G36)=0,"",$H36/$G36)</f>
        <v/>
      </c>
      <c r="J36" s="8" t="n"/>
      <c r="K36" s="8" t="n"/>
      <c r="L36" s="9" t="n"/>
      <c r="M36" s="9" t="n"/>
      <c r="N36" s="8" t="n"/>
    </row>
    <row r="37">
      <c r="A37" s="22" t="n"/>
      <c r="B37" s="9" t="n"/>
      <c r="C37" s="8" t="n"/>
      <c r="D37" s="8" t="n"/>
      <c r="E37" s="8" t="n"/>
      <c r="F37" s="8" t="n"/>
      <c r="G37" s="15" t="n"/>
      <c r="H37" s="15" t="n"/>
      <c r="I37" s="25">
        <f>IF(N($G37)=0,"",$H37/$G37)</f>
        <v/>
      </c>
      <c r="J37" s="8" t="n"/>
      <c r="K37" s="8" t="n"/>
      <c r="L37" s="9" t="n"/>
      <c r="M37" s="9" t="n"/>
      <c r="N37" s="8" t="n"/>
    </row>
    <row r="38">
      <c r="A38" s="22" t="n"/>
      <c r="B38" s="9" t="n"/>
      <c r="C38" s="8" t="n"/>
      <c r="D38" s="8" t="n"/>
      <c r="E38" s="8" t="n"/>
      <c r="F38" s="8" t="n"/>
      <c r="G38" s="15" t="n"/>
      <c r="H38" s="15" t="n"/>
      <c r="I38" s="25">
        <f>IF(N($G38)=0,"",$H38/$G38)</f>
        <v/>
      </c>
      <c r="J38" s="8" t="n"/>
      <c r="K38" s="8" t="n"/>
      <c r="L38" s="9" t="n"/>
      <c r="M38" s="9" t="n"/>
      <c r="N38" s="8" t="n"/>
    </row>
    <row r="39">
      <c r="A39" s="22" t="n"/>
      <c r="B39" s="9" t="n"/>
      <c r="C39" s="8" t="n"/>
      <c r="D39" s="8" t="n"/>
      <c r="E39" s="8" t="n"/>
      <c r="F39" s="8" t="n"/>
      <c r="G39" s="15" t="n"/>
      <c r="H39" s="15" t="n"/>
      <c r="I39" s="25">
        <f>IF(N($G39)=0,"",$H39/$G39)</f>
        <v/>
      </c>
      <c r="J39" s="8" t="n"/>
      <c r="K39" s="8" t="n"/>
      <c r="L39" s="9" t="n"/>
      <c r="M39" s="9" t="n"/>
      <c r="N39" s="8" t="n"/>
    </row>
    <row r="40">
      <c r="A40" s="22" t="n"/>
      <c r="B40" s="9" t="n"/>
      <c r="C40" s="8" t="n"/>
      <c r="D40" s="8" t="n"/>
      <c r="E40" s="8" t="n"/>
      <c r="F40" s="8" t="n"/>
      <c r="G40" s="15" t="n"/>
      <c r="H40" s="15" t="n"/>
      <c r="I40" s="25">
        <f>IF(N($G40)=0,"",$H40/$G40)</f>
        <v/>
      </c>
      <c r="J40" s="8" t="n"/>
      <c r="K40" s="8" t="n"/>
      <c r="L40" s="9" t="n"/>
      <c r="M40" s="9" t="n"/>
      <c r="N40" s="8" t="n"/>
    </row>
    <row r="41">
      <c r="A41" s="22" t="n"/>
      <c r="B41" s="9" t="n"/>
      <c r="C41" s="8" t="n"/>
      <c r="D41" s="8" t="n"/>
      <c r="E41" s="8" t="n"/>
      <c r="F41" s="8" t="n"/>
      <c r="G41" s="15" t="n"/>
      <c r="H41" s="15" t="n"/>
      <c r="I41" s="25">
        <f>IF(N($G41)=0,"",$H41/$G41)</f>
        <v/>
      </c>
      <c r="J41" s="8" t="n"/>
      <c r="K41" s="8" t="n"/>
      <c r="L41" s="9" t="n"/>
      <c r="M41" s="9" t="n"/>
      <c r="N41" s="8" t="n"/>
    </row>
    <row r="42">
      <c r="A42" s="22" t="n"/>
      <c r="B42" s="9" t="n"/>
      <c r="C42" s="8" t="n"/>
      <c r="D42" s="8" t="n"/>
      <c r="E42" s="8" t="n"/>
      <c r="F42" s="8" t="n"/>
      <c r="G42" s="15" t="n"/>
      <c r="H42" s="15" t="n"/>
      <c r="I42" s="25">
        <f>IF(N($G42)=0,"",$H42/$G42)</f>
        <v/>
      </c>
      <c r="J42" s="8" t="n"/>
      <c r="K42" s="8" t="n"/>
      <c r="L42" s="9" t="n"/>
      <c r="M42" s="9" t="n"/>
      <c r="N42" s="8" t="n"/>
    </row>
    <row r="43">
      <c r="A43" s="22" t="n"/>
      <c r="B43" s="9" t="n"/>
      <c r="C43" s="8" t="n"/>
      <c r="D43" s="8" t="n"/>
      <c r="E43" s="8" t="n"/>
      <c r="F43" s="8" t="n"/>
      <c r="G43" s="15" t="n"/>
      <c r="H43" s="15" t="n"/>
      <c r="I43" s="25">
        <f>IF(N($G43)=0,"",$H43/$G43)</f>
        <v/>
      </c>
      <c r="J43" s="8" t="n"/>
      <c r="K43" s="8" t="n"/>
      <c r="L43" s="9" t="n"/>
      <c r="M43" s="9" t="n"/>
      <c r="N43" s="8" t="n"/>
    </row>
    <row r="44">
      <c r="A44" s="22" t="n"/>
      <c r="B44" s="9" t="n"/>
      <c r="C44" s="8" t="n"/>
      <c r="D44" s="8" t="n"/>
      <c r="E44" s="8" t="n"/>
      <c r="F44" s="8" t="n"/>
      <c r="G44" s="15" t="n"/>
      <c r="H44" s="15" t="n"/>
      <c r="I44" s="25">
        <f>IF(N($G44)=0,"",$H44/$G44)</f>
        <v/>
      </c>
      <c r="J44" s="8" t="n"/>
      <c r="K44" s="8" t="n"/>
      <c r="L44" s="9" t="n"/>
      <c r="M44" s="9" t="n"/>
      <c r="N44" s="8" t="n"/>
    </row>
    <row r="45">
      <c r="A45" s="22" t="n"/>
      <c r="B45" s="9" t="n"/>
      <c r="C45" s="8" t="n"/>
      <c r="D45" s="8" t="n"/>
      <c r="E45" s="8" t="n"/>
      <c r="F45" s="8" t="n"/>
      <c r="G45" s="15" t="n"/>
      <c r="H45" s="15" t="n"/>
      <c r="I45" s="25">
        <f>IF(N($G45)=0,"",$H45/$G45)</f>
        <v/>
      </c>
      <c r="J45" s="8" t="n"/>
      <c r="K45" s="8" t="n"/>
      <c r="L45" s="9" t="n"/>
      <c r="M45" s="9" t="n"/>
      <c r="N45" s="8" t="n"/>
    </row>
    <row r="46">
      <c r="A46" s="22" t="n"/>
      <c r="B46" s="9" t="n"/>
      <c r="C46" s="8" t="n"/>
      <c r="D46" s="8" t="n"/>
      <c r="E46" s="8" t="n"/>
      <c r="F46" s="8" t="n"/>
      <c r="G46" s="15" t="n"/>
      <c r="H46" s="15" t="n"/>
      <c r="I46" s="25">
        <f>IF(N($G46)=0,"",$H46/$G46)</f>
        <v/>
      </c>
      <c r="J46" s="8" t="n"/>
      <c r="K46" s="8" t="n"/>
      <c r="L46" s="9" t="n"/>
      <c r="M46" s="9" t="n"/>
      <c r="N46" s="8" t="n"/>
    </row>
    <row r="47">
      <c r="A47" s="22" t="n"/>
      <c r="B47" s="9" t="n"/>
      <c r="C47" s="8" t="n"/>
      <c r="D47" s="8" t="n"/>
      <c r="E47" s="8" t="n"/>
      <c r="F47" s="8" t="n"/>
      <c r="G47" s="15" t="n"/>
      <c r="H47" s="15" t="n"/>
      <c r="I47" s="25">
        <f>IF(N($G47)=0,"",$H47/$G47)</f>
        <v/>
      </c>
      <c r="J47" s="8" t="n"/>
      <c r="K47" s="8" t="n"/>
      <c r="L47" s="9" t="n"/>
      <c r="M47" s="9" t="n"/>
      <c r="N47" s="8" t="n"/>
    </row>
    <row r="48">
      <c r="A48" s="22" t="n"/>
      <c r="B48" s="9" t="n"/>
      <c r="C48" s="8" t="n"/>
      <c r="D48" s="8" t="n"/>
      <c r="E48" s="8" t="n"/>
      <c r="F48" s="8" t="n"/>
      <c r="G48" s="15" t="n"/>
      <c r="H48" s="15" t="n"/>
      <c r="I48" s="25">
        <f>IF(N($G48)=0,"",$H48/$G48)</f>
        <v/>
      </c>
      <c r="J48" s="8" t="n"/>
      <c r="K48" s="8" t="n"/>
      <c r="L48" s="9" t="n"/>
      <c r="M48" s="9" t="n"/>
      <c r="N48" s="8" t="n"/>
    </row>
    <row r="49">
      <c r="A49" s="22" t="n"/>
      <c r="B49" s="9" t="n"/>
      <c r="C49" s="8" t="n"/>
      <c r="D49" s="8" t="n"/>
      <c r="E49" s="8" t="n"/>
      <c r="F49" s="8" t="n"/>
      <c r="G49" s="15" t="n"/>
      <c r="H49" s="15" t="n"/>
      <c r="I49" s="25">
        <f>IF(N($G49)=0,"",$H49/$G49)</f>
        <v/>
      </c>
      <c r="J49" s="8" t="n"/>
      <c r="K49" s="8" t="n"/>
      <c r="L49" s="9" t="n"/>
      <c r="M49" s="9" t="n"/>
      <c r="N49" s="8" t="n"/>
    </row>
    <row r="50">
      <c r="A50" s="22" t="n"/>
      <c r="B50" s="9" t="n"/>
      <c r="C50" s="8" t="n"/>
      <c r="D50" s="8" t="n"/>
      <c r="E50" s="8" t="n"/>
      <c r="F50" s="8" t="n"/>
      <c r="G50" s="15" t="n"/>
      <c r="H50" s="15" t="n"/>
      <c r="I50" s="25">
        <f>IF(N($G50)=0,"",$H50/$G50)</f>
        <v/>
      </c>
      <c r="J50" s="8" t="n"/>
      <c r="K50" s="8" t="n"/>
      <c r="L50" s="9" t="n"/>
      <c r="M50" s="9" t="n"/>
      <c r="N50" s="8" t="n"/>
    </row>
    <row r="51">
      <c r="A51" s="22" t="n"/>
      <c r="B51" s="9" t="n"/>
      <c r="C51" s="8" t="n"/>
      <c r="D51" s="8" t="n"/>
      <c r="E51" s="8" t="n"/>
      <c r="F51" s="8" t="n"/>
      <c r="G51" s="15" t="n"/>
      <c r="H51" s="15" t="n"/>
      <c r="I51" s="25">
        <f>IF(N($G51)=0,"",$H51/$G51)</f>
        <v/>
      </c>
      <c r="J51" s="8" t="n"/>
      <c r="K51" s="8" t="n"/>
      <c r="L51" s="9" t="n"/>
      <c r="M51" s="9" t="n"/>
      <c r="N51" s="8" t="n"/>
    </row>
    <row r="52">
      <c r="A52" s="22" t="n"/>
      <c r="B52" s="9" t="n"/>
      <c r="C52" s="8" t="n"/>
      <c r="D52" s="8" t="n"/>
      <c r="E52" s="8" t="n"/>
      <c r="F52" s="8" t="n"/>
      <c r="G52" s="15" t="n"/>
      <c r="H52" s="15" t="n"/>
      <c r="I52" s="25">
        <f>IF(N($G52)=0,"",$H52/$G52)</f>
        <v/>
      </c>
      <c r="J52" s="8" t="n"/>
      <c r="K52" s="8" t="n"/>
      <c r="L52" s="9" t="n"/>
      <c r="M52" s="9" t="n"/>
      <c r="N52" s="8" t="n"/>
    </row>
    <row r="53">
      <c r="A53" s="22" t="n"/>
      <c r="B53" s="9" t="n"/>
      <c r="C53" s="8" t="n"/>
      <c r="D53" s="8" t="n"/>
      <c r="E53" s="8" t="n"/>
      <c r="F53" s="8" t="n"/>
      <c r="G53" s="15" t="n"/>
      <c r="H53" s="15" t="n"/>
      <c r="I53" s="25">
        <f>IF(N($G53)=0,"",$H53/$G53)</f>
        <v/>
      </c>
      <c r="J53" s="8" t="n"/>
      <c r="K53" s="8" t="n"/>
      <c r="L53" s="9" t="n"/>
      <c r="M53" s="9" t="n"/>
      <c r="N53" s="8" t="n"/>
    </row>
    <row r="54">
      <c r="A54" s="22" t="n"/>
      <c r="B54" s="9" t="n"/>
      <c r="C54" s="8" t="n"/>
      <c r="D54" s="8" t="n"/>
      <c r="E54" s="8" t="n"/>
      <c r="F54" s="8" t="n"/>
      <c r="G54" s="15" t="n"/>
      <c r="H54" s="15" t="n"/>
      <c r="I54" s="25">
        <f>IF(N($G54)=0,"",$H54/$G54)</f>
        <v/>
      </c>
      <c r="J54" s="8" t="n"/>
      <c r="K54" s="8" t="n"/>
      <c r="L54" s="9" t="n"/>
      <c r="M54" s="9" t="n"/>
      <c r="N54" s="8" t="n"/>
    </row>
    <row r="55">
      <c r="A55" s="22" t="n"/>
      <c r="B55" s="9" t="n"/>
      <c r="C55" s="8" t="n"/>
      <c r="D55" s="8" t="n"/>
      <c r="E55" s="8" t="n"/>
      <c r="F55" s="8" t="n"/>
      <c r="G55" s="15" t="n"/>
      <c r="H55" s="15" t="n"/>
      <c r="I55" s="25">
        <f>IF(N($G55)=0,"",$H55/$G55)</f>
        <v/>
      </c>
      <c r="J55" s="8" t="n"/>
      <c r="K55" s="8" t="n"/>
      <c r="L55" s="9" t="n"/>
      <c r="M55" s="9" t="n"/>
      <c r="N55" s="8" t="n"/>
    </row>
    <row r="56">
      <c r="A56" s="22" t="n"/>
      <c r="B56" s="9" t="n"/>
      <c r="C56" s="8" t="n"/>
      <c r="D56" s="8" t="n"/>
      <c r="E56" s="8" t="n"/>
      <c r="F56" s="8" t="n"/>
      <c r="G56" s="15" t="n"/>
      <c r="H56" s="15" t="n"/>
      <c r="I56" s="25">
        <f>IF(N($G56)=0,"",$H56/$G56)</f>
        <v/>
      </c>
      <c r="J56" s="8" t="n"/>
      <c r="K56" s="8" t="n"/>
      <c r="L56" s="9" t="n"/>
      <c r="M56" s="9" t="n"/>
      <c r="N56" s="8" t="n"/>
    </row>
  </sheetData>
  <mergeCells count="2">
    <mergeCell ref="A2:N2"/>
    <mergeCell ref="A1:N1"/>
  </mergeCells>
  <conditionalFormatting sqref="J7:J56">
    <cfRule type="expression" priority="1" dxfId="3">
      <formula>AND($A7&lt;&gt;"",$J7="")</formula>
    </cfRule>
    <cfRule type="expression" priority="2" dxfId="2">
      <formula>AND($J7&lt;&gt;"",EXACT($J7,SETUP!$C$5))</formula>
    </cfRule>
  </conditionalFormatting>
  <dataValidations count="5">
    <dataValidation sqref="B7:B56" showDropDown="0" showInputMessage="0" showErrorMessage="0" allowBlank="1" error="Pick a value from the list." promptTitle="Milestone" type="list">
      <formula1>=LISTS!$D$5:$D$8</formula1>
    </dataValidation>
    <dataValidation sqref="E7:E56" showDropDown="0" showInputMessage="0" showErrorMessage="0" allowBlank="1" error="Pick a value from the list." promptTitle="AI tool" type="list">
      <formula1>=LISTS!$F$5:$F$11</formula1>
    </dataValidation>
    <dataValidation sqref="K7:K56" showDropDown="0" showInputMessage="0" showErrorMessage="0" allowBlank="1" error="Pick a value from the list." promptTitle="Verdict" type="list">
      <formula1>"Approved,Approved with changes,Changes requested,Rejected,Pending"</formula1>
    </dataValidation>
    <dataValidation sqref="L7:L56" showDropDown="0" showInputMessage="0" showErrorMessage="0" allowBlank="1" error="Pick a value from the list." promptTitle="Tests written?" type="list">
      <formula1>=LISTS!$G$5:$G$6</formula1>
    </dataValidation>
    <dataValidation sqref="M7:M56" showDropDown="0" showInputMessage="0" showErrorMessage="0" allowBlank="1" error="Pick a value from the list." promptTitle="Test status" type="list">
      <formula1>"Pass,Fail,Not run"</formula1>
    </dataValidation>
  </dataValidations>
  <printOptions horizontalCentered="1"/>
  <pageMargins left="0.75" right="0.75" top="1" bottom="1" header="0.5" footer="0.5"/>
  <pageSetup orientation="landscape" paperSize="9" fitToHeight="0" fitToWidth="1"/>
  <headerFooter>
    <oddHeader/>
    <oddFooter>&amp;R&amp;8 TMA3084 member workbook v3.0  -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0B3139"/>
    <outlinePr summaryBelow="1" summaryRight="1"/>
    <pageSetUpPr fitToPage="1"/>
  </sheetPr>
  <dimension ref="A1:E91"/>
  <sheetViews>
    <sheetView showGridLines="0" workbookViewId="0">
      <pane ySplit="7" topLeftCell="A8" activePane="bottomLeft" state="frozen"/>
      <selection pane="bottomLeft" activeCell="A1" sqref="A1"/>
    </sheetView>
  </sheetViews>
  <sheetFormatPr baseColWidth="8" defaultRowHeight="15"/>
  <cols>
    <col width="44" customWidth="1" min="1" max="1"/>
    <col width="13" customWidth="1" min="2" max="2"/>
    <col width="13" customWidth="1" min="3" max="3"/>
    <col width="12" customWidth="1" min="4" max="4"/>
    <col width="46" customWidth="1" min="5" max="5"/>
  </cols>
  <sheetData>
    <row r="1" ht="30" customHeight="1">
      <c r="A1" s="1" t="inlineStr">
        <is>
          <t>My Plan Summary</t>
        </is>
      </c>
    </row>
    <row r="2" ht="16" customHeight="1">
      <c r="A2" s="2" t="inlineStr">
        <is>
          <t>Plan column is yours; actual reads itself out of your logs.</t>
        </is>
      </c>
    </row>
    <row r="4">
      <c r="A4" s="7" t="inlineStr">
        <is>
          <t>Member</t>
        </is>
      </c>
      <c r="B4" s="10">
        <f>SETUP!$C$5</f>
        <v/>
      </c>
    </row>
    <row r="6" ht="19" customHeight="1">
      <c r="A6" s="5" t="inlineStr">
        <is>
          <t>Time in Phase (hours)</t>
        </is>
      </c>
    </row>
    <row r="7" ht="18" customHeight="1">
      <c r="A7" s="13" t="inlineStr">
        <is>
          <t>Phase</t>
        </is>
      </c>
      <c r="B7" s="13" t="inlineStr">
        <is>
          <t>Plan</t>
        </is>
      </c>
      <c r="C7" s="13" t="inlineStr">
        <is>
          <t>Actual</t>
        </is>
      </c>
      <c r="D7" s="13" t="inlineStr">
        <is>
          <t>Actual %</t>
        </is>
      </c>
      <c r="E7" s="13" t="inlineStr">
        <is>
          <t>Description</t>
        </is>
      </c>
    </row>
    <row r="8">
      <c r="A8" s="26" t="inlineStr">
        <is>
          <t>MGMT</t>
        </is>
      </c>
      <c r="B8" s="16">
        <f>SUMIFS(MYTASK!$F$8:$F$87,MYTASK!$C$8:$C$87,"MGMT")</f>
        <v/>
      </c>
      <c r="C8" s="16">
        <f>SUMIFS(LOGT!$J$7:$J$206,LOGT!$D$7:$D$206,"MGMT")/60</f>
        <v/>
      </c>
      <c r="D8" s="18">
        <f>IF($C$34=0,"",$C8/$C$34)</f>
        <v/>
      </c>
      <c r="E8" s="27" t="inlineStr">
        <is>
          <t>Management &amp; Miscellaneous</t>
        </is>
      </c>
    </row>
    <row r="9">
      <c r="A9" s="26" t="inlineStr">
        <is>
          <t>STRAT</t>
        </is>
      </c>
      <c r="B9" s="16">
        <f>SUMIFS(MYTASK!$F$8:$F$87,MYTASK!$C$8:$C$87,"STRAT")</f>
        <v/>
      </c>
      <c r="C9" s="16">
        <f>SUMIFS(LOGT!$J$7:$J$206,LOGT!$D$7:$D$206,"STRAT")/60</f>
        <v/>
      </c>
      <c r="D9" s="18">
        <f>IF($C$34=0,"",$C9/$C$34)</f>
        <v/>
      </c>
      <c r="E9" s="27" t="inlineStr">
        <is>
          <t>Launch &amp; Strategy</t>
        </is>
      </c>
    </row>
    <row r="10">
      <c r="A10" s="26" t="inlineStr">
        <is>
          <t>PLAN</t>
        </is>
      </c>
      <c r="B10" s="16">
        <f>SUMIFS(MYTASK!$F$8:$F$87,MYTASK!$C$8:$C$87,"PLAN")</f>
        <v/>
      </c>
      <c r="C10" s="16">
        <f>SUMIFS(LOGT!$J$7:$J$206,LOGT!$D$7:$D$206,"PLAN")/60</f>
        <v/>
      </c>
      <c r="D10" s="18">
        <f>IF($C$34=0,"",$C10/$C$34)</f>
        <v/>
      </c>
      <c r="E10" s="27" t="inlineStr">
        <is>
          <t>Planning</t>
        </is>
      </c>
    </row>
    <row r="11">
      <c r="A11" s="26" t="inlineStr">
        <is>
          <t>REQ</t>
        </is>
      </c>
      <c r="B11" s="16">
        <f>SUMIFS(MYTASK!$F$8:$F$87,MYTASK!$C$8:$C$87,"REQ")</f>
        <v/>
      </c>
      <c r="C11" s="16">
        <f>SUMIFS(LOGT!$J$7:$J$206,LOGT!$D$7:$D$206,"REQ")/60</f>
        <v/>
      </c>
      <c r="D11" s="18">
        <f>IF($C$34=0,"",$C11/$C$34)</f>
        <v/>
      </c>
      <c r="E11" s="27" t="inlineStr">
        <is>
          <t>Requirements / SRS</t>
        </is>
      </c>
    </row>
    <row r="12">
      <c r="A12" s="26" t="inlineStr">
        <is>
          <t>STP</t>
        </is>
      </c>
      <c r="B12" s="16">
        <f>SUMIFS(MYTASK!$F$8:$F$87,MYTASK!$C$8:$C$87,"STP")</f>
        <v/>
      </c>
      <c r="C12" s="16">
        <f>SUMIFS(LOGT!$J$7:$J$206,LOGT!$D$7:$D$206,"STP")/60</f>
        <v/>
      </c>
      <c r="D12" s="18">
        <f>IF($C$34=0,"",$C12/$C$34)</f>
        <v/>
      </c>
      <c r="E12" s="27" t="inlineStr">
        <is>
          <t>System Test Plan</t>
        </is>
      </c>
    </row>
    <row r="13">
      <c r="A13" s="26" t="inlineStr">
        <is>
          <t>REQINSP</t>
        </is>
      </c>
      <c r="B13" s="16">
        <f>SUMIFS(MYTASK!$F$8:$F$87,MYTASK!$C$8:$C$87,"REQINSP")</f>
        <v/>
      </c>
      <c r="C13" s="16">
        <f>SUMIFS(LOGT!$J$7:$J$206,LOGT!$D$7:$D$206,"REQINSP")/60</f>
        <v/>
      </c>
      <c r="D13" s="18">
        <f>IF($C$34=0,"",$C13/$C$34)</f>
        <v/>
      </c>
      <c r="E13" s="27" t="inlineStr">
        <is>
          <t>Requirements Inspection</t>
        </is>
      </c>
    </row>
    <row r="14">
      <c r="A14" s="26" t="inlineStr">
        <is>
          <t>HLD</t>
        </is>
      </c>
      <c r="B14" s="16">
        <f>SUMIFS(MYTASK!$F$8:$F$87,MYTASK!$C$8:$C$87,"HLD")</f>
        <v/>
      </c>
      <c r="C14" s="16">
        <f>SUMIFS(LOGT!$J$7:$J$206,LOGT!$D$7:$D$206,"HLD")/60</f>
        <v/>
      </c>
      <c r="D14" s="18">
        <f>IF($C$34=0,"",$C14/$C$34)</f>
        <v/>
      </c>
      <c r="E14" s="27" t="inlineStr">
        <is>
          <t>High-Level Design / Architecture (SDD)</t>
        </is>
      </c>
    </row>
    <row r="15">
      <c r="A15" s="26" t="inlineStr">
        <is>
          <t>ITP</t>
        </is>
      </c>
      <c r="B15" s="16">
        <f>SUMIFS(MYTASK!$F$8:$F$87,MYTASK!$C$8:$C$87,"ITP")</f>
        <v/>
      </c>
      <c r="C15" s="16">
        <f>SUMIFS(LOGT!$J$7:$J$206,LOGT!$D$7:$D$206,"ITP")/60</f>
        <v/>
      </c>
      <c r="D15" s="18">
        <f>IF($C$34=0,"",$C15/$C$34)</f>
        <v/>
      </c>
      <c r="E15" s="27" t="inlineStr">
        <is>
          <t>Integration Test Plan</t>
        </is>
      </c>
    </row>
    <row r="16">
      <c r="A16" s="26" t="inlineStr">
        <is>
          <t>HLDINSP</t>
        </is>
      </c>
      <c r="B16" s="16">
        <f>SUMIFS(MYTASK!$F$8:$F$87,MYTASK!$C$8:$C$87,"HLDINSP")</f>
        <v/>
      </c>
      <c r="C16" s="16">
        <f>SUMIFS(LOGT!$J$7:$J$206,LOGT!$D$7:$D$206,"HLDINSP")/60</f>
        <v/>
      </c>
      <c r="D16" s="18">
        <f>IF($C$34=0,"",$C16/$C$34)</f>
        <v/>
      </c>
      <c r="E16" s="27" t="inlineStr">
        <is>
          <t>HLD Inspection</t>
        </is>
      </c>
    </row>
    <row r="17">
      <c r="A17" s="26" t="inlineStr">
        <is>
          <t>DLD</t>
        </is>
      </c>
      <c r="B17" s="16">
        <f>SUMIFS(MYTASK!$F$8:$F$87,MYTASK!$C$8:$C$87,"DLD")</f>
        <v/>
      </c>
      <c r="C17" s="16">
        <f>SUMIFS(LOGT!$J$7:$J$206,LOGT!$D$7:$D$206,"DLD")/60</f>
        <v/>
      </c>
      <c r="D17" s="18">
        <f>IF($C$34=0,"",$C17/$C$34)</f>
        <v/>
      </c>
      <c r="E17" s="27" t="inlineStr">
        <is>
          <t>Detailed Design (screens, widgets, models)</t>
        </is>
      </c>
    </row>
    <row r="18">
      <c r="A18" s="26" t="inlineStr">
        <is>
          <t>DLDR</t>
        </is>
      </c>
      <c r="B18" s="16">
        <f>SUMIFS(MYTASK!$F$8:$F$87,MYTASK!$C$8:$C$87,"DLDR")</f>
        <v/>
      </c>
      <c r="C18" s="16">
        <f>SUMIFS(LOGT!$J$7:$J$206,LOGT!$D$7:$D$206,"DLDR")/60</f>
        <v/>
      </c>
      <c r="D18" s="18">
        <f>IF($C$34=0,"",$C18/$C$34)</f>
        <v/>
      </c>
      <c r="E18" s="27" t="inlineStr">
        <is>
          <t>Detailed Design Review</t>
        </is>
      </c>
    </row>
    <row r="19">
      <c r="A19" s="26" t="inlineStr">
        <is>
          <t>TD</t>
        </is>
      </c>
      <c r="B19" s="16">
        <f>SUMIFS(MYTASK!$F$8:$F$87,MYTASK!$C$8:$C$87,"TD")</f>
        <v/>
      </c>
      <c r="C19" s="16">
        <f>SUMIFS(LOGT!$J$7:$J$206,LOGT!$D$7:$D$206,"TD")/60</f>
        <v/>
      </c>
      <c r="D19" s="18">
        <f>IF($C$34=0,"",$C19/$C$34)</f>
        <v/>
      </c>
      <c r="E19" s="27" t="inlineStr">
        <is>
          <t>Test Development</t>
        </is>
      </c>
    </row>
    <row r="20">
      <c r="A20" s="26" t="inlineStr">
        <is>
          <t>DLDINSP</t>
        </is>
      </c>
      <c r="B20" s="16">
        <f>SUMIFS(MYTASK!$F$8:$F$87,MYTASK!$C$8:$C$87,"DLDINSP")</f>
        <v/>
      </c>
      <c r="C20" s="16">
        <f>SUMIFS(LOGT!$J$7:$J$206,LOGT!$D$7:$D$206,"DLDINSP")/60</f>
        <v/>
      </c>
      <c r="D20" s="18">
        <f>IF($C$34=0,"",$C20/$C$34)</f>
        <v/>
      </c>
      <c r="E20" s="27" t="inlineStr">
        <is>
          <t>Detailed Design Inspection</t>
        </is>
      </c>
    </row>
    <row r="21">
      <c r="A21" s="26" t="inlineStr">
        <is>
          <t>CODE</t>
        </is>
      </c>
      <c r="B21" s="16">
        <f>SUMIFS(MYTASK!$F$8:$F$87,MYTASK!$C$8:$C$87,"CODE")</f>
        <v/>
      </c>
      <c r="C21" s="16">
        <f>SUMIFS(LOGT!$J$7:$J$206,LOGT!$D$7:$D$206,"CODE")/60</f>
        <v/>
      </c>
      <c r="D21" s="18">
        <f>IF($C$34=0,"",$C21/$C$34)</f>
        <v/>
      </c>
      <c r="E21" s="27" t="inlineStr">
        <is>
          <t>Code - hand-written Dart/Flutter</t>
        </is>
      </c>
    </row>
    <row r="22">
      <c r="A22" s="26" t="inlineStr">
        <is>
          <t>AIGEN</t>
        </is>
      </c>
      <c r="B22" s="16">
        <f>SUMIFS(MYTASK!$F$8:$F$87,MYTASK!$C$8:$C$87,"AIGEN")</f>
        <v/>
      </c>
      <c r="C22" s="16">
        <f>SUMIFS(LOGT!$J$7:$J$206,LOGT!$D$7:$D$206,"AIGEN")/60</f>
        <v/>
      </c>
      <c r="D22" s="18">
        <f>IF($C$34=0,"",$C22/$C$34)</f>
        <v/>
      </c>
      <c r="E22" s="27" t="inlineStr">
        <is>
          <t>Code - AI-assisted generation (Vibe)</t>
        </is>
      </c>
    </row>
    <row r="23">
      <c r="A23" s="26" t="inlineStr">
        <is>
          <t>CR</t>
        </is>
      </c>
      <c r="B23" s="16">
        <f>SUMIFS(MYTASK!$F$8:$F$87,MYTASK!$C$8:$C$87,"CR")</f>
        <v/>
      </c>
      <c r="C23" s="16">
        <f>SUMIFS(LOGT!$J$7:$J$206,LOGT!$D$7:$D$206,"CR")/60</f>
        <v/>
      </c>
      <c r="D23" s="18">
        <f>IF($C$34=0,"",$C23/$C$34)</f>
        <v/>
      </c>
      <c r="E23" s="27" t="inlineStr">
        <is>
          <t>Code Review / Pull-Request Review</t>
        </is>
      </c>
    </row>
    <row r="24">
      <c r="A24" s="26" t="inlineStr">
        <is>
          <t>BUILD</t>
        </is>
      </c>
      <c r="B24" s="16">
        <f>SUMIFS(MYTASK!$F$8:$F$87,MYTASK!$C$8:$C$87,"BUILD")</f>
        <v/>
      </c>
      <c r="C24" s="16">
        <f>SUMIFS(LOGT!$J$7:$J$206,LOGT!$D$7:$D$206,"BUILD")/60</f>
        <v/>
      </c>
      <c r="D24" s="18">
        <f>IF($C$34=0,"",$C24/$C$34)</f>
        <v/>
      </c>
      <c r="E24" s="27" t="inlineStr">
        <is>
          <t>Build &amp; Static Analysis (flutter analyze)</t>
        </is>
      </c>
    </row>
    <row r="25">
      <c r="A25" s="26" t="inlineStr">
        <is>
          <t>CODEINSP</t>
        </is>
      </c>
      <c r="B25" s="16">
        <f>SUMIFS(MYTASK!$F$8:$F$87,MYTASK!$C$8:$C$87,"CODEINSP")</f>
        <v/>
      </c>
      <c r="C25" s="16">
        <f>SUMIFS(LOGT!$J$7:$J$206,LOGT!$D$7:$D$206,"CODEINSP")/60</f>
        <v/>
      </c>
      <c r="D25" s="18">
        <f>IF($C$34=0,"",$C25/$C$34)</f>
        <v/>
      </c>
      <c r="E25" s="27" t="inlineStr">
        <is>
          <t>Code Inspection</t>
        </is>
      </c>
    </row>
    <row r="26">
      <c r="A26" s="26" t="inlineStr">
        <is>
          <t>UT</t>
        </is>
      </c>
      <c r="B26" s="16">
        <f>SUMIFS(MYTASK!$F$8:$F$87,MYTASK!$C$8:$C$87,"UT")</f>
        <v/>
      </c>
      <c r="C26" s="16">
        <f>SUMIFS(LOGT!$J$7:$J$206,LOGT!$D$7:$D$206,"UT")/60</f>
        <v/>
      </c>
      <c r="D26" s="18">
        <f>IF($C$34=0,"",$C26/$C$34)</f>
        <v/>
      </c>
      <c r="E26" s="27" t="inlineStr">
        <is>
          <t>Unit Test</t>
        </is>
      </c>
    </row>
    <row r="27">
      <c r="A27" s="26" t="inlineStr">
        <is>
          <t>WT</t>
        </is>
      </c>
      <c r="B27" s="16">
        <f>SUMIFS(MYTASK!$F$8:$F$87,MYTASK!$C$8:$C$87,"WT")</f>
        <v/>
      </c>
      <c r="C27" s="16">
        <f>SUMIFS(LOGT!$J$7:$J$206,LOGT!$D$7:$D$206,"WT")/60</f>
        <v/>
      </c>
      <c r="D27" s="18">
        <f>IF($C$34=0,"",$C27/$C$34)</f>
        <v/>
      </c>
      <c r="E27" s="27" t="inlineStr">
        <is>
          <t>Widget Test</t>
        </is>
      </c>
    </row>
    <row r="28">
      <c r="A28" s="26" t="inlineStr">
        <is>
          <t>IT</t>
        </is>
      </c>
      <c r="B28" s="16">
        <f>SUMIFS(MYTASK!$F$8:$F$87,MYTASK!$C$8:$C$87,"IT")</f>
        <v/>
      </c>
      <c r="C28" s="16">
        <f>SUMIFS(LOGT!$J$7:$J$206,LOGT!$D$7:$D$206,"IT")/60</f>
        <v/>
      </c>
      <c r="D28" s="18">
        <f>IF($C$34=0,"",$C28/$C$34)</f>
        <v/>
      </c>
      <c r="E28" s="27" t="inlineStr">
        <is>
          <t>Build &amp; Integration Test</t>
        </is>
      </c>
    </row>
    <row r="29">
      <c r="A29" s="26" t="inlineStr">
        <is>
          <t>CICD</t>
        </is>
      </c>
      <c r="B29" s="16">
        <f>SUMIFS(MYTASK!$F$8:$F$87,MYTASK!$C$8:$C$87,"CICD")</f>
        <v/>
      </c>
      <c r="C29" s="16">
        <f>SUMIFS(LOGT!$J$7:$J$206,LOGT!$D$7:$D$206,"CICD")/60</f>
        <v/>
      </c>
      <c r="D29" s="18">
        <f>IF($C$34=0,"",$C29/$C$34)</f>
        <v/>
      </c>
      <c r="E29" s="27" t="inlineStr">
        <is>
          <t>CI/CD Pipeline (GitHub Actions)</t>
        </is>
      </c>
    </row>
    <row r="30">
      <c r="A30" s="26" t="inlineStr">
        <is>
          <t>ST</t>
        </is>
      </c>
      <c r="B30" s="16">
        <f>SUMIFS(MYTASK!$F$8:$F$87,MYTASK!$C$8:$C$87,"ST")</f>
        <v/>
      </c>
      <c r="C30" s="16">
        <f>SUMIFS(LOGT!$J$7:$J$206,LOGT!$D$7:$D$206,"ST")/60</f>
        <v/>
      </c>
      <c r="D30" s="18">
        <f>IF($C$34=0,"",$C30/$C$34)</f>
        <v/>
      </c>
      <c r="E30" s="27" t="inlineStr">
        <is>
          <t>System Test</t>
        </is>
      </c>
    </row>
    <row r="31">
      <c r="A31" s="26" t="inlineStr">
        <is>
          <t>UAT</t>
        </is>
      </c>
      <c r="B31" s="16">
        <f>SUMIFS(MYTASK!$F$8:$F$87,MYTASK!$C$8:$C$87,"UAT")</f>
        <v/>
      </c>
      <c r="C31" s="16">
        <f>SUMIFS(LOGT!$J$7:$J$206,LOGT!$D$7:$D$206,"UAT")/60</f>
        <v/>
      </c>
      <c r="D31" s="18">
        <f>IF($C$34=0,"",$C31/$C$34)</f>
        <v/>
      </c>
      <c r="E31" s="27" t="inlineStr">
        <is>
          <t>Client Acceptance Test</t>
        </is>
      </c>
    </row>
    <row r="32">
      <c r="A32" s="26" t="inlineStr">
        <is>
          <t>DOC</t>
        </is>
      </c>
      <c r="B32" s="16">
        <f>SUMIFS(MYTASK!$F$8:$F$87,MYTASK!$C$8:$C$87,"DOC")</f>
        <v/>
      </c>
      <c r="C32" s="16">
        <f>SUMIFS(LOGT!$J$7:$J$206,LOGT!$D$7:$D$206,"DOC")/60</f>
        <v/>
      </c>
      <c r="D32" s="18">
        <f>IF($C$34=0,"",$C32/$C$34)</f>
        <v/>
      </c>
      <c r="E32" s="27" t="inlineStr">
        <is>
          <t>Documentation &amp; User Manual</t>
        </is>
      </c>
    </row>
    <row r="33">
      <c r="A33" s="26" t="inlineStr">
        <is>
          <t>PM</t>
        </is>
      </c>
      <c r="B33" s="16">
        <f>SUMIFS(MYTASK!$F$8:$F$87,MYTASK!$C$8:$C$87,"PM")</f>
        <v/>
      </c>
      <c r="C33" s="16">
        <f>SUMIFS(LOGT!$J$7:$J$206,LOGT!$D$7:$D$206,"PM")/60</f>
        <v/>
      </c>
      <c r="D33" s="18">
        <f>IF($C$34=0,"",$C33/$C$34)</f>
        <v/>
      </c>
      <c r="E33" s="27" t="inlineStr">
        <is>
          <t>Postmortem</t>
        </is>
      </c>
    </row>
    <row r="34">
      <c r="A34" s="28" t="inlineStr">
        <is>
          <t>TOTAL</t>
        </is>
      </c>
      <c r="B34" s="12">
        <f>SUM(B8:B33)</f>
        <v/>
      </c>
      <c r="C34" s="12">
        <f>SUM(C8:C33)</f>
        <v/>
      </c>
    </row>
    <row r="36" ht="19" customHeight="1">
      <c r="A36" s="5" t="inlineStr">
        <is>
          <t>Defects Injected</t>
        </is>
      </c>
    </row>
    <row r="37" ht="18" customHeight="1">
      <c r="A37" s="13" t="inlineStr">
        <is>
          <t>Phase</t>
        </is>
      </c>
      <c r="B37" s="13" t="inlineStr">
        <is>
          <t>Plan</t>
        </is>
      </c>
      <c r="C37" s="13" t="inlineStr">
        <is>
          <t>Actual</t>
        </is>
      </c>
      <c r="D37" s="13" t="inlineStr">
        <is>
          <t>Actual %</t>
        </is>
      </c>
      <c r="E37" s="13" t="inlineStr">
        <is>
          <t>Description</t>
        </is>
      </c>
    </row>
    <row r="38">
      <c r="A38" s="26" t="inlineStr">
        <is>
          <t>PLAN</t>
        </is>
      </c>
      <c r="B38" s="15" t="n"/>
      <c r="C38" s="17">
        <f>COUNTIFS(LOGD!$F$7:$F$106,"PLAN")</f>
        <v/>
      </c>
      <c r="D38" s="18">
        <f>IF($C$59=0,"",$C38/$C$59)</f>
        <v/>
      </c>
      <c r="E38" s="27" t="inlineStr">
        <is>
          <t>Planning</t>
        </is>
      </c>
    </row>
    <row r="39">
      <c r="A39" s="26" t="inlineStr">
        <is>
          <t>REQ</t>
        </is>
      </c>
      <c r="B39" s="15" t="n"/>
      <c r="C39" s="17">
        <f>COUNTIFS(LOGD!$F$7:$F$106,"REQ")</f>
        <v/>
      </c>
      <c r="D39" s="18">
        <f>IF($C$59=0,"",$C39/$C$59)</f>
        <v/>
      </c>
      <c r="E39" s="27" t="inlineStr">
        <is>
          <t>Requirements / SRS</t>
        </is>
      </c>
    </row>
    <row r="40">
      <c r="A40" s="26" t="inlineStr">
        <is>
          <t>STP</t>
        </is>
      </c>
      <c r="B40" s="15" t="n"/>
      <c r="C40" s="17">
        <f>COUNTIFS(LOGD!$F$7:$F$106,"STP")</f>
        <v/>
      </c>
      <c r="D40" s="18">
        <f>IF($C$59=0,"",$C40/$C$59)</f>
        <v/>
      </c>
      <c r="E40" s="27" t="inlineStr">
        <is>
          <t>System Test Plan</t>
        </is>
      </c>
    </row>
    <row r="41">
      <c r="A41" s="26" t="inlineStr">
        <is>
          <t>REQINSP</t>
        </is>
      </c>
      <c r="B41" s="15" t="n"/>
      <c r="C41" s="17">
        <f>COUNTIFS(LOGD!$F$7:$F$106,"REQINSP")</f>
        <v/>
      </c>
      <c r="D41" s="18">
        <f>IF($C$59=0,"",$C41/$C$59)</f>
        <v/>
      </c>
      <c r="E41" s="27" t="inlineStr">
        <is>
          <t>Requirements Inspection</t>
        </is>
      </c>
    </row>
    <row r="42">
      <c r="A42" s="26" t="inlineStr">
        <is>
          <t>HLD</t>
        </is>
      </c>
      <c r="B42" s="15" t="n"/>
      <c r="C42" s="17">
        <f>COUNTIFS(LOGD!$F$7:$F$106,"HLD")</f>
        <v/>
      </c>
      <c r="D42" s="18">
        <f>IF($C$59=0,"",$C42/$C$59)</f>
        <v/>
      </c>
      <c r="E42" s="27" t="inlineStr">
        <is>
          <t>High-Level Design / Architecture (SDD)</t>
        </is>
      </c>
    </row>
    <row r="43">
      <c r="A43" s="26" t="inlineStr">
        <is>
          <t>ITP</t>
        </is>
      </c>
      <c r="B43" s="15" t="n"/>
      <c r="C43" s="17">
        <f>COUNTIFS(LOGD!$F$7:$F$106,"ITP")</f>
        <v/>
      </c>
      <c r="D43" s="18">
        <f>IF($C$59=0,"",$C43/$C$59)</f>
        <v/>
      </c>
      <c r="E43" s="27" t="inlineStr">
        <is>
          <t>Integration Test Plan</t>
        </is>
      </c>
    </row>
    <row r="44">
      <c r="A44" s="26" t="inlineStr">
        <is>
          <t>HLDINSP</t>
        </is>
      </c>
      <c r="B44" s="15" t="n"/>
      <c r="C44" s="17">
        <f>COUNTIFS(LOGD!$F$7:$F$106,"HLDINSP")</f>
        <v/>
      </c>
      <c r="D44" s="18">
        <f>IF($C$59=0,"",$C44/$C$59)</f>
        <v/>
      </c>
      <c r="E44" s="27" t="inlineStr">
        <is>
          <t>HLD Inspection</t>
        </is>
      </c>
    </row>
    <row r="45">
      <c r="A45" s="26" t="inlineStr">
        <is>
          <t>DLD</t>
        </is>
      </c>
      <c r="B45" s="15" t="n"/>
      <c r="C45" s="17">
        <f>COUNTIFS(LOGD!$F$7:$F$106,"DLD")</f>
        <v/>
      </c>
      <c r="D45" s="18">
        <f>IF($C$59=0,"",$C45/$C$59)</f>
        <v/>
      </c>
      <c r="E45" s="27" t="inlineStr">
        <is>
          <t>Detailed Design (screens, widgets, models)</t>
        </is>
      </c>
    </row>
    <row r="46">
      <c r="A46" s="26" t="inlineStr">
        <is>
          <t>DLDR</t>
        </is>
      </c>
      <c r="B46" s="15" t="n"/>
      <c r="C46" s="17">
        <f>COUNTIFS(LOGD!$F$7:$F$106,"DLDR")</f>
        <v/>
      </c>
      <c r="D46" s="18">
        <f>IF($C$59=0,"",$C46/$C$59)</f>
        <v/>
      </c>
      <c r="E46" s="27" t="inlineStr">
        <is>
          <t>Detailed Design Review</t>
        </is>
      </c>
    </row>
    <row r="47">
      <c r="A47" s="26" t="inlineStr">
        <is>
          <t>TD</t>
        </is>
      </c>
      <c r="B47" s="15" t="n"/>
      <c r="C47" s="17">
        <f>COUNTIFS(LOGD!$F$7:$F$106,"TD")</f>
        <v/>
      </c>
      <c r="D47" s="18">
        <f>IF($C$59=0,"",$C47/$C$59)</f>
        <v/>
      </c>
      <c r="E47" s="27" t="inlineStr">
        <is>
          <t>Test Development</t>
        </is>
      </c>
    </row>
    <row r="48">
      <c r="A48" s="26" t="inlineStr">
        <is>
          <t>DLDINSP</t>
        </is>
      </c>
      <c r="B48" s="15" t="n"/>
      <c r="C48" s="17">
        <f>COUNTIFS(LOGD!$F$7:$F$106,"DLDINSP")</f>
        <v/>
      </c>
      <c r="D48" s="18">
        <f>IF($C$59=0,"",$C48/$C$59)</f>
        <v/>
      </c>
      <c r="E48" s="27" t="inlineStr">
        <is>
          <t>Detailed Design Inspection</t>
        </is>
      </c>
    </row>
    <row r="49">
      <c r="A49" s="26" t="inlineStr">
        <is>
          <t>CODE</t>
        </is>
      </c>
      <c r="B49" s="15" t="n"/>
      <c r="C49" s="17">
        <f>COUNTIFS(LOGD!$F$7:$F$106,"CODE")</f>
        <v/>
      </c>
      <c r="D49" s="18">
        <f>IF($C$59=0,"",$C49/$C$59)</f>
        <v/>
      </c>
      <c r="E49" s="27" t="inlineStr">
        <is>
          <t>Code - hand-written Dart/Flutter</t>
        </is>
      </c>
    </row>
    <row r="50">
      <c r="A50" s="26" t="inlineStr">
        <is>
          <t>AIGEN</t>
        </is>
      </c>
      <c r="B50" s="15" t="n"/>
      <c r="C50" s="17">
        <f>COUNTIFS(LOGD!$F$7:$F$106,"AIGEN")</f>
        <v/>
      </c>
      <c r="D50" s="18">
        <f>IF($C$59=0,"",$C50/$C$59)</f>
        <v/>
      </c>
      <c r="E50" s="27" t="inlineStr">
        <is>
          <t>Code - AI-assisted generation (Vibe)</t>
        </is>
      </c>
    </row>
    <row r="51">
      <c r="A51" s="26" t="inlineStr">
        <is>
          <t>CR</t>
        </is>
      </c>
      <c r="B51" s="15" t="n"/>
      <c r="C51" s="17">
        <f>COUNTIFS(LOGD!$F$7:$F$106,"CR")</f>
        <v/>
      </c>
      <c r="D51" s="18">
        <f>IF($C$59=0,"",$C51/$C$59)</f>
        <v/>
      </c>
      <c r="E51" s="27" t="inlineStr">
        <is>
          <t>Code Review / Pull-Request Review</t>
        </is>
      </c>
    </row>
    <row r="52">
      <c r="A52" s="26" t="inlineStr">
        <is>
          <t>BUILD</t>
        </is>
      </c>
      <c r="B52" s="15" t="n"/>
      <c r="C52" s="17">
        <f>COUNTIFS(LOGD!$F$7:$F$106,"BUILD")</f>
        <v/>
      </c>
      <c r="D52" s="18">
        <f>IF($C$59=0,"",$C52/$C$59)</f>
        <v/>
      </c>
      <c r="E52" s="27" t="inlineStr">
        <is>
          <t>Build &amp; Static Analysis (flutter analyze)</t>
        </is>
      </c>
    </row>
    <row r="53">
      <c r="A53" s="26" t="inlineStr">
        <is>
          <t>CODEINSP</t>
        </is>
      </c>
      <c r="B53" s="15" t="n"/>
      <c r="C53" s="17">
        <f>COUNTIFS(LOGD!$F$7:$F$106,"CODEINSP")</f>
        <v/>
      </c>
      <c r="D53" s="18">
        <f>IF($C$59=0,"",$C53/$C$59)</f>
        <v/>
      </c>
      <c r="E53" s="27" t="inlineStr">
        <is>
          <t>Code Inspection</t>
        </is>
      </c>
    </row>
    <row r="54">
      <c r="A54" s="26" t="inlineStr">
        <is>
          <t>UT</t>
        </is>
      </c>
      <c r="B54" s="15" t="n"/>
      <c r="C54" s="17">
        <f>COUNTIFS(LOGD!$F$7:$F$106,"UT")</f>
        <v/>
      </c>
      <c r="D54" s="18">
        <f>IF($C$59=0,"",$C54/$C$59)</f>
        <v/>
      </c>
      <c r="E54" s="27" t="inlineStr">
        <is>
          <t>Unit Test</t>
        </is>
      </c>
    </row>
    <row r="55">
      <c r="A55" s="26" t="inlineStr">
        <is>
          <t>WT</t>
        </is>
      </c>
      <c r="B55" s="15" t="n"/>
      <c r="C55" s="17">
        <f>COUNTIFS(LOGD!$F$7:$F$106,"WT")</f>
        <v/>
      </c>
      <c r="D55" s="18">
        <f>IF($C$59=0,"",$C55/$C$59)</f>
        <v/>
      </c>
      <c r="E55" s="27" t="inlineStr">
        <is>
          <t>Widget Test</t>
        </is>
      </c>
    </row>
    <row r="56">
      <c r="A56" s="26" t="inlineStr">
        <is>
          <t>IT</t>
        </is>
      </c>
      <c r="B56" s="15" t="n"/>
      <c r="C56" s="17">
        <f>COUNTIFS(LOGD!$F$7:$F$106,"IT")</f>
        <v/>
      </c>
      <c r="D56" s="18">
        <f>IF($C$59=0,"",$C56/$C$59)</f>
        <v/>
      </c>
      <c r="E56" s="27" t="inlineStr">
        <is>
          <t>Build &amp; Integration Test</t>
        </is>
      </c>
    </row>
    <row r="57">
      <c r="A57" s="26" t="inlineStr">
        <is>
          <t>CICD</t>
        </is>
      </c>
      <c r="B57" s="15" t="n"/>
      <c r="C57" s="17">
        <f>COUNTIFS(LOGD!$F$7:$F$106,"CICD")</f>
        <v/>
      </c>
      <c r="D57" s="18">
        <f>IF($C$59=0,"",$C57/$C$59)</f>
        <v/>
      </c>
      <c r="E57" s="27" t="inlineStr">
        <is>
          <t>CI/CD Pipeline (GitHub Actions)</t>
        </is>
      </c>
    </row>
    <row r="58">
      <c r="A58" s="26" t="inlineStr">
        <is>
          <t>ST</t>
        </is>
      </c>
      <c r="B58" s="15" t="n"/>
      <c r="C58" s="17">
        <f>COUNTIFS(LOGD!$F$7:$F$106,"ST")</f>
        <v/>
      </c>
      <c r="D58" s="18">
        <f>IF($C$59=0,"",$C58/$C$59)</f>
        <v/>
      </c>
      <c r="E58" s="27" t="inlineStr">
        <is>
          <t>System Test</t>
        </is>
      </c>
    </row>
    <row r="59">
      <c r="A59" s="28" t="inlineStr">
        <is>
          <t>TOTAL INJECTED</t>
        </is>
      </c>
      <c r="B59" s="11">
        <f>SUM(B38:B58)</f>
        <v/>
      </c>
      <c r="C59" s="11">
        <f>SUM(C38:C58)</f>
        <v/>
      </c>
    </row>
    <row r="61" ht="19" customHeight="1">
      <c r="A61" s="5" t="inlineStr">
        <is>
          <t>Defects Removed</t>
        </is>
      </c>
    </row>
    <row r="62" ht="18" customHeight="1">
      <c r="A62" s="13" t="inlineStr">
        <is>
          <t>Phase</t>
        </is>
      </c>
      <c r="B62" s="13" t="inlineStr">
        <is>
          <t>Plan</t>
        </is>
      </c>
      <c r="C62" s="13" t="inlineStr">
        <is>
          <t>Actual</t>
        </is>
      </c>
      <c r="D62" s="13" t="inlineStr">
        <is>
          <t>Actual %</t>
        </is>
      </c>
      <c r="E62" s="13" t="inlineStr">
        <is>
          <t>Description</t>
        </is>
      </c>
    </row>
    <row r="63">
      <c r="A63" s="26" t="inlineStr">
        <is>
          <t>PLAN</t>
        </is>
      </c>
      <c r="B63" s="15" t="n"/>
      <c r="C63" s="17">
        <f>COUNTIFS(LOGD!$G$7:$G$106,"PLAN")</f>
        <v/>
      </c>
      <c r="D63" s="18">
        <f>IF($C$84=0,"",$C63/$C$84)</f>
        <v/>
      </c>
      <c r="E63" s="27" t="inlineStr">
        <is>
          <t>Planning</t>
        </is>
      </c>
    </row>
    <row r="64">
      <c r="A64" s="26" t="inlineStr">
        <is>
          <t>REQ</t>
        </is>
      </c>
      <c r="B64" s="15" t="n"/>
      <c r="C64" s="17">
        <f>COUNTIFS(LOGD!$G$7:$G$106,"REQ")</f>
        <v/>
      </c>
      <c r="D64" s="18">
        <f>IF($C$84=0,"",$C64/$C$84)</f>
        <v/>
      </c>
      <c r="E64" s="27" t="inlineStr">
        <is>
          <t>Requirements / SRS</t>
        </is>
      </c>
    </row>
    <row r="65">
      <c r="A65" s="26" t="inlineStr">
        <is>
          <t>STP</t>
        </is>
      </c>
      <c r="B65" s="15" t="n"/>
      <c r="C65" s="17">
        <f>COUNTIFS(LOGD!$G$7:$G$106,"STP")</f>
        <v/>
      </c>
      <c r="D65" s="18">
        <f>IF($C$84=0,"",$C65/$C$84)</f>
        <v/>
      </c>
      <c r="E65" s="27" t="inlineStr">
        <is>
          <t>System Test Plan</t>
        </is>
      </c>
    </row>
    <row r="66">
      <c r="A66" s="26" t="inlineStr">
        <is>
          <t>REQINSP</t>
        </is>
      </c>
      <c r="B66" s="15" t="n"/>
      <c r="C66" s="17">
        <f>COUNTIFS(LOGD!$G$7:$G$106,"REQINSP")</f>
        <v/>
      </c>
      <c r="D66" s="18">
        <f>IF($C$84=0,"",$C66/$C$84)</f>
        <v/>
      </c>
      <c r="E66" s="27" t="inlineStr">
        <is>
          <t>Requirements Inspection</t>
        </is>
      </c>
    </row>
    <row r="67">
      <c r="A67" s="26" t="inlineStr">
        <is>
          <t>HLD</t>
        </is>
      </c>
      <c r="B67" s="15" t="n"/>
      <c r="C67" s="17">
        <f>COUNTIFS(LOGD!$G$7:$G$106,"HLD")</f>
        <v/>
      </c>
      <c r="D67" s="18">
        <f>IF($C$84=0,"",$C67/$C$84)</f>
        <v/>
      </c>
      <c r="E67" s="27" t="inlineStr">
        <is>
          <t>High-Level Design / Architecture (SDD)</t>
        </is>
      </c>
    </row>
    <row r="68">
      <c r="A68" s="26" t="inlineStr">
        <is>
          <t>ITP</t>
        </is>
      </c>
      <c r="B68" s="15" t="n"/>
      <c r="C68" s="17">
        <f>COUNTIFS(LOGD!$G$7:$G$106,"ITP")</f>
        <v/>
      </c>
      <c r="D68" s="18">
        <f>IF($C$84=0,"",$C68/$C$84)</f>
        <v/>
      </c>
      <c r="E68" s="27" t="inlineStr">
        <is>
          <t>Integration Test Plan</t>
        </is>
      </c>
    </row>
    <row r="69">
      <c r="A69" s="26" t="inlineStr">
        <is>
          <t>HLDINSP</t>
        </is>
      </c>
      <c r="B69" s="15" t="n"/>
      <c r="C69" s="17">
        <f>COUNTIFS(LOGD!$G$7:$G$106,"HLDINSP")</f>
        <v/>
      </c>
      <c r="D69" s="18">
        <f>IF($C$84=0,"",$C69/$C$84)</f>
        <v/>
      </c>
      <c r="E69" s="27" t="inlineStr">
        <is>
          <t>HLD Inspection</t>
        </is>
      </c>
    </row>
    <row r="70">
      <c r="A70" s="26" t="inlineStr">
        <is>
          <t>DLD</t>
        </is>
      </c>
      <c r="B70" s="15" t="n"/>
      <c r="C70" s="17">
        <f>COUNTIFS(LOGD!$G$7:$G$106,"DLD")</f>
        <v/>
      </c>
      <c r="D70" s="18">
        <f>IF($C$84=0,"",$C70/$C$84)</f>
        <v/>
      </c>
      <c r="E70" s="27" t="inlineStr">
        <is>
          <t>Detailed Design (screens, widgets, models)</t>
        </is>
      </c>
    </row>
    <row r="71">
      <c r="A71" s="26" t="inlineStr">
        <is>
          <t>DLDR</t>
        </is>
      </c>
      <c r="B71" s="15" t="n"/>
      <c r="C71" s="17">
        <f>COUNTIFS(LOGD!$G$7:$G$106,"DLDR")</f>
        <v/>
      </c>
      <c r="D71" s="18">
        <f>IF($C$84=0,"",$C71/$C$84)</f>
        <v/>
      </c>
      <c r="E71" s="27" t="inlineStr">
        <is>
          <t>Detailed Design Review</t>
        </is>
      </c>
    </row>
    <row r="72">
      <c r="A72" s="26" t="inlineStr">
        <is>
          <t>TD</t>
        </is>
      </c>
      <c r="B72" s="15" t="n"/>
      <c r="C72" s="17">
        <f>COUNTIFS(LOGD!$G$7:$G$106,"TD")</f>
        <v/>
      </c>
      <c r="D72" s="18">
        <f>IF($C$84=0,"",$C72/$C$84)</f>
        <v/>
      </c>
      <c r="E72" s="27" t="inlineStr">
        <is>
          <t>Test Development</t>
        </is>
      </c>
    </row>
    <row r="73">
      <c r="A73" s="26" t="inlineStr">
        <is>
          <t>DLDINSP</t>
        </is>
      </c>
      <c r="B73" s="15" t="n"/>
      <c r="C73" s="17">
        <f>COUNTIFS(LOGD!$G$7:$G$106,"DLDINSP")</f>
        <v/>
      </c>
      <c r="D73" s="18">
        <f>IF($C$84=0,"",$C73/$C$84)</f>
        <v/>
      </c>
      <c r="E73" s="27" t="inlineStr">
        <is>
          <t>Detailed Design Inspection</t>
        </is>
      </c>
    </row>
    <row r="74">
      <c r="A74" s="26" t="inlineStr">
        <is>
          <t>CODE</t>
        </is>
      </c>
      <c r="B74" s="15" t="n"/>
      <c r="C74" s="17">
        <f>COUNTIFS(LOGD!$G$7:$G$106,"CODE")</f>
        <v/>
      </c>
      <c r="D74" s="18">
        <f>IF($C$84=0,"",$C74/$C$84)</f>
        <v/>
      </c>
      <c r="E74" s="27" t="inlineStr">
        <is>
          <t>Code - hand-written Dart/Flutter</t>
        </is>
      </c>
    </row>
    <row r="75">
      <c r="A75" s="26" t="inlineStr">
        <is>
          <t>AIGEN</t>
        </is>
      </c>
      <c r="B75" s="15" t="n"/>
      <c r="C75" s="17">
        <f>COUNTIFS(LOGD!$G$7:$G$106,"AIGEN")</f>
        <v/>
      </c>
      <c r="D75" s="18">
        <f>IF($C$84=0,"",$C75/$C$84)</f>
        <v/>
      </c>
      <c r="E75" s="27" t="inlineStr">
        <is>
          <t>Code - AI-assisted generation (Vibe)</t>
        </is>
      </c>
    </row>
    <row r="76">
      <c r="A76" s="26" t="inlineStr">
        <is>
          <t>CR</t>
        </is>
      </c>
      <c r="B76" s="15" t="n"/>
      <c r="C76" s="17">
        <f>COUNTIFS(LOGD!$G$7:$G$106,"CR")</f>
        <v/>
      </c>
      <c r="D76" s="18">
        <f>IF($C$84=0,"",$C76/$C$84)</f>
        <v/>
      </c>
      <c r="E76" s="27" t="inlineStr">
        <is>
          <t>Code Review / Pull-Request Review</t>
        </is>
      </c>
    </row>
    <row r="77">
      <c r="A77" s="26" t="inlineStr">
        <is>
          <t>BUILD</t>
        </is>
      </c>
      <c r="B77" s="15" t="n"/>
      <c r="C77" s="17">
        <f>COUNTIFS(LOGD!$G$7:$G$106,"BUILD")</f>
        <v/>
      </c>
      <c r="D77" s="18">
        <f>IF($C$84=0,"",$C77/$C$84)</f>
        <v/>
      </c>
      <c r="E77" s="27" t="inlineStr">
        <is>
          <t>Build &amp; Static Analysis (flutter analyze)</t>
        </is>
      </c>
    </row>
    <row r="78">
      <c r="A78" s="26" t="inlineStr">
        <is>
          <t>CODEINSP</t>
        </is>
      </c>
      <c r="B78" s="15" t="n"/>
      <c r="C78" s="17">
        <f>COUNTIFS(LOGD!$G$7:$G$106,"CODEINSP")</f>
        <v/>
      </c>
      <c r="D78" s="18">
        <f>IF($C$84=0,"",$C78/$C$84)</f>
        <v/>
      </c>
      <c r="E78" s="27" t="inlineStr">
        <is>
          <t>Code Inspection</t>
        </is>
      </c>
    </row>
    <row r="79">
      <c r="A79" s="26" t="inlineStr">
        <is>
          <t>UT</t>
        </is>
      </c>
      <c r="B79" s="15" t="n"/>
      <c r="C79" s="17">
        <f>COUNTIFS(LOGD!$G$7:$G$106,"UT")</f>
        <v/>
      </c>
      <c r="D79" s="18">
        <f>IF($C$84=0,"",$C79/$C$84)</f>
        <v/>
      </c>
      <c r="E79" s="27" t="inlineStr">
        <is>
          <t>Unit Test</t>
        </is>
      </c>
    </row>
    <row r="80">
      <c r="A80" s="26" t="inlineStr">
        <is>
          <t>WT</t>
        </is>
      </c>
      <c r="B80" s="15" t="n"/>
      <c r="C80" s="17">
        <f>COUNTIFS(LOGD!$G$7:$G$106,"WT")</f>
        <v/>
      </c>
      <c r="D80" s="18">
        <f>IF($C$84=0,"",$C80/$C$84)</f>
        <v/>
      </c>
      <c r="E80" s="27" t="inlineStr">
        <is>
          <t>Widget Test</t>
        </is>
      </c>
    </row>
    <row r="81">
      <c r="A81" s="26" t="inlineStr">
        <is>
          <t>IT</t>
        </is>
      </c>
      <c r="B81" s="15" t="n"/>
      <c r="C81" s="17">
        <f>COUNTIFS(LOGD!$G$7:$G$106,"IT")</f>
        <v/>
      </c>
      <c r="D81" s="18">
        <f>IF($C$84=0,"",$C81/$C$84)</f>
        <v/>
      </c>
      <c r="E81" s="27" t="inlineStr">
        <is>
          <t>Build &amp; Integration Test</t>
        </is>
      </c>
    </row>
    <row r="82">
      <c r="A82" s="26" t="inlineStr">
        <is>
          <t>CICD</t>
        </is>
      </c>
      <c r="B82" s="15" t="n"/>
      <c r="C82" s="17">
        <f>COUNTIFS(LOGD!$G$7:$G$106,"CICD")</f>
        <v/>
      </c>
      <c r="D82" s="18">
        <f>IF($C$84=0,"",$C82/$C$84)</f>
        <v/>
      </c>
      <c r="E82" s="27" t="inlineStr">
        <is>
          <t>CI/CD Pipeline (GitHub Actions)</t>
        </is>
      </c>
    </row>
    <row r="83">
      <c r="A83" s="26" t="inlineStr">
        <is>
          <t>ST</t>
        </is>
      </c>
      <c r="B83" s="15" t="n"/>
      <c r="C83" s="17">
        <f>COUNTIFS(LOGD!$G$7:$G$106,"ST")</f>
        <v/>
      </c>
      <c r="D83" s="18">
        <f>IF($C$84=0,"",$C83/$C$84)</f>
        <v/>
      </c>
      <c r="E83" s="27" t="inlineStr">
        <is>
          <t>System Test</t>
        </is>
      </c>
    </row>
    <row r="84">
      <c r="A84" s="28" t="inlineStr">
        <is>
          <t>TOTAL REMOVED</t>
        </is>
      </c>
      <c r="B84" s="11">
        <f>SUM(B63:B83)</f>
        <v/>
      </c>
      <c r="C84" s="11">
        <f>SUM(C63:C83)</f>
        <v/>
      </c>
    </row>
    <row r="86" ht="19" customHeight="1">
      <c r="A86" s="5" t="inlineStr">
        <is>
          <t>My Size Contribution</t>
        </is>
      </c>
    </row>
    <row r="87" ht="18" customHeight="1">
      <c r="A87" s="13" t="inlineStr"/>
      <c r="B87" s="13" t="inlineStr">
        <is>
          <t>Plan</t>
        </is>
      </c>
      <c r="C87" s="13" t="inlineStr">
        <is>
          <t>Actual</t>
        </is>
      </c>
      <c r="D87" s="13" t="inlineStr"/>
      <c r="E87" s="13" t="inlineStr">
        <is>
          <t>What to count</t>
        </is>
      </c>
    </row>
    <row r="88">
      <c r="A88" s="29" t="inlineStr">
        <is>
          <t>New &amp; changed Dart LOC I wrote</t>
        </is>
      </c>
      <c r="B88" s="30" t="n"/>
      <c r="C88" s="30" t="n"/>
      <c r="E88" s="27" t="inlineStr">
        <is>
          <t>Lines of Dart you added or changed, from your merged PRs</t>
        </is>
      </c>
    </row>
    <row r="89">
      <c r="A89" s="29" t="inlineStr">
        <is>
          <t>SRS / SDD pages I wrote</t>
        </is>
      </c>
      <c r="B89" s="30" t="n"/>
      <c r="C89" s="30" t="n"/>
      <c r="E89" s="27" t="inlineStr">
        <is>
          <t>Pages you personally drafted</t>
        </is>
      </c>
    </row>
    <row r="90">
      <c r="A90" s="29" t="inlineStr">
        <is>
          <t>Screens I built</t>
        </is>
      </c>
      <c r="B90" s="30" t="n"/>
      <c r="C90" s="30" t="n"/>
      <c r="E90" s="27" t="inlineStr">
        <is>
          <t>Screens you were the main author of</t>
        </is>
      </c>
    </row>
    <row r="91">
      <c r="A91" s="29" t="inlineStr">
        <is>
          <t>Test cases I wrote</t>
        </is>
      </c>
      <c r="B91" s="30" t="n"/>
      <c r="C91" s="31">
        <f>COUNTA(LOGTEST!$B$7:$B$106)</f>
        <v/>
      </c>
      <c r="E91" s="27" t="inlineStr">
        <is>
          <t>From LOGTEST</t>
        </is>
      </c>
    </row>
  </sheetData>
  <mergeCells count="6">
    <mergeCell ref="A2:E2"/>
    <mergeCell ref="A86:E86"/>
    <mergeCell ref="A1:E1"/>
    <mergeCell ref="A36:E36"/>
    <mergeCell ref="A61:E61"/>
    <mergeCell ref="A6:E6"/>
  </mergeCells>
  <printOptions horizontalCentered="1"/>
  <pageMargins left="0.75" right="0.75" top="1" bottom="1" header="0.5" footer="0.5"/>
  <pageSetup orientation="portrait" paperSize="9" fitToHeight="0" fitToWidth="1"/>
  <headerFooter>
    <oddHeader/>
    <oddFooter>&amp;R&amp;8 TMA3084 member workbook v3.0  -  &amp;P of &amp;N</oddFooter>
    <evenHeader/>
    <evenFooter/>
    <firstHeader/>
    <firstFooter/>
  </headerFooter>
</worksheet>
</file>

<file path=xl/worksheets/sheet10.xml><?xml version="1.0" encoding="utf-8"?>
<worksheet xmlns="http://schemas.openxmlformats.org/spreadsheetml/2006/main">
  <sheetPr>
    <tabColor rgb="000B3139"/>
    <outlinePr summaryBelow="1" summaryRight="1"/>
    <pageSetUpPr fitToPage="1"/>
  </sheetPr>
  <dimension ref="A1:E19"/>
  <sheetViews>
    <sheetView showGridLines="0" workbookViewId="0">
      <pane ySplit="7" topLeftCell="A8" activePane="bottomLeft" state="frozen"/>
      <selection pane="bottomLeft" activeCell="A1" sqref="A1"/>
    </sheetView>
  </sheetViews>
  <sheetFormatPr baseColWidth="8" defaultRowHeight="15"/>
  <cols>
    <col width="44" customWidth="1" min="1" max="1"/>
    <col width="14" customWidth="1" min="2" max="2"/>
    <col width="16" customWidth="1" min="3" max="3"/>
    <col width="12" customWidth="1" min="4" max="4"/>
    <col width="52" customWidth="1" min="5" max="5"/>
  </cols>
  <sheetData>
    <row r="1" ht="30" customHeight="1">
      <c r="A1" s="1" t="inlineStr">
        <is>
          <t>My Quality Summary</t>
        </is>
      </c>
    </row>
    <row r="2" ht="16" customHeight="1">
      <c r="A2" s="2" t="inlineStr">
        <is>
          <t>Your own review discipline. These are the numbers the Quality &amp; Test Manager will ask you about.</t>
        </is>
      </c>
    </row>
    <row r="4">
      <c r="A4" s="7" t="inlineStr">
        <is>
          <t>Member</t>
        </is>
      </c>
      <c r="B4" s="10">
        <f>SETUP!$C$5</f>
        <v/>
      </c>
    </row>
    <row r="6" ht="19" customHeight="1">
      <c r="A6" s="5" t="inlineStr">
        <is>
          <t>My Measures</t>
        </is>
      </c>
    </row>
    <row r="7" ht="20" customHeight="1">
      <c r="A7" s="13" t="inlineStr">
        <is>
          <t>Measure</t>
        </is>
      </c>
      <c r="B7" s="13" t="inlineStr">
        <is>
          <t>Actual</t>
        </is>
      </c>
      <c r="C7" s="13" t="inlineStr">
        <is>
          <t>Guideline</t>
        </is>
      </c>
      <c r="D7" s="13" t="inlineStr">
        <is>
          <t>Verdict</t>
        </is>
      </c>
      <c r="E7" s="13" t="inlineStr">
        <is>
          <t>Reading</t>
        </is>
      </c>
    </row>
    <row r="8">
      <c r="A8" s="29" t="inlineStr">
        <is>
          <t>Hours logged</t>
        </is>
      </c>
      <c r="B8" s="12">
        <f>SUM(LOGT!$J$7:$J$206)/60</f>
        <v/>
      </c>
      <c r="C8" s="32" t="n"/>
      <c r="D8" s="32" t="n"/>
      <c r="E8" s="33" t="inlineStr">
        <is>
          <t>Everything you have recorded this semester.</t>
        </is>
      </c>
    </row>
    <row r="9">
      <c r="A9" s="29" t="inlineStr">
        <is>
          <t>Defects I found</t>
        </is>
      </c>
      <c r="B9" s="11">
        <f>COUNTA(LOGD!$B$7:$B$106)</f>
        <v/>
      </c>
      <c r="C9" s="32" t="n"/>
      <c r="D9" s="32" t="n"/>
      <c r="E9" s="33" t="inlineStr">
        <is>
          <t>A higher number is better engineering, not worse work.</t>
        </is>
      </c>
    </row>
    <row r="10">
      <c r="A10" s="29" t="inlineStr">
        <is>
          <t>Defects / KLOC in my code</t>
        </is>
      </c>
      <c r="B10" s="34">
        <f>IFERROR(COUNTA(LOGD!$B$7:$B$106)/(MYSUMP!$C$88/1000),"")</f>
        <v/>
      </c>
      <c r="C10" s="32" t="n"/>
      <c r="D10" s="32" t="n"/>
      <c r="E10" s="33" t="inlineStr">
        <is>
          <t>Needs your LOC on MYSUMP to compute.</t>
        </is>
      </c>
    </row>
    <row r="11">
      <c r="A11" s="29" t="inlineStr">
        <is>
          <t>Design review / design time</t>
        </is>
      </c>
      <c r="B11" s="34">
        <f>IFERROR(SUMIFS(LOGT!$J$7:$J$206,LOGT!$D$7:$D$206,"DLDR")/SUMIFS(LOGT!$J$7:$J$206,LOGT!$D$7:$D$206,"DLD"),"")</f>
        <v/>
      </c>
      <c r="C11" s="35" t="n">
        <v>0.5</v>
      </c>
      <c r="D11" s="36">
        <f>IF($B11="","",IF($B11&gt;=$C11,"OK","LOW" ))</f>
        <v/>
      </c>
      <c r="E11" s="33" t="inlineStr">
        <is>
          <t>Time reviewing your own design against time producing it.</t>
        </is>
      </c>
    </row>
    <row r="12">
      <c r="A12" s="29" t="inlineStr">
        <is>
          <t>Code review / code time</t>
        </is>
      </c>
      <c r="B12" s="34">
        <f>IFERROR(SUMIFS(LOGT!$J$7:$J$206,LOGT!$D$7:$D$206,"CR")/(SUMIFS(LOGT!$J$7:$J$206,LOGT!$D$7:$D$206,"CODE")+SUMIFS(LOGT!$J$7:$J$206,LOGT!$D$7:$D$206,"AIGEN")),"")</f>
        <v/>
      </c>
      <c r="C12" s="35" t="n">
        <v>0.5</v>
      </c>
      <c r="D12" s="36">
        <f>IF($B12="","",IF($B12&gt;=$C12,"OK","LOW" ))</f>
        <v/>
      </c>
      <c r="E12" s="33" t="inlineStr">
        <is>
          <t>Review time against time writing and generating code.</t>
        </is>
      </c>
    </row>
    <row r="13">
      <c r="A13" s="29" t="inlineStr">
        <is>
          <t>My code review rate (LOC/hr)</t>
        </is>
      </c>
      <c r="B13" s="12">
        <f>IFERROR(MYSUMP!$C$88/(SUMIFS(LOGT!$J$7:$J$206,LOGT!$D$7:$D$206,"CR")/60),"")</f>
        <v/>
      </c>
      <c r="C13" s="37" t="n">
        <v>200</v>
      </c>
      <c r="D13" s="36">
        <f>IF($B13="","",IF($B13&lt;=$C13,"OK","ACTION"))</f>
        <v/>
      </c>
      <c r="E13" s="33" t="inlineStr">
        <is>
          <t>Above 200 and you are reading too fast to find anything.</t>
        </is>
      </c>
    </row>
    <row r="14">
      <c r="A14" s="29" t="inlineStr">
        <is>
          <t>A/FR  (appraisal / failure)</t>
        </is>
      </c>
      <c r="B14" s="34">
        <f>IFERROR((SUMIFS(LOGT!$J$7:$J$206,LOGT!$D$7:$D$206,"DLDR")+SUMIFS(LOGT!$J$7:$J$206,LOGT!$D$7:$D$206,"CR"))/(SUMIFS(LOGT!$J$7:$J$206,LOGT!$D$7:$D$206,"BUILD")+SUMIFS(LOGT!$J$7:$J$206,LOGT!$D$7:$D$206,"UT")+SUMIFS(LOGT!$J$7:$J$206,LOGT!$D$7:$D$206,"WT")),"")</f>
        <v/>
      </c>
      <c r="C14" s="35" t="n">
        <v>2</v>
      </c>
      <c r="D14" s="36">
        <f>IF($B14="","",IF($B14&gt;=$C14,"OK","LOW" ))</f>
        <v/>
      </c>
      <c r="E14" s="33" t="inlineStr">
        <is>
          <t>Time reviewing against time fixing in test. Below 2 predicts a painful system test.</t>
        </is>
      </c>
    </row>
    <row r="15">
      <c r="A15" s="29" t="inlineStr">
        <is>
          <t>% of my defects found before test</t>
        </is>
      </c>
      <c r="B15" s="24">
        <f>IFERROR(COUNTIFS(LOGD!$G$7:$G$106,"DLDR")+COUNTIFS(LOGD!$G$7:$G$106,"DLDINSP")+COUNTIFS(LOGD!$G$7:$G$106,"CR")+COUNTIFS(LOGD!$G$7:$G$106,"CODEINSP"),0)/MAX(1,COUNTA(LOGD!$B$7:$B$106))</f>
        <v/>
      </c>
      <c r="C15" s="38" t="n">
        <v>0.7</v>
      </c>
      <c r="D15" s="36">
        <f>IF($B15="","",IF($B15&gt;=$C15,"OK","LOW" ))</f>
        <v/>
      </c>
      <c r="E15" s="33" t="inlineStr">
        <is>
          <t>Caught in review rather than by the machine.</t>
        </is>
      </c>
    </row>
    <row r="16">
      <c r="A16" s="29" t="inlineStr">
        <is>
          <t>My test pass rate</t>
        </is>
      </c>
      <c r="B16" s="24">
        <f>IFERROR(COUNTIF(LOGTEST!$H$7:$H$106,"Pass")/COUNTA(LOGTEST!$H$7:$H$106),"")</f>
        <v/>
      </c>
      <c r="C16" s="38" t="n">
        <v>0.95</v>
      </c>
      <c r="D16" s="36">
        <f>IF($B16="","",IF($B16&gt;=$C16,"OK","LOW" ))</f>
        <v/>
      </c>
      <c r="E16" s="33" t="inlineStr"/>
    </row>
    <row r="17">
      <c r="A17" s="29" t="inlineStr">
        <is>
          <t>My AI keep rate</t>
        </is>
      </c>
      <c r="B17" s="24">
        <f>IFERROR(SUM(LOGAI!$H$7:$H$56)/SUM(LOGAI!$G$7:$G$56),"")</f>
        <v/>
      </c>
      <c r="C17" s="32" t="n"/>
      <c r="D17" s="32" t="n"/>
      <c r="E17" s="33" t="inlineStr">
        <is>
          <t>Lines that survived review. Low is informative, not shameful.</t>
        </is>
      </c>
    </row>
    <row r="18">
      <c r="A18" s="29" t="inlineStr">
        <is>
          <t>My AI entries with no reviewer</t>
        </is>
      </c>
      <c r="B18" s="11">
        <f>SUMPRODUCT((LOGAI!$A$7:$A$56&lt;&gt;"")*(LOGAI!$J$7:$J$56=""))</f>
        <v/>
      </c>
      <c r="C18" s="39" t="n">
        <v>0</v>
      </c>
      <c r="D18" s="36">
        <f>IF($B18="","",IF($B18&lt;=$C18,"OK","ACTION"))</f>
        <v/>
      </c>
      <c r="E18" s="33" t="inlineStr">
        <is>
          <t>Any row here breaks the review rule.</t>
        </is>
      </c>
    </row>
    <row r="19">
      <c r="A19" s="29" t="inlineStr">
        <is>
          <t>My AI entries I reviewed myself</t>
        </is>
      </c>
      <c r="B19" s="11">
        <f>SUMPRODUCT((LOGAI!$J$7:$J$56&lt;&gt;"")*(EXACT(LOGAI!$J$7:$J$56,SETUP!$C$5)*1))</f>
        <v/>
      </c>
      <c r="C19" s="39" t="n">
        <v>0</v>
      </c>
      <c r="D19" s="36">
        <f>IF($B19="","",IF($B19&lt;=$C19,"OK","ACTION"))</f>
        <v/>
      </c>
      <c r="E19" s="33" t="inlineStr">
        <is>
          <t>Self-review does not count as review.</t>
        </is>
      </c>
    </row>
  </sheetData>
  <mergeCells count="3">
    <mergeCell ref="A2:E2"/>
    <mergeCell ref="A6:E6"/>
    <mergeCell ref="A1:E1"/>
  </mergeCells>
  <conditionalFormatting sqref="D8:D19">
    <cfRule type="cellIs" priority="1" operator="equal" dxfId="4">
      <formula>"OK"</formula>
    </cfRule>
    <cfRule type="cellIs" priority="2" operator="equal" dxfId="5">
      <formula>"LOW"</formula>
    </cfRule>
    <cfRule type="cellIs" priority="3" operator="equal" dxfId="5">
      <formula>"ACTION"</formula>
    </cfRule>
  </conditionalFormatting>
  <printOptions horizontalCentered="1"/>
  <pageMargins left="0.75" right="0.75" top="1" bottom="1" header="0.5" footer="0.5"/>
  <pageSetup orientation="portrait" paperSize="9" fitToHeight="1" fitToWidth="1"/>
  <headerFooter>
    <oddHeader/>
    <oddFooter>&amp;R&amp;8 TMA3084 member workbook v3.0  -  &amp;P of &amp;N</oddFooter>
    <evenHeader/>
    <evenFooter/>
    <firstHeader/>
    <firstFooter/>
  </headerFooter>
</worksheet>
</file>

<file path=xl/worksheets/sheet11.xml><?xml version="1.0" encoding="utf-8"?>
<worksheet xmlns="http://schemas.openxmlformats.org/spreadsheetml/2006/main">
  <sheetPr>
    <tabColor rgb="00B4531A"/>
    <outlinePr summaryBelow="1" summaryRight="1"/>
    <pageSetUpPr fitToPage="1"/>
  </sheetPr>
  <dimension ref="A1:I28"/>
  <sheetViews>
    <sheetView showGridLines="0" workbookViewId="0">
      <selection activeCell="A1" sqref="A1"/>
    </sheetView>
  </sheetViews>
  <sheetFormatPr baseColWidth="8" defaultRowHeight="15"/>
  <cols>
    <col width="4" customWidth="1" min="1" max="1"/>
    <col width="15" customWidth="1" min="2" max="2"/>
    <col width="15" customWidth="1" min="3" max="3"/>
    <col width="15" customWidth="1" min="4" max="4"/>
    <col width="15" customWidth="1" min="5" max="5"/>
    <col width="13" customWidth="1" min="6" max="6"/>
    <col width="17" customWidth="1" min="7" max="7"/>
    <col width="4" customWidth="1" min="8" max="8"/>
    <col width="60" customWidth="1" min="9" max="9"/>
  </cols>
  <sheetData>
    <row r="1" ht="30" customHeight="1">
      <c r="A1" s="1" t="inlineStr">
        <is>
          <t>EXPORT  -  what to give the team each week</t>
        </is>
      </c>
    </row>
    <row r="2" ht="16" customHeight="1">
      <c r="A2" s="2" t="inlineStr">
        <is>
          <t>Copy the amber row, Paste Special &gt; Values into your row on the master's TEAM sheet, columns F to K.</t>
        </is>
      </c>
    </row>
    <row r="4">
      <c r="B4" s="7" t="inlineStr">
        <is>
          <t>Member</t>
        </is>
      </c>
      <c r="C4" s="10">
        <f>SETUP!$C$5</f>
        <v/>
      </c>
      <c r="E4" s="7" t="inlineStr">
        <is>
          <t>Matric</t>
        </is>
      </c>
      <c r="F4" s="40">
        <f>SETUP!$C$6</f>
        <v/>
      </c>
    </row>
    <row r="6" ht="19" customHeight="1">
      <c r="A6" s="5" t="inlineStr">
        <is>
          <t>Paste this row into the team master  (TEAM sheet, columns F to K)</t>
        </is>
      </c>
    </row>
    <row r="7" ht="28" customHeight="1">
      <c r="A7" s="13" t="inlineStr"/>
      <c r="B7" s="13" t="inlineStr">
        <is>
          <t>Plan tasks</t>
        </is>
      </c>
      <c r="C7" s="13" t="inlineStr">
        <is>
          <t>Plan hours</t>
        </is>
      </c>
      <c r="D7" s="13" t="inlineStr">
        <is>
          <t>Plan weeks</t>
        </is>
      </c>
      <c r="E7" s="13" t="inlineStr">
        <is>
          <t>Actual hrs</t>
        </is>
      </c>
      <c r="F7" s="13" t="inlineStr">
        <is>
          <t>Defects</t>
        </is>
      </c>
      <c r="G7" s="13" t="inlineStr">
        <is>
          <t>Consolidated on</t>
        </is>
      </c>
      <c r="H7" s="13" t="inlineStr"/>
      <c r="I7" s="13" t="inlineStr">
        <is>
          <t>What the team does with it</t>
        </is>
      </c>
    </row>
    <row r="8" ht="30" customHeight="1">
      <c r="B8" s="41">
        <f>COUNTA(MYTASK!$A$8:$A$87)</f>
        <v/>
      </c>
      <c r="C8" s="42">
        <f>SUM(MYTASK!$F$8:$F$87)</f>
        <v/>
      </c>
      <c r="D8" s="41">
        <f>COUNTIF(MYSCHEDULE!$C$8:$C$20,"&gt;0")</f>
        <v/>
      </c>
      <c r="E8" s="42">
        <f>SUM(LOGT!$J$7:$J$206)/60</f>
        <v/>
      </c>
      <c r="F8" s="41">
        <f>COUNTA(LOGD!$B$7:$B$106)</f>
        <v/>
      </c>
      <c r="G8" s="43">
        <f>TODAY()</f>
        <v/>
      </c>
    </row>
    <row r="10">
      <c r="B10" s="44" t="inlineStr">
        <is>
          <t>Plan tasks</t>
        </is>
      </c>
      <c r="C10" s="33" t="inlineStr">
        <is>
          <t>How many tasks you own this cycle.</t>
        </is>
      </c>
    </row>
    <row r="11">
      <c r="B11" s="44" t="inlineStr">
        <is>
          <t>Plan hours</t>
        </is>
      </c>
      <c r="C11" s="33" t="inlineStr">
        <is>
          <t>The hours you committed to in MYTASK.</t>
        </is>
      </c>
    </row>
    <row r="12">
      <c r="B12" s="44" t="inlineStr">
        <is>
          <t>Plan weeks</t>
        </is>
      </c>
      <c r="C12" s="33" t="inlineStr">
        <is>
          <t>Weeks you planned to work in.</t>
        </is>
      </c>
    </row>
    <row r="13">
      <c r="B13" s="44" t="inlineStr">
        <is>
          <t>Actual hrs</t>
        </is>
      </c>
      <c r="C13" s="33" t="inlineStr">
        <is>
          <t>Hours you have actually logged. The master checks this against the rows you paste into its LOGT.</t>
        </is>
      </c>
    </row>
    <row r="14">
      <c r="B14" s="44" t="inlineStr">
        <is>
          <t>Defects</t>
        </is>
      </c>
      <c r="C14" s="33" t="inlineStr">
        <is>
          <t>Defects you have recorded.</t>
        </is>
      </c>
    </row>
    <row r="15">
      <c r="B15" s="44" t="inlineStr">
        <is>
          <t>Consolidated on</t>
        </is>
      </c>
      <c r="C15" s="33" t="inlineStr">
        <is>
          <t>Stamps the date so the team can see which rows are stale.</t>
        </is>
      </c>
    </row>
    <row r="18" ht="19" customHeight="1">
      <c r="A18" s="5" t="inlineStr">
        <is>
          <t>Also paste your log rows</t>
        </is>
      </c>
    </row>
    <row r="19" ht="54" customHeight="1">
      <c r="B19" s="45" t="inlineStr">
        <is>
          <t>The six numbers above tell the team where you stand. They do not carry your actual rows, and the team's summaries and charts are built from rows, not totals. So in the same sitting, copy your new LOGT, LOGD, LOGTEST and LOGAI rows into the bottom of the matching sheets on the master, and put your name in the Member column there. If the Agrees? cell on the master's TEAM sheet goes green afterwards, you are done.</t>
        </is>
      </c>
    </row>
    <row r="21" ht="19" customHeight="1">
      <c r="A21" s="5" t="inlineStr">
        <is>
          <t>My standing, at a glance</t>
        </is>
      </c>
    </row>
    <row r="22" ht="18" customHeight="1">
      <c r="A22" s="13" t="inlineStr"/>
      <c r="B22" s="13" t="inlineStr">
        <is>
          <t>Measure</t>
        </is>
      </c>
      <c r="C22" s="13" t="inlineStr">
        <is>
          <t>Value</t>
        </is>
      </c>
      <c r="D22" s="13" t="inlineStr"/>
      <c r="E22" s="13" t="inlineStr"/>
      <c r="F22" s="13" t="inlineStr"/>
      <c r="G22" s="13" t="inlineStr"/>
      <c r="H22" s="13" t="inlineStr"/>
      <c r="I22" s="13" t="inlineStr">
        <is>
          <t>Reading</t>
        </is>
      </c>
    </row>
    <row r="23">
      <c r="B23" s="46" t="inlineStr">
        <is>
          <t>Hours logged</t>
        </is>
      </c>
      <c r="C23" s="12">
        <f>SUM(LOGT!$J$7:$J$206)/60</f>
        <v/>
      </c>
    </row>
    <row r="24">
      <c r="B24" s="46" t="inlineStr">
        <is>
          <t>Tasks complete</t>
        </is>
      </c>
      <c r="C24" s="36">
        <f>COUNTIF(MYTASK!$J$8:$J$87,"Complete")&amp;" of "&amp;COUNTA(MYTASK!$A$8:$A$87)</f>
        <v/>
      </c>
    </row>
    <row r="25">
      <c r="B25" s="46" t="inlineStr">
        <is>
          <t>Earned value</t>
        </is>
      </c>
      <c r="C25" s="24">
        <f>SUM(MYTASK!$L$8:$L$87)</f>
        <v/>
      </c>
    </row>
    <row r="26">
      <c r="B26" s="46" t="inlineStr">
        <is>
          <t>Defects found</t>
        </is>
      </c>
      <c r="C26" s="11">
        <f>COUNTA(LOGD!$B$7:$B$106)</f>
        <v/>
      </c>
    </row>
    <row r="27">
      <c r="B27" s="46" t="inlineStr">
        <is>
          <t>Tests written</t>
        </is>
      </c>
      <c r="C27" s="11">
        <f>COUNTA(LOGTEST!$B$7:$B$106)</f>
        <v/>
      </c>
    </row>
    <row r="28">
      <c r="B28" s="46" t="inlineStr">
        <is>
          <t>AI entries</t>
        </is>
      </c>
      <c r="C28" s="11">
        <f>COUNTA(LOGAI!$A$7:$A$56)</f>
        <v/>
      </c>
    </row>
  </sheetData>
  <mergeCells count="12">
    <mergeCell ref="C14:I14"/>
    <mergeCell ref="C13:I13"/>
    <mergeCell ref="A2:I2"/>
    <mergeCell ref="A1:I1"/>
    <mergeCell ref="C12:I12"/>
    <mergeCell ref="A18:I18"/>
    <mergeCell ref="B19:I19"/>
    <mergeCell ref="C10:I10"/>
    <mergeCell ref="A6:I6"/>
    <mergeCell ref="C15:I15"/>
    <mergeCell ref="C11:I11"/>
    <mergeCell ref="A21:I21"/>
  </mergeCells>
  <printOptions horizontalCentered="1"/>
  <pageMargins left="0.75" right="0.75" top="1" bottom="1" header="0.5" footer="0.5"/>
  <pageSetup orientation="landscape" paperSize="9" fitToHeight="1" fitToWidth="1"/>
  <headerFooter>
    <oddHeader/>
    <oddFooter>&amp;R&amp;8 TMA3084 member workbook v3.0  -  &amp;P of &amp;N</oddFooter>
    <evenHeader/>
    <evenFooter/>
    <firstHeader/>
    <firstFooter/>
  </headerFooter>
</worksheet>
</file>

<file path=xl/worksheets/sheet12.xml><?xml version="1.0" encoding="utf-8"?>
<worksheet xmlns="http://schemas.openxmlformats.org/spreadsheetml/2006/main">
  <sheetPr>
    <tabColor rgb="006B7A7E"/>
    <outlinePr summaryBelow="1" summaryRight="1"/>
    <pageSetUpPr fitToPage="1"/>
  </sheetPr>
  <dimension ref="A1:D31"/>
  <sheetViews>
    <sheetView showGridLines="0" workbookViewId="0">
      <selection activeCell="A1" sqref="A1"/>
    </sheetView>
  </sheetViews>
  <sheetFormatPr baseColWidth="8" defaultRowHeight="15"/>
  <cols>
    <col width="12" customWidth="1" min="1" max="1"/>
    <col width="44" customWidth="1" min="2" max="2"/>
    <col width="10" customWidth="1" min="3" max="3"/>
    <col width="52" customWidth="1" min="4" max="4"/>
  </cols>
  <sheetData>
    <row r="1" ht="30" customHeight="1">
      <c r="A1" s="1" t="inlineStr">
        <is>
          <t>Process Phase Standard</t>
        </is>
      </c>
    </row>
    <row r="2" ht="16" customHeight="1">
      <c r="A2" s="2" t="inlineStr">
        <is>
          <t>The phase codes you may use in LOGT, LOGD and MYTASK.</t>
        </is>
      </c>
    </row>
    <row r="4" ht="20" customHeight="1">
      <c r="A4" s="13" t="inlineStr">
        <is>
          <t>Code</t>
        </is>
      </c>
      <c r="B4" s="13" t="inlineStr">
        <is>
          <t>Phase</t>
        </is>
      </c>
      <c r="C4" s="13" t="inlineStr">
        <is>
          <t>Scope</t>
        </is>
      </c>
      <c r="D4" s="13" t="inlineStr">
        <is>
          <t>Size basis</t>
        </is>
      </c>
    </row>
    <row r="5">
      <c r="A5" s="47" t="inlineStr">
        <is>
          <t>MGMT</t>
        </is>
      </c>
      <c r="B5" s="29" t="inlineStr">
        <is>
          <t>Management &amp; Miscellaneous</t>
        </is>
      </c>
      <c r="C5" s="48" t="inlineStr">
        <is>
          <t>S</t>
        </is>
      </c>
      <c r="D5" s="48" t="inlineStr">
        <is>
          <t>-</t>
        </is>
      </c>
    </row>
    <row r="6">
      <c r="A6" s="47" t="inlineStr">
        <is>
          <t>STRAT</t>
        </is>
      </c>
      <c r="B6" s="29" t="inlineStr">
        <is>
          <t>Launch &amp; Strategy</t>
        </is>
      </c>
      <c r="C6" s="48" t="inlineStr">
        <is>
          <t>S</t>
        </is>
      </c>
      <c r="D6" s="48" t="inlineStr">
        <is>
          <t>-</t>
        </is>
      </c>
    </row>
    <row r="7">
      <c r="A7" s="47" t="inlineStr">
        <is>
          <t>PLAN</t>
        </is>
      </c>
      <c r="B7" s="29" t="inlineStr">
        <is>
          <t>Planning</t>
        </is>
      </c>
      <c r="C7" s="48" t="inlineStr">
        <is>
          <t>S</t>
        </is>
      </c>
      <c r="D7" s="48" t="inlineStr">
        <is>
          <t>-</t>
        </is>
      </c>
    </row>
    <row r="8">
      <c r="A8" s="47" t="inlineStr">
        <is>
          <t>REQ</t>
        </is>
      </c>
      <c r="B8" s="29" t="inlineStr">
        <is>
          <t>Requirements / SRS</t>
        </is>
      </c>
      <c r="C8" s="48" t="inlineStr">
        <is>
          <t>S</t>
        </is>
      </c>
      <c r="D8" s="48" t="inlineStr">
        <is>
          <t>Pages</t>
        </is>
      </c>
    </row>
    <row r="9">
      <c r="A9" s="47" t="inlineStr">
        <is>
          <t>STP</t>
        </is>
      </c>
      <c r="B9" s="29" t="inlineStr">
        <is>
          <t>System Test Plan</t>
        </is>
      </c>
      <c r="C9" s="48" t="inlineStr">
        <is>
          <t>S</t>
        </is>
      </c>
      <c r="D9" s="48" t="inlineStr">
        <is>
          <t>-</t>
        </is>
      </c>
    </row>
    <row r="10">
      <c r="A10" s="47" t="inlineStr">
        <is>
          <t>REQINSP</t>
        </is>
      </c>
      <c r="B10" s="29" t="inlineStr">
        <is>
          <t>Requirements Inspection</t>
        </is>
      </c>
      <c r="C10" s="48" t="inlineStr">
        <is>
          <t>S</t>
        </is>
      </c>
      <c r="D10" s="48" t="inlineStr">
        <is>
          <t>Pages</t>
        </is>
      </c>
    </row>
    <row r="11">
      <c r="A11" s="47" t="inlineStr">
        <is>
          <t>HLD</t>
        </is>
      </c>
      <c r="B11" s="29" t="inlineStr">
        <is>
          <t>High-Level Design / Architecture (SDD)</t>
        </is>
      </c>
      <c r="C11" s="48" t="inlineStr">
        <is>
          <t>S</t>
        </is>
      </c>
      <c r="D11" s="48" t="inlineStr">
        <is>
          <t>Pages</t>
        </is>
      </c>
    </row>
    <row r="12">
      <c r="A12" s="47" t="inlineStr">
        <is>
          <t>ITP</t>
        </is>
      </c>
      <c r="B12" s="29" t="inlineStr">
        <is>
          <t>Integration Test Plan</t>
        </is>
      </c>
      <c r="C12" s="48" t="inlineStr">
        <is>
          <t>S</t>
        </is>
      </c>
      <c r="D12" s="48" t="inlineStr">
        <is>
          <t>-</t>
        </is>
      </c>
    </row>
    <row r="13">
      <c r="A13" s="47" t="inlineStr">
        <is>
          <t>HLDINSP</t>
        </is>
      </c>
      <c r="B13" s="29" t="inlineStr">
        <is>
          <t>HLD Inspection</t>
        </is>
      </c>
      <c r="C13" s="48" t="inlineStr">
        <is>
          <t>S</t>
        </is>
      </c>
      <c r="D13" s="48" t="inlineStr">
        <is>
          <t>Pages</t>
        </is>
      </c>
    </row>
    <row r="14">
      <c r="A14" s="47" t="inlineStr">
        <is>
          <t>DLD</t>
        </is>
      </c>
      <c r="B14" s="29" t="inlineStr">
        <is>
          <t>Detailed Design (screens, widgets, models)</t>
        </is>
      </c>
      <c r="C14" s="48" t="inlineStr">
        <is>
          <t>P</t>
        </is>
      </c>
      <c r="D14" s="48" t="inlineStr">
        <is>
          <t>LOC</t>
        </is>
      </c>
    </row>
    <row r="15">
      <c r="A15" s="47" t="inlineStr">
        <is>
          <t>DLDR</t>
        </is>
      </c>
      <c r="B15" s="29" t="inlineStr">
        <is>
          <t>Detailed Design Review</t>
        </is>
      </c>
      <c r="C15" s="48" t="inlineStr">
        <is>
          <t>P</t>
        </is>
      </c>
      <c r="D15" s="48" t="inlineStr">
        <is>
          <t>LOC</t>
        </is>
      </c>
    </row>
    <row r="16">
      <c r="A16" s="47" t="inlineStr">
        <is>
          <t>TD</t>
        </is>
      </c>
      <c r="B16" s="29" t="inlineStr">
        <is>
          <t>Test Development</t>
        </is>
      </c>
      <c r="C16" s="48" t="inlineStr">
        <is>
          <t>P</t>
        </is>
      </c>
      <c r="D16" s="48" t="inlineStr">
        <is>
          <t>-</t>
        </is>
      </c>
    </row>
    <row r="17">
      <c r="A17" s="47" t="inlineStr">
        <is>
          <t>DLDINSP</t>
        </is>
      </c>
      <c r="B17" s="29" t="inlineStr">
        <is>
          <t>Detailed Design Inspection</t>
        </is>
      </c>
      <c r="C17" s="48" t="inlineStr">
        <is>
          <t>P</t>
        </is>
      </c>
      <c r="D17" s="48" t="inlineStr">
        <is>
          <t>LOC</t>
        </is>
      </c>
    </row>
    <row r="18">
      <c r="A18" s="47" t="inlineStr">
        <is>
          <t>CODE</t>
        </is>
      </c>
      <c r="B18" s="29" t="inlineStr">
        <is>
          <t>Code - hand-written Dart/Flutter</t>
        </is>
      </c>
      <c r="C18" s="48" t="inlineStr">
        <is>
          <t>P</t>
        </is>
      </c>
      <c r="D18" s="48" t="inlineStr">
        <is>
          <t>LOC</t>
        </is>
      </c>
    </row>
    <row r="19">
      <c r="A19" s="47" t="inlineStr">
        <is>
          <t>AIGEN</t>
        </is>
      </c>
      <c r="B19" s="29" t="inlineStr">
        <is>
          <t>Code - AI-assisted generation (Vibe)</t>
        </is>
      </c>
      <c r="C19" s="48" t="inlineStr">
        <is>
          <t>P</t>
        </is>
      </c>
      <c r="D19" s="48" t="inlineStr">
        <is>
          <t>LOC</t>
        </is>
      </c>
    </row>
    <row r="20">
      <c r="A20" s="47" t="inlineStr">
        <is>
          <t>CR</t>
        </is>
      </c>
      <c r="B20" s="29" t="inlineStr">
        <is>
          <t>Code Review / Pull-Request Review</t>
        </is>
      </c>
      <c r="C20" s="48" t="inlineStr">
        <is>
          <t>P</t>
        </is>
      </c>
      <c r="D20" s="48" t="inlineStr">
        <is>
          <t>LOC</t>
        </is>
      </c>
    </row>
    <row r="21">
      <c r="A21" s="47" t="inlineStr">
        <is>
          <t>BUILD</t>
        </is>
      </c>
      <c r="B21" s="29" t="inlineStr">
        <is>
          <t>Build &amp; Static Analysis (flutter analyze)</t>
        </is>
      </c>
      <c r="C21" s="48" t="inlineStr">
        <is>
          <t>P</t>
        </is>
      </c>
      <c r="D21" s="48" t="inlineStr">
        <is>
          <t>LOC</t>
        </is>
      </c>
    </row>
    <row r="22">
      <c r="A22" s="47" t="inlineStr">
        <is>
          <t>CODEINSP</t>
        </is>
      </c>
      <c r="B22" s="29" t="inlineStr">
        <is>
          <t>Code Inspection</t>
        </is>
      </c>
      <c r="C22" s="48" t="inlineStr">
        <is>
          <t>P</t>
        </is>
      </c>
      <c r="D22" s="48" t="inlineStr">
        <is>
          <t>LOC</t>
        </is>
      </c>
    </row>
    <row r="23">
      <c r="A23" s="47" t="inlineStr">
        <is>
          <t>UT</t>
        </is>
      </c>
      <c r="B23" s="29" t="inlineStr">
        <is>
          <t>Unit Test</t>
        </is>
      </c>
      <c r="C23" s="48" t="inlineStr">
        <is>
          <t>P</t>
        </is>
      </c>
      <c r="D23" s="48" t="inlineStr">
        <is>
          <t>LOC</t>
        </is>
      </c>
    </row>
    <row r="24">
      <c r="A24" s="47" t="inlineStr">
        <is>
          <t>WT</t>
        </is>
      </c>
      <c r="B24" s="29" t="inlineStr">
        <is>
          <t>Widget Test</t>
        </is>
      </c>
      <c r="C24" s="48" t="inlineStr">
        <is>
          <t>P</t>
        </is>
      </c>
      <c r="D24" s="48" t="inlineStr">
        <is>
          <t>LOC</t>
        </is>
      </c>
    </row>
    <row r="25">
      <c r="A25" s="47" t="inlineStr">
        <is>
          <t>IT</t>
        </is>
      </c>
      <c r="B25" s="29" t="inlineStr">
        <is>
          <t>Build &amp; Integration Test</t>
        </is>
      </c>
      <c r="C25" s="48" t="inlineStr">
        <is>
          <t>S</t>
        </is>
      </c>
      <c r="D25" s="48" t="inlineStr">
        <is>
          <t>LOC</t>
        </is>
      </c>
    </row>
    <row r="26">
      <c r="A26" s="47" t="inlineStr">
        <is>
          <t>CICD</t>
        </is>
      </c>
      <c r="B26" s="29" t="inlineStr">
        <is>
          <t>CI/CD Pipeline (GitHub Actions)</t>
        </is>
      </c>
      <c r="C26" s="48" t="inlineStr">
        <is>
          <t>S</t>
        </is>
      </c>
      <c r="D26" s="48" t="inlineStr">
        <is>
          <t>-</t>
        </is>
      </c>
    </row>
    <row r="27">
      <c r="A27" s="47" t="inlineStr">
        <is>
          <t>ST</t>
        </is>
      </c>
      <c r="B27" s="29" t="inlineStr">
        <is>
          <t>System Test</t>
        </is>
      </c>
      <c r="C27" s="48" t="inlineStr">
        <is>
          <t>S</t>
        </is>
      </c>
      <c r="D27" s="48" t="inlineStr">
        <is>
          <t>LOC</t>
        </is>
      </c>
    </row>
    <row r="28">
      <c r="A28" s="47" t="inlineStr">
        <is>
          <t>UAT</t>
        </is>
      </c>
      <c r="B28" s="29" t="inlineStr">
        <is>
          <t>Client Acceptance Test</t>
        </is>
      </c>
      <c r="C28" s="48" t="inlineStr">
        <is>
          <t>S</t>
        </is>
      </c>
      <c r="D28" s="48" t="inlineStr">
        <is>
          <t>LOC</t>
        </is>
      </c>
    </row>
    <row r="29">
      <c r="A29" s="47" t="inlineStr">
        <is>
          <t>DOC</t>
        </is>
      </c>
      <c r="B29" s="29" t="inlineStr">
        <is>
          <t>Documentation &amp; User Manual</t>
        </is>
      </c>
      <c r="C29" s="48" t="inlineStr">
        <is>
          <t>S</t>
        </is>
      </c>
      <c r="D29" s="48" t="inlineStr">
        <is>
          <t>Pages</t>
        </is>
      </c>
    </row>
    <row r="30">
      <c r="A30" s="47" t="inlineStr">
        <is>
          <t>PM</t>
        </is>
      </c>
      <c r="B30" s="29" t="inlineStr">
        <is>
          <t>Postmortem</t>
        </is>
      </c>
      <c r="C30" s="48" t="inlineStr">
        <is>
          <t>S</t>
        </is>
      </c>
      <c r="D30" s="48" t="inlineStr">
        <is>
          <t>-</t>
        </is>
      </c>
    </row>
    <row r="31">
      <c r="A31" s="47" t="inlineStr">
        <is>
          <t>PL</t>
        </is>
      </c>
      <c r="B31" s="29" t="inlineStr">
        <is>
          <t>Product Life (post-release)</t>
        </is>
      </c>
      <c r="C31" s="48" t="inlineStr">
        <is>
          <t>N</t>
        </is>
      </c>
      <c r="D31" s="48" t="inlineStr">
        <is>
          <t>LOC</t>
        </is>
      </c>
    </row>
  </sheetData>
  <mergeCells count="2">
    <mergeCell ref="A1:D1"/>
    <mergeCell ref="A2:D2"/>
  </mergeCells>
  <printOptions horizontalCentered="1"/>
  <pageMargins left="0.75" right="0.75" top="1" bottom="1" header="0.5" footer="0.5"/>
  <pageSetup orientation="landscape" paperSize="9" fitToHeight="0" fitToWidth="1"/>
  <headerFooter>
    <oddHeader/>
    <oddFooter>&amp;R&amp;8 TMA3084 member workbook v3.0  -  &amp;P of &amp;N</oddFooter>
    <evenHeader/>
    <evenFooter/>
    <firstHeader/>
    <firstFooter/>
  </headerFooter>
</worksheet>
</file>

<file path=xl/worksheets/sheet13.xml><?xml version="1.0" encoding="utf-8"?>
<worksheet xmlns="http://schemas.openxmlformats.org/spreadsheetml/2006/main">
  <sheetPr>
    <tabColor rgb="006B7A7E"/>
    <outlinePr summaryBelow="1" summaryRight="1"/>
    <pageSetUpPr fitToPage="1"/>
  </sheetPr>
  <dimension ref="A1:C19"/>
  <sheetViews>
    <sheetView showGridLines="0" workbookViewId="0">
      <selection activeCell="A1" sqref="A1"/>
    </sheetView>
  </sheetViews>
  <sheetFormatPr baseColWidth="8" defaultRowHeight="15"/>
  <cols>
    <col width="10" customWidth="1" min="1" max="1"/>
    <col width="26" customWidth="1" min="2" max="2"/>
    <col width="76" customWidth="1" min="3" max="3"/>
  </cols>
  <sheetData>
    <row r="1" ht="30" customHeight="1">
      <c r="A1" s="1" t="inlineStr">
        <is>
          <t>Defect Type Standard</t>
        </is>
      </c>
    </row>
    <row r="2" ht="16" customHeight="1">
      <c r="A2" s="2" t="inlineStr">
        <is>
          <t>The types you may choose in LOGD.</t>
        </is>
      </c>
    </row>
    <row r="4" ht="20" customHeight="1">
      <c r="A4" s="13" t="inlineStr">
        <is>
          <t>Type</t>
        </is>
      </c>
      <c r="B4" s="13" t="inlineStr">
        <is>
          <t>Name</t>
        </is>
      </c>
      <c r="C4" s="13" t="inlineStr">
        <is>
          <t>What it covers</t>
        </is>
      </c>
    </row>
    <row r="5" ht="22" customHeight="1">
      <c r="A5" s="49" t="n">
        <v>10</v>
      </c>
      <c r="B5" s="50" t="inlineStr">
        <is>
          <t>Documentation</t>
        </is>
      </c>
      <c r="C5" s="51" t="inlineStr">
        <is>
          <t>Comments, README, API docs, user manual</t>
        </is>
      </c>
    </row>
    <row r="6" ht="22" customHeight="1">
      <c r="A6" s="49" t="n">
        <v>20</v>
      </c>
      <c r="B6" s="50" t="inlineStr">
        <is>
          <t>Syntax</t>
        </is>
      </c>
      <c r="C6" s="51" t="inlineStr">
        <is>
          <t>Dart syntax, spelling, punctuation, typos</t>
        </is>
      </c>
    </row>
    <row r="7" ht="22" customHeight="1">
      <c r="A7" s="49" t="n">
        <v>30</v>
      </c>
      <c r="B7" s="50" t="inlineStr">
        <is>
          <t>Build / Package</t>
        </is>
      </c>
      <c r="C7" s="51" t="inlineStr">
        <is>
          <t>pubspec, dependency conflict, Gradle, signing, build config</t>
        </is>
      </c>
    </row>
    <row r="8" ht="22" customHeight="1">
      <c r="A8" s="49" t="n">
        <v>40</v>
      </c>
      <c r="B8" s="50" t="inlineStr">
        <is>
          <t>Assignment</t>
        </is>
      </c>
      <c r="C8" s="51" t="inlineStr">
        <is>
          <t>Declaration, duplicate names, scope, null-safety misuse</t>
        </is>
      </c>
    </row>
    <row r="9" ht="22" customHeight="1">
      <c r="A9" s="49" t="n">
        <v>50</v>
      </c>
      <c r="B9" s="50" t="inlineStr">
        <is>
          <t>Interface</t>
        </is>
      </c>
      <c r="C9" s="51" t="inlineStr">
        <is>
          <t>Procedure calls, REST/API contract, parameters, serialization</t>
        </is>
      </c>
    </row>
    <row r="10" ht="22" customHeight="1">
      <c r="A10" s="49" t="n">
        <v>60</v>
      </c>
      <c r="B10" s="50" t="inlineStr">
        <is>
          <t>Checking</t>
        </is>
      </c>
      <c r="C10" s="51" t="inlineStr">
        <is>
          <t>Error messages, input validation, inadequate checks</t>
        </is>
      </c>
    </row>
    <row r="11" ht="22" customHeight="1">
      <c r="A11" s="49" t="n">
        <v>70</v>
      </c>
      <c r="B11" s="50" t="inlineStr">
        <is>
          <t>Data</t>
        </is>
      </c>
      <c r="C11" s="51" t="inlineStr">
        <is>
          <t>Structure, content, persistence, local DB / Firestore schema</t>
        </is>
      </c>
    </row>
    <row r="12" ht="22" customHeight="1">
      <c r="A12" s="49" t="n">
        <v>80</v>
      </c>
      <c r="B12" s="50" t="inlineStr">
        <is>
          <t>Function</t>
        </is>
      </c>
      <c r="C12" s="51" t="inlineStr">
        <is>
          <t>Logic, pointers, loops, recursion, computation, business rules</t>
        </is>
      </c>
    </row>
    <row r="13" ht="22" customHeight="1">
      <c r="A13" s="49" t="n">
        <v>90</v>
      </c>
      <c r="B13" s="50" t="inlineStr">
        <is>
          <t>System</t>
        </is>
      </c>
      <c r="C13" s="51" t="inlineStr">
        <is>
          <t>Configuration, timing, memory, platform (iOS/Android) differences</t>
        </is>
      </c>
    </row>
    <row r="14" ht="22" customHeight="1">
      <c r="A14" s="49" t="n">
        <v>100</v>
      </c>
      <c r="B14" s="50" t="inlineStr">
        <is>
          <t>Environment</t>
        </is>
      </c>
      <c r="C14" s="51" t="inlineStr">
        <is>
          <t>Design, compile, test or other support system problems</t>
        </is>
      </c>
    </row>
    <row r="15" ht="22" customHeight="1">
      <c r="A15" s="49" t="n">
        <v>110</v>
      </c>
      <c r="B15" s="50" t="inlineStr">
        <is>
          <t>UI / Layout</t>
        </is>
      </c>
      <c r="C15" s="51" t="inlineStr">
        <is>
          <t>Overflow, responsiveness, theming, accessibility, Material 3 misuse</t>
        </is>
      </c>
    </row>
    <row r="16" ht="22" customHeight="1">
      <c r="A16" s="49" t="n">
        <v>120</v>
      </c>
      <c r="B16" s="50" t="inlineStr">
        <is>
          <t>State Management</t>
        </is>
      </c>
      <c r="C16" s="51" t="inlineStr">
        <is>
          <t>Provider/Riverpod/GetX misuse, rebuild storms, stale or lost state</t>
        </is>
      </c>
    </row>
    <row r="17" ht="22" customHeight="1">
      <c r="A17" s="49" t="n">
        <v>130</v>
      </c>
      <c r="B17" s="50" t="inlineStr">
        <is>
          <t>Performance</t>
        </is>
      </c>
      <c r="C17" s="51" t="inlineStr">
        <is>
          <t>Jank, frame drops, oversized images, unbounded list builds</t>
        </is>
      </c>
    </row>
    <row r="18" ht="22" customHeight="1">
      <c r="A18" s="49" t="n">
        <v>140</v>
      </c>
      <c r="B18" s="50" t="inlineStr">
        <is>
          <t>Security</t>
        </is>
      </c>
      <c r="C18" s="51" t="inlineStr">
        <is>
          <t>Hard-coded API key, missing auth check, unsafe storage, leaked PII</t>
        </is>
      </c>
    </row>
    <row r="19" ht="22" customHeight="1">
      <c r="A19" s="49" t="n">
        <v>150</v>
      </c>
      <c r="B19" s="50" t="inlineStr">
        <is>
          <t>AI-Generated</t>
        </is>
      </c>
      <c r="C19" s="51" t="inlineStr">
        <is>
          <t>Defect traced to AI-generated code that passed review unverified</t>
        </is>
      </c>
    </row>
  </sheetData>
  <mergeCells count="2">
    <mergeCell ref="A1:C1"/>
    <mergeCell ref="A2:C2"/>
  </mergeCells>
  <printOptions horizontalCentered="1"/>
  <pageMargins left="0.75" right="0.75" top="1" bottom="1" header="0.5" footer="0.5"/>
  <pageSetup orientation="portrait" paperSize="9" fitToHeight="0" fitToWidth="1"/>
  <headerFooter>
    <oddHeader/>
    <oddFooter>&amp;R&amp;8 TMA3084 member workbook v3.0  -  &amp;P of &amp;N</oddFooter>
    <evenHeader/>
    <evenFooter/>
    <firstHeader/>
    <firstFooter/>
  </headerFooter>
</worksheet>
</file>

<file path=xl/worksheets/sheet14.xml><?xml version="1.0" encoding="utf-8"?>
<worksheet xmlns="http://schemas.openxmlformats.org/spreadsheetml/2006/main">
  <sheetPr>
    <tabColor rgb="006B7A7E"/>
    <outlinePr summaryBelow="1" summaryRight="1"/>
    <pageSetUpPr fitToPage="1"/>
  </sheetPr>
  <dimension ref="A1:J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ht="30" customHeight="1">
      <c r="A1" s="1" t="inlineStr">
        <is>
          <t>Validation Lists</t>
        </is>
      </c>
    </row>
    <row r="2" ht="16" customHeight="1">
      <c r="A2" s="2" t="inlineStr">
        <is>
          <t>Source lists for the drop-downs in this workbook.</t>
        </is>
      </c>
    </row>
    <row r="4" ht="26" customHeight="1">
      <c r="A4" s="13" t="inlineStr">
        <is>
          <t>Phase</t>
        </is>
      </c>
      <c r="B4" s="13" t="inlineStr">
        <is>
          <t>Phase description</t>
        </is>
      </c>
      <c r="C4" s="13" t="inlineStr">
        <is>
          <t>Defect type</t>
        </is>
      </c>
      <c r="D4" s="13" t="inlineStr">
        <is>
          <t>Milestone</t>
        </is>
      </c>
      <c r="E4" s="13" t="inlineStr">
        <is>
          <t>Size measure</t>
        </is>
      </c>
      <c r="F4" s="13" t="inlineStr">
        <is>
          <t>AI tool</t>
        </is>
      </c>
      <c r="G4" s="13" t="inlineStr">
        <is>
          <t>Yes/No</t>
        </is>
      </c>
      <c r="H4" s="13" t="inlineStr">
        <is>
          <t>Status</t>
        </is>
      </c>
      <c r="I4" s="13" t="inlineStr">
        <is>
          <t>Test type</t>
        </is>
      </c>
      <c r="J4" s="13" t="inlineStr">
        <is>
          <t>Severity</t>
        </is>
      </c>
    </row>
    <row r="5">
      <c r="A5" s="52" t="inlineStr">
        <is>
          <t>MGMT</t>
        </is>
      </c>
      <c r="B5" s="52" t="inlineStr">
        <is>
          <t>Management &amp; Miscellaneous</t>
        </is>
      </c>
      <c r="C5" s="52" t="inlineStr">
        <is>
          <t>10 - Documentation</t>
        </is>
      </c>
      <c r="D5" s="52" t="inlineStr">
        <is>
          <t>M1</t>
        </is>
      </c>
      <c r="E5" s="52" t="inlineStr">
        <is>
          <t>Dart LOC</t>
        </is>
      </c>
      <c r="F5" s="52" t="inlineStr">
        <is>
          <t>GitHub Copilot</t>
        </is>
      </c>
      <c r="G5" s="52" t="inlineStr">
        <is>
          <t>Yes</t>
        </is>
      </c>
      <c r="H5" s="52" t="inlineStr">
        <is>
          <t>Planned</t>
        </is>
      </c>
      <c r="I5" s="52" t="inlineStr">
        <is>
          <t>Unit</t>
        </is>
      </c>
      <c r="J5" s="52" t="inlineStr">
        <is>
          <t>Critical</t>
        </is>
      </c>
    </row>
    <row r="6">
      <c r="A6" s="52" t="inlineStr">
        <is>
          <t>STRAT</t>
        </is>
      </c>
      <c r="B6" s="52" t="inlineStr">
        <is>
          <t>Launch &amp; Strategy</t>
        </is>
      </c>
      <c r="C6" s="52" t="inlineStr">
        <is>
          <t>20 - Syntax</t>
        </is>
      </c>
      <c r="D6" s="52" t="inlineStr">
        <is>
          <t>M2</t>
        </is>
      </c>
      <c r="E6" s="52" t="inlineStr">
        <is>
          <t>Screens</t>
        </is>
      </c>
      <c r="F6" s="52" t="inlineStr">
        <is>
          <t>Claude</t>
        </is>
      </c>
      <c r="G6" s="52" t="inlineStr">
        <is>
          <t>No</t>
        </is>
      </c>
      <c r="H6" s="52" t="inlineStr">
        <is>
          <t>In progress</t>
        </is>
      </c>
      <c r="I6" s="52" t="inlineStr">
        <is>
          <t>Widget</t>
        </is>
      </c>
      <c r="J6" s="52" t="inlineStr">
        <is>
          <t>Major</t>
        </is>
      </c>
    </row>
    <row r="7">
      <c r="A7" s="52" t="inlineStr">
        <is>
          <t>PLAN</t>
        </is>
      </c>
      <c r="B7" s="52" t="inlineStr">
        <is>
          <t>Planning</t>
        </is>
      </c>
      <c r="C7" s="52" t="inlineStr">
        <is>
          <t>30 - Build / Package</t>
        </is>
      </c>
      <c r="D7" s="52" t="inlineStr">
        <is>
          <t>M3</t>
        </is>
      </c>
      <c r="E7" s="52" t="inlineStr">
        <is>
          <t>Widgets</t>
        </is>
      </c>
      <c r="F7" s="52" t="inlineStr">
        <is>
          <t>ChatGPT / GPT-4</t>
        </is>
      </c>
      <c r="H7" s="52" t="inlineStr">
        <is>
          <t>Complete</t>
        </is>
      </c>
      <c r="I7" s="52" t="inlineStr">
        <is>
          <t>Integration</t>
        </is>
      </c>
      <c r="J7" s="52" t="inlineStr">
        <is>
          <t>Minor</t>
        </is>
      </c>
    </row>
    <row r="8">
      <c r="A8" s="52" t="inlineStr">
        <is>
          <t>REQ</t>
        </is>
      </c>
      <c r="B8" s="52" t="inlineStr">
        <is>
          <t>Requirements / SRS</t>
        </is>
      </c>
      <c r="C8" s="52" t="inlineStr">
        <is>
          <t>40 - Assignment</t>
        </is>
      </c>
      <c r="D8" s="52" t="inlineStr">
        <is>
          <t>M4</t>
        </is>
      </c>
      <c r="E8" s="52" t="inlineStr">
        <is>
          <t>API Endpoints</t>
        </is>
      </c>
      <c r="F8" s="52" t="inlineStr">
        <is>
          <t>Google Gemini</t>
        </is>
      </c>
      <c r="H8" s="52" t="inlineStr">
        <is>
          <t>Carried over</t>
        </is>
      </c>
      <c r="I8" s="52" t="inlineStr">
        <is>
          <t>Manual</t>
        </is>
      </c>
      <c r="J8" s="52" t="inlineStr">
        <is>
          <t>Cosmetic</t>
        </is>
      </c>
    </row>
    <row r="9">
      <c r="A9" s="52" t="inlineStr">
        <is>
          <t>STP</t>
        </is>
      </c>
      <c r="B9" s="52" t="inlineStr">
        <is>
          <t>System Test Plan</t>
        </is>
      </c>
      <c r="C9" s="52" t="inlineStr">
        <is>
          <t>50 - Interface</t>
        </is>
      </c>
      <c r="E9" s="52" t="inlineStr">
        <is>
          <t>Test Cases</t>
        </is>
      </c>
      <c r="F9" s="52" t="inlineStr">
        <is>
          <t>Cursor</t>
        </is>
      </c>
      <c r="H9" s="52" t="inlineStr">
        <is>
          <t>Cancelled</t>
        </is>
      </c>
      <c r="I9" s="52" t="inlineStr">
        <is>
          <t>Acceptance</t>
        </is>
      </c>
    </row>
    <row r="10">
      <c r="A10" s="52" t="inlineStr">
        <is>
          <t>REQINSP</t>
        </is>
      </c>
      <c r="B10" s="52" t="inlineStr">
        <is>
          <t>Requirements Inspection</t>
        </is>
      </c>
      <c r="C10" s="52" t="inlineStr">
        <is>
          <t>60 - Checking</t>
        </is>
      </c>
      <c r="E10" s="52" t="inlineStr">
        <is>
          <t>SRS Pages</t>
        </is>
      </c>
      <c r="F10" s="52" t="inlineStr">
        <is>
          <t>Other</t>
        </is>
      </c>
      <c r="I10" s="52" t="inlineStr">
        <is>
          <t>Regression</t>
        </is>
      </c>
    </row>
    <row r="11">
      <c r="A11" s="52" t="inlineStr">
        <is>
          <t>HLD</t>
        </is>
      </c>
      <c r="B11" s="52" t="inlineStr">
        <is>
          <t>High-Level Design / Architecture (SDD)</t>
        </is>
      </c>
      <c r="C11" s="52" t="inlineStr">
        <is>
          <t>70 - Data</t>
        </is>
      </c>
      <c r="E11" s="52" t="inlineStr">
        <is>
          <t>SDD Pages</t>
        </is>
      </c>
      <c r="F11" s="52" t="inlineStr">
        <is>
          <t>None</t>
        </is>
      </c>
      <c r="I11" s="52" t="inlineStr">
        <is>
          <t>Performance</t>
        </is>
      </c>
    </row>
    <row r="12">
      <c r="A12" s="52" t="inlineStr">
        <is>
          <t>ITP</t>
        </is>
      </c>
      <c r="B12" s="52" t="inlineStr">
        <is>
          <t>Integration Test Plan</t>
        </is>
      </c>
      <c r="C12" s="52" t="inlineStr">
        <is>
          <t>80 - Function</t>
        </is>
      </c>
      <c r="E12" s="52" t="inlineStr">
        <is>
          <t>Documents</t>
        </is>
      </c>
      <c r="I12" s="52" t="inlineStr">
        <is>
          <t>Security</t>
        </is>
      </c>
    </row>
    <row r="13">
      <c r="A13" s="52" t="inlineStr">
        <is>
          <t>HLDINSP</t>
        </is>
      </c>
      <c r="B13" s="52" t="inlineStr">
        <is>
          <t>HLD Inspection</t>
        </is>
      </c>
      <c r="C13" s="52" t="inlineStr">
        <is>
          <t>90 - System</t>
        </is>
      </c>
    </row>
    <row r="14">
      <c r="A14" s="52" t="inlineStr">
        <is>
          <t>DLD</t>
        </is>
      </c>
      <c r="B14" s="52" t="inlineStr">
        <is>
          <t>Detailed Design (screens, widgets, models)</t>
        </is>
      </c>
      <c r="C14" s="52" t="inlineStr">
        <is>
          <t>100 - Environment</t>
        </is>
      </c>
    </row>
    <row r="15">
      <c r="A15" s="52" t="inlineStr">
        <is>
          <t>DLDR</t>
        </is>
      </c>
      <c r="B15" s="52" t="inlineStr">
        <is>
          <t>Detailed Design Review</t>
        </is>
      </c>
      <c r="C15" s="52" t="inlineStr">
        <is>
          <t>110 - UI / Layout</t>
        </is>
      </c>
    </row>
    <row r="16">
      <c r="A16" s="52" t="inlineStr">
        <is>
          <t>TD</t>
        </is>
      </c>
      <c r="B16" s="52" t="inlineStr">
        <is>
          <t>Test Development</t>
        </is>
      </c>
      <c r="C16" s="52" t="inlineStr">
        <is>
          <t>120 - State Management</t>
        </is>
      </c>
    </row>
    <row r="17">
      <c r="A17" s="52" t="inlineStr">
        <is>
          <t>DLDINSP</t>
        </is>
      </c>
      <c r="B17" s="52" t="inlineStr">
        <is>
          <t>Detailed Design Inspection</t>
        </is>
      </c>
      <c r="C17" s="52" t="inlineStr">
        <is>
          <t>130 - Performance</t>
        </is>
      </c>
    </row>
    <row r="18">
      <c r="A18" s="52" t="inlineStr">
        <is>
          <t>CODE</t>
        </is>
      </c>
      <c r="B18" s="52" t="inlineStr">
        <is>
          <t>Code - hand-written Dart/Flutter</t>
        </is>
      </c>
      <c r="C18" s="52" t="inlineStr">
        <is>
          <t>140 - Security</t>
        </is>
      </c>
    </row>
    <row r="19">
      <c r="A19" s="52" t="inlineStr">
        <is>
          <t>AIGEN</t>
        </is>
      </c>
      <c r="B19" s="52" t="inlineStr">
        <is>
          <t>Code - AI-assisted generation (Vibe)</t>
        </is>
      </c>
      <c r="C19" s="52" t="inlineStr">
        <is>
          <t>150 - AI-Generated</t>
        </is>
      </c>
    </row>
    <row r="20">
      <c r="A20" s="52" t="inlineStr">
        <is>
          <t>CR</t>
        </is>
      </c>
      <c r="B20" s="52" t="inlineStr">
        <is>
          <t>Code Review / Pull-Request Review</t>
        </is>
      </c>
    </row>
    <row r="21">
      <c r="A21" s="52" t="inlineStr">
        <is>
          <t>BUILD</t>
        </is>
      </c>
      <c r="B21" s="52" t="inlineStr">
        <is>
          <t>Build &amp; Static Analysis (flutter analyze)</t>
        </is>
      </c>
    </row>
    <row r="22">
      <c r="A22" s="52" t="inlineStr">
        <is>
          <t>CODEINSP</t>
        </is>
      </c>
      <c r="B22" s="52" t="inlineStr">
        <is>
          <t>Code Inspection</t>
        </is>
      </c>
    </row>
    <row r="23">
      <c r="A23" s="52" t="inlineStr">
        <is>
          <t>UT</t>
        </is>
      </c>
      <c r="B23" s="52" t="inlineStr">
        <is>
          <t>Unit Test</t>
        </is>
      </c>
    </row>
    <row r="24">
      <c r="A24" s="52" t="inlineStr">
        <is>
          <t>WT</t>
        </is>
      </c>
      <c r="B24" s="52" t="inlineStr">
        <is>
          <t>Widget Test</t>
        </is>
      </c>
    </row>
    <row r="25">
      <c r="A25" s="52" t="inlineStr">
        <is>
          <t>IT</t>
        </is>
      </c>
      <c r="B25" s="52" t="inlineStr">
        <is>
          <t>Build &amp; Integration Test</t>
        </is>
      </c>
    </row>
    <row r="26">
      <c r="A26" s="52" t="inlineStr">
        <is>
          <t>CICD</t>
        </is>
      </c>
      <c r="B26" s="52" t="inlineStr">
        <is>
          <t>CI/CD Pipeline (GitHub Actions)</t>
        </is>
      </c>
    </row>
    <row r="27">
      <c r="A27" s="52" t="inlineStr">
        <is>
          <t>ST</t>
        </is>
      </c>
      <c r="B27" s="52" t="inlineStr">
        <is>
          <t>System Test</t>
        </is>
      </c>
    </row>
    <row r="28">
      <c r="A28" s="52" t="inlineStr">
        <is>
          <t>UAT</t>
        </is>
      </c>
      <c r="B28" s="52" t="inlineStr">
        <is>
          <t>Client Acceptance Test</t>
        </is>
      </c>
    </row>
    <row r="29">
      <c r="A29" s="52" t="inlineStr">
        <is>
          <t>DOC</t>
        </is>
      </c>
      <c r="B29" s="52" t="inlineStr">
        <is>
          <t>Documentation &amp; User Manual</t>
        </is>
      </c>
    </row>
    <row r="30">
      <c r="A30" s="52" t="inlineStr">
        <is>
          <t>PM</t>
        </is>
      </c>
      <c r="B30" s="52" t="inlineStr">
        <is>
          <t>Postmortem</t>
        </is>
      </c>
    </row>
    <row r="31">
      <c r="A31" s="52" t="inlineStr">
        <is>
          <t>PL</t>
        </is>
      </c>
      <c r="B31" s="52" t="inlineStr">
        <is>
          <t>Product Life (post-release)</t>
        </is>
      </c>
    </row>
  </sheetData>
  <mergeCells count="2">
    <mergeCell ref="A1:J1"/>
    <mergeCell ref="A2:J2"/>
  </mergeCells>
  <printOptions horizontalCentered="1"/>
  <pageMargins left="0.75" right="0.75" top="1" bottom="1" header="0.5" footer="0.5"/>
  <pageSetup orientation="portrait" paperSize="9" fitToHeight="0" fitToWidth="1"/>
  <headerFooter>
    <oddHeader/>
    <oddFooter>&amp;R&amp;8 TMA3084 member workbook v3.0  -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Ts. Nurfauza Jali, FCSIT UNIMAS</dc:creator>
  <dc:title xmlns:dc="http://purl.org/dc/elements/1.1/">TMA3084 TSPi Member Workbook v3.0</dc:title>
  <dcterms:created xmlns:dcterms="http://purl.org/dc/terms/" xmlns:xsi="http://www.w3.org/2001/XMLSchema-instance" xsi:type="dcterms:W3CDTF">2026-10-30T04:17:02Z</dcterms:created>
  <dcterms:modified xmlns:dcterms="http://purl.org/dc/terms/" xmlns:xsi="http://www.w3.org/2001/XMLSchema-instance" xsi:type="dcterms:W3CDTF">2026-10-30T04:17:03Z</dcterms:modified>
</cp:coreProperties>
</file>