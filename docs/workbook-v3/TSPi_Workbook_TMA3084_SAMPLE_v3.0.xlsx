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comments/comment7.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comment8.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drawings/drawing2.xml" ContentType="application/vnd.openxmlformats-officedocument.drawing+xml"/>
  <Override PartName="/xl/comments/comment9.xml" ContentType="application/vnd.openxmlformats-officedocument.spreadsheetml.comments+xml"/>
  <Override PartName="/xl/worksheets/sheet27.xml" ContentType="application/vnd.openxmlformats-officedocument.spreadsheetml.worksheet+xml"/>
  <Override PartName="/xl/comments/comment10.xml" ContentType="application/vnd.openxmlformats-officedocument.spreadsheetml.comments+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NUAL" sheetId="2" state="visible" r:id="rId2"/>
    <sheet xmlns:r="http://schemas.openxmlformats.org/officeDocument/2006/relationships" name="INDEX" sheetId="3" state="visible" r:id="rId3"/>
    <sheet xmlns:r="http://schemas.openxmlformats.org/officeDocument/2006/relationships" name="PROJECT" sheetId="4" state="visible" r:id="rId4"/>
    <sheet xmlns:r="http://schemas.openxmlformats.org/officeDocument/2006/relationships" name="SETUP" sheetId="5" state="visible" r:id="rId5"/>
    <sheet xmlns:r="http://schemas.openxmlformats.org/officeDocument/2006/relationships" name="FORM-SI" sheetId="6" state="visible" r:id="rId6"/>
    <sheet xmlns:r="http://schemas.openxmlformats.org/officeDocument/2006/relationships" name="ROLES" sheetId="7" state="visible" r:id="rId7"/>
    <sheet xmlns:r="http://schemas.openxmlformats.org/officeDocument/2006/relationships" name="GOALS" sheetId="8" state="visible" r:id="rId8"/>
    <sheet xmlns:r="http://schemas.openxmlformats.org/officeDocument/2006/relationships" name="STRAT" sheetId="9" state="visible" r:id="rId9"/>
    <sheet xmlns:r="http://schemas.openxmlformats.org/officeDocument/2006/relationships" name="TASK" sheetId="10" state="visible" r:id="rId10"/>
    <sheet xmlns:r="http://schemas.openxmlformats.org/officeDocument/2006/relationships" name="SCHEDULE" sheetId="11" state="visible" r:id="rId11"/>
    <sheet xmlns:r="http://schemas.openxmlformats.org/officeDocument/2006/relationships" name="LOGT" sheetId="12" state="visible" r:id="rId12"/>
    <sheet xmlns:r="http://schemas.openxmlformats.org/officeDocument/2006/relationships" name="LOGD" sheetId="13" state="visible" r:id="rId13"/>
    <sheet xmlns:r="http://schemas.openxmlformats.org/officeDocument/2006/relationships" name="LOGTEST" sheetId="14" state="visible" r:id="rId14"/>
    <sheet xmlns:r="http://schemas.openxmlformats.org/officeDocument/2006/relationships" name="LOGAI" sheetId="15" state="visible" r:id="rId15"/>
    <sheet xmlns:r="http://schemas.openxmlformats.org/officeDocument/2006/relationships" name="LOGCLIENT" sheetId="16" state="visible" r:id="rId16"/>
    <sheet xmlns:r="http://schemas.openxmlformats.org/officeDocument/2006/relationships" name="LOGGIT" sheetId="17" state="visible" r:id="rId17"/>
    <sheet xmlns:r="http://schemas.openxmlformats.org/officeDocument/2006/relationships" name="WEEK" sheetId="18" state="visible" r:id="rId18"/>
    <sheet xmlns:r="http://schemas.openxmlformats.org/officeDocument/2006/relationships" name="IRTL" sheetId="19" state="visible" r:id="rId19"/>
    <sheet xmlns:r="http://schemas.openxmlformats.org/officeDocument/2006/relationships" name="IRWEEK" sheetId="20" state="visible" r:id="rId20"/>
    <sheet xmlns:r="http://schemas.openxmlformats.org/officeDocument/2006/relationships" name="RISK" sheetId="21" state="visible" r:id="rId21"/>
    <sheet xmlns:r="http://schemas.openxmlformats.org/officeDocument/2006/relationships" name="CCR" sheetId="22" state="visible" r:id="rId22"/>
    <sheet xmlns:r="http://schemas.openxmlformats.org/officeDocument/2006/relationships" name="SUMS" sheetId="23" state="visible" r:id="rId23"/>
    <sheet xmlns:r="http://schemas.openxmlformats.org/officeDocument/2006/relationships" name="SUMP" sheetId="24" state="visible" r:id="rId24"/>
    <sheet xmlns:r="http://schemas.openxmlformats.org/officeDocument/2006/relationships" name="SUMQ" sheetId="25" state="visible" r:id="rId25"/>
    <sheet xmlns:r="http://schemas.openxmlformats.org/officeDocument/2006/relationships" name="CHARTS" sheetId="26" state="visible" r:id="rId26"/>
    <sheet xmlns:r="http://schemas.openxmlformats.org/officeDocument/2006/relationships" name="PEER" sheetId="27" state="visible" r:id="rId27"/>
    <sheet xmlns:r="http://schemas.openxmlformats.org/officeDocument/2006/relationships" name="TEAMEVAL" sheetId="28" state="visible" r:id="rId28"/>
    <sheet xmlns:r="http://schemas.openxmlformats.org/officeDocument/2006/relationships" name="ASSESS" sheetId="29" state="visible" r:id="rId29"/>
    <sheet xmlns:r="http://schemas.openxmlformats.org/officeDocument/2006/relationships" name="DASHBOARD" sheetId="30" state="visible" r:id="rId30"/>
    <sheet xmlns:r="http://schemas.openxmlformats.org/officeDocument/2006/relationships" name="PHASES" sheetId="31" state="visible" r:id="rId31"/>
    <sheet xmlns:r="http://schemas.openxmlformats.org/officeDocument/2006/relationships" name="DEFECTTYPES" sheetId="32" state="visible" r:id="rId32"/>
    <sheet xmlns:r="http://schemas.openxmlformats.org/officeDocument/2006/relationships" name="PLANGUIDE" sheetId="33" state="visible" r:id="rId33"/>
    <sheet xmlns:r="http://schemas.openxmlformats.org/officeDocument/2006/relationships" name="QUALGUIDE" sheetId="34" state="visible" r:id="rId34"/>
    <sheet xmlns:r="http://schemas.openxmlformats.org/officeDocument/2006/relationships" name="QPROFPARAM" sheetId="35" state="visible" r:id="rId35"/>
    <sheet xmlns:r="http://schemas.openxmlformats.org/officeDocument/2006/relationships" name="CHARTDATA" sheetId="36" state="visible" r:id="rId36"/>
    <sheet xmlns:r="http://schemas.openxmlformats.org/officeDocument/2006/relationships" name="LISTS" sheetId="37" state="visible" r:id="rId37"/>
  </sheets>
  <definedNames>
    <definedName name="_xlnm.Print_Titles" localSheetId="9">'TASK'!$1:$7</definedName>
    <definedName name="_xlnm.Print_Titles" localSheetId="10">'SCHEDULE'!$1:$7</definedName>
    <definedName name="_xlnm.Print_Titles" localSheetId="11">'LOGT'!$1:$6</definedName>
    <definedName name="_xlnm.Print_Titles" localSheetId="12">'LOGD'!$1:$6</definedName>
    <definedName name="_xlnm.Print_Titles" localSheetId="13">'LOGTEST'!$1:$6</definedName>
    <definedName name="_xlnm.Print_Titles" localSheetId="14">'LOGAI'!$1:$6</definedName>
    <definedName name="_xlnm.Print_Titles" localSheetId="15">'LOGCLIENT'!$1:$6</definedName>
    <definedName name="_xlnm.Print_Titles" localSheetId="16">'LOGGIT'!$1:$6</definedName>
    <definedName name="_xlnm.Print_Titles" localSheetId="17">'WEEK'!$1:$7</definedName>
    <definedName name="_xlnm.Print_Titles" localSheetId="18">'IRTL'!$1:$6</definedName>
    <definedName name="_xlnm.Print_Titles" localSheetId="21">'CCR'!$1:$6</definedName>
    <definedName name="_xlnm.Print_Titles" localSheetId="22">'SUMS'!$1:$7</definedName>
    <definedName name="_xlnm.Print_Titles" localSheetId="23">'SUMP'!$1:$5</definedName>
    <definedName name="_xlnm.Print_Titles" localSheetId="24">'SUMQ'!$1:$5</definedName>
    <definedName name="_xlnm.Print_Titles" localSheetId="26">'PEER'!$1:$7</definedName>
  </definedNames>
  <calcPr calcId="124519" fullCalcOnLoad="1"/>
</workbook>
</file>

<file path=xl/styles.xml><?xml version="1.0" encoding="utf-8"?>
<styleSheet xmlns="http://schemas.openxmlformats.org/spreadsheetml/2006/main">
  <numFmts count="5">
    <numFmt numFmtId="164" formatCode="dd-mmm-yyyy"/>
    <numFmt numFmtId="165" formatCode="0.0"/>
    <numFmt numFmtId="166" formatCode="0.0%"/>
    <numFmt numFmtId="167" formatCode="dd-mmm-yy"/>
    <numFmt numFmtId="168" formatCode="hh:mm"/>
  </numFmts>
  <fonts count="26">
    <font>
      <name val="Calibri"/>
      <family val="2"/>
      <color theme="1"/>
      <sz val="11"/>
      <scheme val="minor"/>
    </font>
    <font>
      <name val="Calibri"/>
      <b val="1"/>
      <color rgb="00FFFFFF"/>
      <sz val="15"/>
    </font>
    <font>
      <name val="Calibri"/>
      <i val="1"/>
      <color rgb="00FFFFFF"/>
      <sz val="9"/>
    </font>
    <font>
      <name val="Calibri"/>
      <b val="1"/>
      <color rgb="00FFFFFF"/>
      <sz val="9"/>
    </font>
    <font>
      <name val="Calibri"/>
      <color rgb="001A1A1A"/>
      <sz val="9"/>
    </font>
    <font>
      <name val="Calibri"/>
      <b val="1"/>
      <color rgb="0014505C"/>
      <sz val="10"/>
    </font>
    <font>
      <name val="Calibri"/>
      <color rgb="001A1A1A"/>
      <sz val="9.5"/>
    </font>
    <font>
      <name val="Calibri"/>
      <b val="1"/>
      <color rgb="00FFFFFF"/>
      <sz val="10"/>
    </font>
    <font>
      <name val="Calibri"/>
      <b val="1"/>
      <color rgb="001A1A1A"/>
      <sz val="9"/>
    </font>
    <font>
      <name val="Calibri"/>
      <color rgb="001A1A1A"/>
      <sz val="8.5"/>
    </font>
    <font>
      <name val="Calibri"/>
      <color rgb="006B7A7E"/>
      <sz val="8.5"/>
    </font>
    <font>
      <name val="Calibri"/>
      <color rgb="00333333"/>
      <sz val="9"/>
    </font>
    <font>
      <name val="Calibri"/>
      <b val="1"/>
      <color rgb="00333333"/>
      <sz val="9"/>
    </font>
    <font>
      <name val="Calibri"/>
      <b val="1"/>
      <color rgb="0014505C"/>
      <sz val="9"/>
    </font>
    <font>
      <name val="Calibri"/>
      <b val="1"/>
      <color rgb="00B4531A"/>
      <sz val="8.5"/>
    </font>
    <font>
      <name val="Calibri"/>
      <color rgb="006B7A7E"/>
      <sz val="8"/>
    </font>
    <font>
      <name val="Calibri"/>
      <b val="1"/>
      <color rgb="00FFFFFF"/>
      <sz val="8.5"/>
    </font>
    <font>
      <name val="Calibri"/>
      <b val="1"/>
      <color rgb="001A1A1A"/>
      <sz val="8.5"/>
    </font>
    <font>
      <name val="Calibri"/>
      <b val="1"/>
      <color rgb="0014505C"/>
      <sz val="8.5"/>
    </font>
    <font>
      <name val="Calibri"/>
      <color rgb="006B7A7E"/>
      <sz val="9"/>
    </font>
    <font>
      <name val="Calibri"/>
      <b val="1"/>
      <color rgb="000B6E8C"/>
      <sz val="9"/>
    </font>
    <font>
      <name val="Calibri"/>
      <color rgb="000B3139"/>
      <sz val="9.5"/>
    </font>
    <font>
      <name val="Calibri"/>
      <b val="1"/>
      <color rgb="000B3139"/>
      <sz val="12"/>
    </font>
    <font>
      <name val="Calibri"/>
      <b val="1"/>
      <color rgb="000B3139"/>
      <sz val="10"/>
    </font>
    <font>
      <name val="Calibri"/>
      <b val="1"/>
      <color rgb="000B6E8C"/>
      <sz val="10"/>
    </font>
    <font>
      <name val="Calibri"/>
      <b val="1"/>
      <color rgb="008A2B10"/>
      <sz val="9.5"/>
    </font>
  </fonts>
  <fills count="11">
    <fill>
      <patternFill/>
    </fill>
    <fill>
      <patternFill patternType="gray125"/>
    </fill>
    <fill>
      <patternFill patternType="solid">
        <fgColor rgb="0014505C"/>
      </patternFill>
    </fill>
    <fill>
      <patternFill patternType="solid">
        <fgColor rgb="000B3139"/>
      </patternFill>
    </fill>
    <fill>
      <patternFill patternType="solid">
        <fgColor rgb="00B4531A"/>
      </patternFill>
    </fill>
    <fill>
      <patternFill patternType="solid">
        <fgColor rgb="00FFF8E1"/>
      </patternFill>
    </fill>
    <fill>
      <patternFill patternType="solid">
        <fgColor rgb="00EDEDED"/>
      </patternFill>
    </fill>
    <fill>
      <patternFill patternType="solid">
        <fgColor rgb="00E6EFF1"/>
      </patternFill>
    </fill>
    <fill>
      <patternFill patternType="solid">
        <fgColor rgb="00F4F8F9"/>
      </patternFill>
    </fill>
    <fill>
      <patternFill patternType="solid">
        <fgColor rgb="00FDE9CF"/>
      </patternFill>
    </fill>
    <fill>
      <patternFill patternType="solid">
        <fgColor rgb="00FFFFFF"/>
      </patternFill>
    </fill>
  </fills>
  <borders count="6">
    <border>
      <left/>
      <right/>
      <top/>
      <bottom/>
      <diagonal/>
    </border>
    <border>
      <left style="thin">
        <color rgb="00BFC9CC"/>
      </left>
      <right style="thin">
        <color rgb="00BFC9CC"/>
      </right>
      <top style="thin">
        <color rgb="00BFC9CC"/>
      </top>
      <bottom style="thin">
        <color rgb="00BFC9CC"/>
      </bottom>
    </border>
    <border>
      <left/>
      <right/>
      <top style="thin">
        <color rgb="00BFC9CC"/>
      </top>
      <bottom/>
      <diagonal/>
    </border>
    <border>
      <left/>
      <right style="thin">
        <color rgb="00BFC9CC"/>
      </right>
      <top style="thin">
        <color rgb="00BFC9CC"/>
      </top>
      <bottom/>
      <diagonal/>
    </border>
    <border>
      <left/>
      <right/>
      <top style="thin">
        <color rgb="00BFC9CC"/>
      </top>
      <bottom style="thin">
        <color rgb="00BFC9CC"/>
      </bottom>
      <diagonal/>
    </border>
    <border>
      <left/>
      <right style="thin">
        <color rgb="00BFC9CC"/>
      </right>
      <top style="thin">
        <color rgb="00BFC9CC"/>
      </top>
      <bottom style="thin">
        <color rgb="00BFC9CC"/>
      </bottom>
      <diagonal/>
    </border>
  </borders>
  <cellStyleXfs count="1">
    <xf numFmtId="0" fontId="0" fillId="0" borderId="0"/>
  </cellStyleXfs>
  <cellXfs count="143">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5" fillId="0" borderId="0" applyAlignment="1" pivotButton="0" quotePrefix="0" xfId="0">
      <alignment horizontal="left" vertical="top"/>
    </xf>
    <xf numFmtId="0" fontId="6" fillId="0" borderId="0" applyAlignment="1" pivotButton="0" quotePrefix="0" xfId="0">
      <alignment horizontal="left" vertical="top" wrapText="1"/>
    </xf>
    <xf numFmtId="0" fontId="7" fillId="4" borderId="0" applyAlignment="1" pivotButton="0" quotePrefix="0" xfId="0">
      <alignment horizontal="left" vertical="center" indent="1"/>
    </xf>
    <xf numFmtId="0" fontId="3" fillId="2" borderId="1" applyAlignment="1" pivotButton="0" quotePrefix="0" xfId="0">
      <alignment horizontal="center" vertical="center" wrapText="1"/>
    </xf>
    <xf numFmtId="0" fontId="8" fillId="0" borderId="1" pivotButton="0" quotePrefix="0" xfId="0"/>
    <xf numFmtId="0" fontId="4" fillId="0" borderId="1" applyAlignment="1" pivotButton="0" quotePrefix="0" xfId="0">
      <alignment horizontal="left" vertical="top" wrapText="1"/>
    </xf>
    <xf numFmtId="0" fontId="3" fillId="2" borderId="1" applyAlignment="1" pivotButton="0" quotePrefix="0" xfId="0">
      <alignment horizontal="center" vertical="center"/>
    </xf>
    <xf numFmtId="0" fontId="0" fillId="0" borderId="4" pivotButton="0" quotePrefix="0" xfId="0"/>
    <xf numFmtId="0" fontId="0" fillId="0" borderId="5" pivotButton="0" quotePrefix="0" xfId="0"/>
    <xf numFmtId="0" fontId="0" fillId="0" borderId="1" pivotButton="0" quotePrefix="0" xfId="0"/>
    <xf numFmtId="0" fontId="8" fillId="8" borderId="1" applyAlignment="1" pivotButton="0" quotePrefix="0" xfId="0">
      <alignment horizontal="left" vertical="center"/>
    </xf>
    <xf numFmtId="0" fontId="7" fillId="3" borderId="1" applyAlignment="1" pivotButton="0" quotePrefix="0" xfId="0">
      <alignment horizontal="center" vertical="center"/>
    </xf>
    <xf numFmtId="0" fontId="8" fillId="8" borderId="1" applyAlignment="1" pivotButton="0" quotePrefix="0" xfId="0">
      <alignment horizontal="left" vertical="top" wrapText="1"/>
    </xf>
    <xf numFmtId="0" fontId="20" fillId="0" borderId="1" applyAlignment="1" pivotButton="0" quotePrefix="0" xfId="0">
      <alignment horizontal="center" vertical="center"/>
    </xf>
    <xf numFmtId="0" fontId="10" fillId="0" borderId="1" applyAlignment="1" pivotButton="0" quotePrefix="0" xfId="0">
      <alignment horizontal="left" vertical="center" wrapText="1"/>
    </xf>
    <xf numFmtId="0" fontId="20" fillId="8" borderId="1" applyAlignment="1" pivotButton="0" quotePrefix="0" xfId="0">
      <alignment horizontal="left" vertical="center" indent="1"/>
    </xf>
    <xf numFmtId="0" fontId="21" fillId="7" borderId="0" applyAlignment="1" pivotButton="0" quotePrefix="0" xfId="0">
      <alignment horizontal="left" vertical="top" wrapText="1"/>
    </xf>
    <xf numFmtId="0" fontId="24" fillId="0" borderId="1" applyAlignment="1" pivotButton="0" quotePrefix="0" xfId="0">
      <alignment horizontal="left" vertical="center" indent="1"/>
    </xf>
    <xf numFmtId="0" fontId="4" fillId="0" borderId="1" applyAlignment="1" pivotButton="0" quotePrefix="0" xfId="0">
      <alignment horizontal="left" vertical="center" wrapText="1"/>
    </xf>
    <xf numFmtId="0" fontId="19" fillId="0" borderId="1" applyAlignment="1" pivotButton="0" quotePrefix="0" xfId="0">
      <alignment horizontal="left" vertical="center"/>
    </xf>
    <xf numFmtId="0" fontId="8" fillId="0" borderId="0" applyAlignment="1" pivotButton="0" quotePrefix="0" xfId="0">
      <alignment horizontal="left" vertical="center"/>
    </xf>
    <xf numFmtId="0" fontId="11" fillId="6" borderId="1" applyAlignment="1" pivotButton="0" quotePrefix="0" xfId="0">
      <alignment horizontal="left" vertical="center"/>
    </xf>
    <xf numFmtId="164" fontId="11" fillId="6" borderId="1" applyAlignment="1" pivotButton="0" quotePrefix="0" xfId="0">
      <alignment horizontal="center" vertical="center"/>
    </xf>
    <xf numFmtId="1" fontId="11" fillId="6" borderId="1" applyAlignment="1" pivotButton="0" quotePrefix="0" xfId="0">
      <alignment horizontal="center" vertical="center"/>
    </xf>
    <xf numFmtId="0" fontId="16" fillId="2" borderId="1" applyAlignment="1" pivotButton="0" quotePrefix="0" xfId="0">
      <alignment horizontal="center" vertical="center" wrapText="1"/>
    </xf>
    <xf numFmtId="165" fontId="22" fillId="6" borderId="1" applyAlignment="1" pivotButton="0" quotePrefix="0" xfId="0">
      <alignment horizontal="center" vertical="center"/>
    </xf>
    <xf numFmtId="166" fontId="22" fillId="6" borderId="1" applyAlignment="1" pivotButton="0" quotePrefix="0" xfId="0">
      <alignment horizontal="center" vertical="center"/>
    </xf>
    <xf numFmtId="3" fontId="22" fillId="6" borderId="1" applyAlignment="1" pivotButton="0" quotePrefix="0" xfId="0">
      <alignment horizontal="center" vertical="center"/>
    </xf>
    <xf numFmtId="1" fontId="22" fillId="6" borderId="1" applyAlignment="1" pivotButton="0" quotePrefix="0" xfId="0">
      <alignment horizontal="center" vertical="center"/>
    </xf>
    <xf numFmtId="2" fontId="22" fillId="6" borderId="1" applyAlignment="1" pivotButton="0" quotePrefix="0" xfId="0">
      <alignment horizontal="center" vertical="center"/>
    </xf>
    <xf numFmtId="0" fontId="23" fillId="7" borderId="0" applyAlignment="1" pivotButton="0" quotePrefix="0" xfId="0">
      <alignment horizontal="left" vertical="center" wrapText="1" indent="1"/>
    </xf>
    <xf numFmtId="0" fontId="4" fillId="5" borderId="1" applyAlignment="1" pivotButton="0" quotePrefix="0" xfId="0">
      <alignment horizontal="left" vertical="center"/>
    </xf>
    <xf numFmtId="1" fontId="4" fillId="5" borderId="1" applyAlignment="1" pivotButton="0" quotePrefix="0" xfId="0">
      <alignment horizontal="left" vertical="center"/>
    </xf>
    <xf numFmtId="0" fontId="8" fillId="6" borderId="1" pivotButton="0" quotePrefix="0" xfId="0"/>
    <xf numFmtId="0" fontId="4" fillId="6" borderId="1" pivotButton="0" quotePrefix="0" xfId="0"/>
    <xf numFmtId="0" fontId="4" fillId="6" borderId="1" applyAlignment="1" pivotButton="0" quotePrefix="0" xfId="0">
      <alignment horizontal="center" vertical="center"/>
    </xf>
    <xf numFmtId="167" fontId="0" fillId="6" borderId="1" applyAlignment="1" pivotButton="0" quotePrefix="0" xfId="0">
      <alignment horizontal="center" vertical="center"/>
    </xf>
    <xf numFmtId="9" fontId="0" fillId="6" borderId="1" applyAlignment="1" pivotButton="0" quotePrefix="0" xfId="0">
      <alignment horizontal="center" vertical="center"/>
    </xf>
    <xf numFmtId="0" fontId="4" fillId="5" borderId="1" applyAlignment="1" pivotButton="0" quotePrefix="0" xfId="0">
      <alignment horizontal="center" vertical="center"/>
    </xf>
    <xf numFmtId="0" fontId="9" fillId="6" borderId="1" applyAlignment="1" pivotButton="0" quotePrefix="0" xfId="0">
      <alignment horizontal="left" vertical="top" wrapText="1"/>
    </xf>
    <xf numFmtId="0" fontId="4" fillId="0" borderId="1" pivotButton="0" quotePrefix="0" xfId="0"/>
    <xf numFmtId="1" fontId="4" fillId="5" borderId="1" applyAlignment="1" pivotButton="0" quotePrefix="0" xfId="0">
      <alignment horizontal="center" vertical="center"/>
    </xf>
    <xf numFmtId="0" fontId="10" fillId="0" borderId="0" applyAlignment="1" pivotButton="0" quotePrefix="0" xfId="0">
      <alignment horizontal="left" vertical="center"/>
    </xf>
    <xf numFmtId="9" fontId="4" fillId="5" borderId="1" applyAlignment="1" pivotButton="0" quotePrefix="0" xfId="0">
      <alignment horizontal="center" vertical="center"/>
    </xf>
    <xf numFmtId="9" fontId="0" fillId="0" borderId="0" pivotButton="0" quotePrefix="0" xfId="0"/>
    <xf numFmtId="0" fontId="8" fillId="0" borderId="1" applyAlignment="1" pivotButton="0" quotePrefix="0" xfId="0">
      <alignment horizontal="center" vertical="center"/>
    </xf>
    <xf numFmtId="165" fontId="11" fillId="6" borderId="1" applyAlignment="1" pivotButton="0" quotePrefix="0" xfId="0">
      <alignment horizontal="right" vertical="center"/>
    </xf>
    <xf numFmtId="166" fontId="11" fillId="6" borderId="1" applyAlignment="1" pivotButton="0" quotePrefix="0" xfId="0">
      <alignment horizontal="right" vertical="center"/>
    </xf>
    <xf numFmtId="0" fontId="11" fillId="6" borderId="1" applyAlignment="1" pivotButton="0" quotePrefix="0" xfId="0">
      <alignment horizontal="center" vertical="center"/>
    </xf>
    <xf numFmtId="0" fontId="0" fillId="6" borderId="1" pivotButton="0" quotePrefix="0" xfId="0"/>
    <xf numFmtId="0" fontId="8" fillId="0" borderId="0" applyAlignment="1" pivotButton="0" quotePrefix="0" xfId="0">
      <alignment horizontal="right" vertical="center"/>
    </xf>
    <xf numFmtId="165" fontId="12" fillId="6" borderId="1" applyAlignment="1" pivotButton="0" quotePrefix="0" xfId="0">
      <alignment horizontal="right" vertical="center"/>
    </xf>
    <xf numFmtId="166" fontId="12" fillId="6" borderId="1" applyAlignment="1" pivotButton="0" quotePrefix="0" xfId="0">
      <alignment horizontal="right" vertical="center"/>
    </xf>
    <xf numFmtId="0" fontId="13" fillId="0" borderId="1" applyAlignment="1" pivotButton="0" quotePrefix="0" xfId="0">
      <alignment horizontal="left" vertical="center"/>
    </xf>
    <xf numFmtId="0" fontId="9" fillId="0" borderId="1" applyAlignment="1" pivotButton="0" quotePrefix="0" xfId="0">
      <alignment horizontal="left" vertical="top" wrapText="1"/>
    </xf>
    <xf numFmtId="0" fontId="8" fillId="6" borderId="1" applyAlignment="1" pivotButton="0" quotePrefix="0" xfId="0">
      <alignment horizontal="left" vertical="center"/>
    </xf>
    <xf numFmtId="1" fontId="12" fillId="6" borderId="1" applyAlignment="1" pivotButton="0" quotePrefix="0" xfId="0">
      <alignment horizontal="center" vertical="center"/>
    </xf>
    <xf numFmtId="0" fontId="4" fillId="7" borderId="0" applyAlignment="1" pivotButton="0" quotePrefix="0" xfId="0">
      <alignment horizontal="left" vertical="top" wrapText="1"/>
    </xf>
    <xf numFmtId="0" fontId="4" fillId="0" borderId="1" applyAlignment="1" pivotButton="0" quotePrefix="0" xfId="0">
      <alignment horizontal="center" vertical="center"/>
    </xf>
    <xf numFmtId="167" fontId="4" fillId="5" borderId="1" applyAlignment="1" pivotButton="0" quotePrefix="0" xfId="0">
      <alignment horizontal="center" vertical="center"/>
    </xf>
    <xf numFmtId="0" fontId="10" fillId="0" borderId="0" pivotButton="0" quotePrefix="0" xfId="0"/>
    <xf numFmtId="0" fontId="10" fillId="0" borderId="0" applyAlignment="1" pivotButton="0" quotePrefix="0" xfId="0">
      <alignment horizontal="center" vertical="center"/>
    </xf>
    <xf numFmtId="0" fontId="13" fillId="6" borderId="1" applyAlignment="1" pivotButton="0" quotePrefix="0" xfId="0">
      <alignment horizontal="center" vertical="center"/>
    </xf>
    <xf numFmtId="0" fontId="4" fillId="5" borderId="1" applyAlignment="1" pivotButton="0" quotePrefix="0" xfId="0">
      <alignment horizontal="left" vertical="top" wrapText="1"/>
    </xf>
    <xf numFmtId="1" fontId="12" fillId="6" borderId="1" applyAlignment="1" pivotButton="0" quotePrefix="0" xfId="0">
      <alignment horizontal="right" vertical="center"/>
    </xf>
    <xf numFmtId="165" fontId="4" fillId="5" borderId="1" applyAlignment="1" pivotButton="0" quotePrefix="0" xfId="0">
      <alignment horizontal="center" vertical="center"/>
    </xf>
    <xf numFmtId="165" fontId="11" fillId="6" borderId="1" applyAlignment="1" pivotButton="0" quotePrefix="0" xfId="0">
      <alignment horizontal="center" vertical="center"/>
    </xf>
    <xf numFmtId="166" fontId="11" fillId="6" borderId="1" applyAlignment="1" pivotButton="0" quotePrefix="0" xfId="0">
      <alignment horizontal="center" vertical="center"/>
    </xf>
    <xf numFmtId="0" fontId="8" fillId="6" borderId="1" applyAlignment="1" pivotButton="0" quotePrefix="0" xfId="0">
      <alignment horizontal="center" vertical="center"/>
    </xf>
    <xf numFmtId="167" fontId="4" fillId="6" borderId="1" applyAlignment="1" pivotButton="0" quotePrefix="0" xfId="0">
      <alignment horizontal="center" vertical="center"/>
    </xf>
    <xf numFmtId="0" fontId="14" fillId="7" borderId="1" applyAlignment="1" pivotButton="0" quotePrefix="0" xfId="0">
      <alignment horizontal="left" vertical="center"/>
    </xf>
    <xf numFmtId="165" fontId="12" fillId="6" borderId="1" applyAlignment="1" pivotButton="0" quotePrefix="0" xfId="0">
      <alignment horizontal="center" vertical="center"/>
    </xf>
    <xf numFmtId="168" fontId="4" fillId="5" borderId="1" applyAlignment="1" pivotButton="0" quotePrefix="0" xfId="0">
      <alignment horizontal="center" vertical="center"/>
    </xf>
    <xf numFmtId="9" fontId="11" fillId="6" borderId="1" applyAlignment="1" pivotButton="0" quotePrefix="0" xfId="0">
      <alignment horizontal="center" vertical="center"/>
    </xf>
    <xf numFmtId="2" fontId="11" fillId="6" borderId="1" applyAlignment="1" pivotButton="0" quotePrefix="0" xfId="0">
      <alignment horizontal="center" vertical="center"/>
    </xf>
    <xf numFmtId="167" fontId="11" fillId="6" borderId="1" applyAlignment="1" pivotButton="0" quotePrefix="0" xfId="0">
      <alignment horizontal="center" vertical="center"/>
    </xf>
    <xf numFmtId="0" fontId="4" fillId="7" borderId="0" applyAlignment="1" pivotButton="0" quotePrefix="0" xfId="0">
      <alignment horizontal="left" vertical="center" wrapText="1"/>
    </xf>
    <xf numFmtId="0" fontId="3" fillId="4" borderId="0" applyAlignment="1" pivotButton="0" quotePrefix="0" xfId="0">
      <alignment horizontal="center" vertical="center"/>
    </xf>
    <xf numFmtId="0" fontId="3" fillId="2" borderId="0" applyAlignment="1" pivotButton="0" quotePrefix="0" xfId="0">
      <alignment horizontal="center" vertical="center"/>
    </xf>
    <xf numFmtId="3" fontId="4" fillId="5" borderId="1" applyAlignment="1" pivotButton="0" quotePrefix="0" xfId="0">
      <alignment horizontal="center" vertical="center"/>
    </xf>
    <xf numFmtId="3" fontId="11" fillId="6" borderId="1" applyAlignment="1" pivotButton="0" quotePrefix="0" xfId="0">
      <alignment horizontal="center" vertical="center"/>
    </xf>
    <xf numFmtId="3" fontId="12" fillId="6" borderId="1" applyAlignment="1" pivotButton="0" quotePrefix="0" xfId="0">
      <alignment horizontal="center" vertical="center"/>
    </xf>
    <xf numFmtId="0" fontId="4" fillId="0" borderId="1" applyAlignment="1" pivotButton="0" quotePrefix="0" xfId="0">
      <alignment horizontal="left" vertical="center"/>
    </xf>
    <xf numFmtId="3" fontId="11" fillId="6" borderId="1" applyAlignment="1" pivotButton="0" quotePrefix="0" xfId="0">
      <alignment horizontal="right" vertical="center"/>
    </xf>
    <xf numFmtId="0" fontId="15" fillId="0" borderId="0" pivotButton="0" quotePrefix="0" xfId="0"/>
    <xf numFmtId="0" fontId="13" fillId="8" borderId="1" applyAlignment="1" pivotButton="0" quotePrefix="0" xfId="0">
      <alignment horizontal="left" vertical="center"/>
    </xf>
    <xf numFmtId="166" fontId="12" fillId="6" borderId="1" applyAlignment="1" pivotButton="0" quotePrefix="0" xfId="0">
      <alignment horizontal="center" vertical="center"/>
    </xf>
    <xf numFmtId="2" fontId="12" fillId="6" borderId="1" applyAlignment="1" pivotButton="0" quotePrefix="0" xfId="0">
      <alignment horizontal="center" vertical="center"/>
    </xf>
    <xf numFmtId="0" fontId="10" fillId="0" borderId="1" applyAlignment="1" pivotButton="0" quotePrefix="0" xfId="0">
      <alignment horizontal="center" vertical="center"/>
    </xf>
    <xf numFmtId="0" fontId="12" fillId="6" borderId="1" applyAlignment="1" pivotButton="0" quotePrefix="0" xfId="0">
      <alignment horizontal="center" vertical="center"/>
    </xf>
    <xf numFmtId="166" fontId="4" fillId="5" borderId="1" applyAlignment="1" pivotButton="0" quotePrefix="0" xfId="0">
      <alignment horizontal="center" vertical="center"/>
    </xf>
    <xf numFmtId="0" fontId="10" fillId="0" borderId="0" applyAlignment="1" pivotButton="0" quotePrefix="0" xfId="0">
      <alignment horizontal="left" vertical="top" wrapText="1"/>
    </xf>
    <xf numFmtId="0" fontId="9" fillId="0" borderId="1" applyAlignment="1" pivotButton="0" quotePrefix="0" xfId="0">
      <alignment horizontal="center" vertical="center"/>
    </xf>
    <xf numFmtId="0" fontId="17" fillId="8" borderId="1" pivotButton="0" quotePrefix="0" xfId="0"/>
    <xf numFmtId="0" fontId="15" fillId="0" borderId="0" applyAlignment="1" pivotButton="0" quotePrefix="0" xfId="0">
      <alignment horizontal="left" vertical="center"/>
    </xf>
    <xf numFmtId="0" fontId="8" fillId="6" borderId="1" applyAlignment="1" pivotButton="0" quotePrefix="0" xfId="0">
      <alignment horizontal="right" vertical="center"/>
    </xf>
    <xf numFmtId="0" fontId="8" fillId="8" borderId="1" pivotButton="0" quotePrefix="0" xfId="0"/>
    <xf numFmtId="0" fontId="15" fillId="0" borderId="1" applyAlignment="1" pivotButton="0" quotePrefix="0" xfId="0">
      <alignment horizontal="left" vertical="center" wrapText="1"/>
    </xf>
    <xf numFmtId="0" fontId="18" fillId="8" borderId="1" applyAlignment="1" pivotButton="0" quotePrefix="0" xfId="0">
      <alignment horizontal="left" vertical="center" wrapText="1"/>
    </xf>
    <xf numFmtId="0" fontId="15" fillId="0" borderId="1" pivotButton="0" quotePrefix="0" xfId="0"/>
    <xf numFmtId="9" fontId="8" fillId="6" borderId="1" applyAlignment="1" pivotButton="0" quotePrefix="0" xfId="0">
      <alignment horizontal="center" vertical="center"/>
    </xf>
    <xf numFmtId="1" fontId="4" fillId="6" borderId="1" applyAlignment="1" pivotButton="0" quotePrefix="0" xfId="0">
      <alignment horizontal="center" vertical="center"/>
    </xf>
    <xf numFmtId="10" fontId="12" fillId="6" borderId="1" applyAlignment="1" pivotButton="0" quotePrefix="0" xfId="0">
      <alignment horizontal="center" vertical="center"/>
    </xf>
    <xf numFmtId="9" fontId="12" fillId="6" borderId="1" applyAlignment="1" pivotButton="0" quotePrefix="0" xfId="0">
      <alignment horizontal="center" vertical="center"/>
    </xf>
    <xf numFmtId="166" fontId="19" fillId="6" borderId="1" applyAlignment="1" pivotButton="0" quotePrefix="0" xfId="0">
      <alignment horizontal="center" vertical="center"/>
    </xf>
    <xf numFmtId="1" fontId="19" fillId="6" borderId="1" applyAlignment="1" pivotButton="0" quotePrefix="0" xfId="0">
      <alignment horizontal="center" vertical="center"/>
    </xf>
    <xf numFmtId="0" fontId="10" fillId="0" borderId="1" applyAlignment="1" pivotButton="0" quotePrefix="0" xfId="0">
      <alignment horizontal="left" vertical="top" wrapText="1"/>
    </xf>
    <xf numFmtId="0" fontId="10" fillId="0" borderId="0" applyAlignment="1" pivotButton="0" quotePrefix="0" xfId="0">
      <alignment horizontal="left" vertical="center" indent="1"/>
    </xf>
    <xf numFmtId="0" fontId="13" fillId="8" borderId="1" applyAlignment="1" pivotButton="0" quotePrefix="0" xfId="0">
      <alignment horizontal="center" vertical="center"/>
    </xf>
    <xf numFmtId="0" fontId="8" fillId="0" borderId="1" applyAlignment="1" pivotButton="0" quotePrefix="0" xfId="0">
      <alignment horizontal="left" vertical="center"/>
    </xf>
    <xf numFmtId="0" fontId="13" fillId="9" borderId="1" applyAlignment="1" pivotButton="0" quotePrefix="0" xfId="0">
      <alignment horizontal="center" vertical="center"/>
    </xf>
    <xf numFmtId="0" fontId="8" fillId="10" borderId="1" applyAlignment="1" pivotButton="0" quotePrefix="0" xfId="0">
      <alignment horizontal="left" vertical="center"/>
    </xf>
    <xf numFmtId="0" fontId="4" fillId="10" borderId="1" applyAlignment="1" pivotButton="0" quotePrefix="0" xfId="0">
      <alignment horizontal="left" vertical="top" wrapText="1"/>
    </xf>
    <xf numFmtId="0" fontId="10" fillId="10" borderId="1" applyAlignment="1" pivotButton="0" quotePrefix="0" xfId="0">
      <alignment horizontal="left" vertical="top" wrapText="1"/>
    </xf>
    <xf numFmtId="0" fontId="10" fillId="0" borderId="1" pivotButton="0" quotePrefix="0" xfId="0"/>
    <xf numFmtId="0" fontId="4" fillId="9" borderId="0" applyAlignment="1" pivotButton="0" quotePrefix="0" xfId="0">
      <alignment horizontal="left" vertical="top" wrapText="1"/>
    </xf>
    <xf numFmtId="0" fontId="6" fillId="7" borderId="0" applyAlignment="1" pivotButton="0" quotePrefix="0" xfId="0">
      <alignment horizontal="left" vertical="top" wrapText="1"/>
    </xf>
    <xf numFmtId="0" fontId="13" fillId="0" borderId="1" applyAlignment="1" pivotButton="0" quotePrefix="0" xfId="0">
      <alignment horizontal="center" vertical="center"/>
    </xf>
    <xf numFmtId="2" fontId="4" fillId="5" borderId="1" applyAlignment="1" pivotButton="0" quotePrefix="0" xfId="0">
      <alignment horizontal="center" vertical="center"/>
    </xf>
    <xf numFmtId="0" fontId="4" fillId="8" borderId="1" applyAlignment="1" pivotButton="0" quotePrefix="0" xfId="0">
      <alignment horizontal="left" vertical="center"/>
    </xf>
    <xf numFmtId="0" fontId="4" fillId="0" borderId="0" pivotButton="0" quotePrefix="0" xfId="0"/>
    <xf numFmtId="164" fontId="11" fillId="6" borderId="1" applyAlignment="1" pivotButton="0" quotePrefix="0" xfId="0">
      <alignment horizontal="center" vertical="center"/>
    </xf>
    <xf numFmtId="165" fontId="22" fillId="6" borderId="1" applyAlignment="1" pivotButton="0" quotePrefix="0" xfId="0">
      <alignment horizontal="center" vertical="center"/>
    </xf>
    <xf numFmtId="166" fontId="22" fillId="6" borderId="1" applyAlignment="1" pivotButton="0" quotePrefix="0" xfId="0">
      <alignment horizontal="center" vertical="center"/>
    </xf>
    <xf numFmtId="167" fontId="0" fillId="6" borderId="1" applyAlignment="1" pivotButton="0" quotePrefix="0" xfId="0">
      <alignment horizontal="center" vertical="center"/>
    </xf>
    <xf numFmtId="165" fontId="11" fillId="6" borderId="1" applyAlignment="1" pivotButton="0" quotePrefix="0" xfId="0">
      <alignment horizontal="right" vertical="center"/>
    </xf>
    <xf numFmtId="166" fontId="11" fillId="6" borderId="1" applyAlignment="1" pivotButton="0" quotePrefix="0" xfId="0">
      <alignment horizontal="right" vertical="center"/>
    </xf>
    <xf numFmtId="165" fontId="12" fillId="6" borderId="1" applyAlignment="1" pivotButton="0" quotePrefix="0" xfId="0">
      <alignment horizontal="right" vertical="center"/>
    </xf>
    <xf numFmtId="166" fontId="12" fillId="6" borderId="1" applyAlignment="1" pivotButton="0" quotePrefix="0" xfId="0">
      <alignment horizontal="right" vertical="center"/>
    </xf>
    <xf numFmtId="167" fontId="4" fillId="5" borderId="1" applyAlignment="1" pivotButton="0" quotePrefix="0" xfId="0">
      <alignment horizontal="center" vertical="center"/>
    </xf>
    <xf numFmtId="165" fontId="4" fillId="5" borderId="1" applyAlignment="1" pivotButton="0" quotePrefix="0" xfId="0">
      <alignment horizontal="center" vertical="center"/>
    </xf>
    <xf numFmtId="165" fontId="11" fillId="6" borderId="1" applyAlignment="1" pivotButton="0" quotePrefix="0" xfId="0">
      <alignment horizontal="center" vertical="center"/>
    </xf>
    <xf numFmtId="166" fontId="11" fillId="6" borderId="1" applyAlignment="1" pivotButton="0" quotePrefix="0" xfId="0">
      <alignment horizontal="center" vertical="center"/>
    </xf>
    <xf numFmtId="167" fontId="4" fillId="6" borderId="1" applyAlignment="1" pivotButton="0" quotePrefix="0" xfId="0">
      <alignment horizontal="center" vertical="center"/>
    </xf>
    <xf numFmtId="165" fontId="12" fillId="6" borderId="1" applyAlignment="1" pivotButton="0" quotePrefix="0" xfId="0">
      <alignment horizontal="center" vertical="center"/>
    </xf>
    <xf numFmtId="167" fontId="11" fillId="6" borderId="1" applyAlignment="1" pivotButton="0" quotePrefix="0" xfId="0">
      <alignment horizontal="center" vertical="center"/>
    </xf>
    <xf numFmtId="166" fontId="12" fillId="6" borderId="1" applyAlignment="1" pivotButton="0" quotePrefix="0" xfId="0">
      <alignment horizontal="center" vertical="center"/>
    </xf>
    <xf numFmtId="166" fontId="4" fillId="5" borderId="1" applyAlignment="1" pivotButton="0" quotePrefix="0" xfId="0">
      <alignment horizontal="center" vertical="center"/>
    </xf>
    <xf numFmtId="166" fontId="19" fillId="6" borderId="1" applyAlignment="1" pivotButton="0" quotePrefix="0" xfId="0">
      <alignment horizontal="center" vertical="center"/>
    </xf>
    <xf numFmtId="0" fontId="25" fillId="9" borderId="0" applyAlignment="1" pivotButton="0" quotePrefix="0" xfId="0">
      <alignment horizontal="left" vertical="center" wrapText="1" indent="1"/>
    </xf>
  </cellXfs>
  <cellStyles count="1">
    <cellStyle name="Normal" xfId="0" builtinId="0" hidden="0"/>
  </cellStyles>
  <dxfs count="10">
    <dxf>
      <font>
        <name val="Calibri"/>
        <b val="1"/>
        <color rgb="009C1F1F"/>
        <sz val="9"/>
      </font>
      <fill>
        <patternFill patternType="solid">
          <fgColor rgb="00F7D4D4"/>
        </patternFill>
      </fill>
    </dxf>
    <dxf>
      <font>
        <name val="Calibri"/>
        <b val="1"/>
        <color rgb="008A4B10"/>
        <sz val="9"/>
      </font>
      <fill>
        <patternFill patternType="solid">
          <fgColor rgb="00FDE9CF"/>
        </patternFill>
      </fill>
    </dxf>
    <dxf>
      <font>
        <name val="Calibri"/>
        <b val="1"/>
        <color rgb="001F5C2E"/>
        <sz val="9"/>
      </font>
      <fill>
        <patternFill patternType="solid">
          <fgColor rgb="00D6EBD6"/>
        </patternFill>
      </fill>
    </dxf>
    <dxf>
      <fill>
        <patternFill patternType="solid">
          <fgColor rgb="00FDE9CF"/>
        </patternFill>
      </fill>
    </dxf>
    <dxf>
      <fill>
        <patternFill patternType="solid">
          <fgColor rgb="00E6EFF1"/>
        </patternFill>
      </fill>
    </dxf>
    <dxf>
      <fill>
        <patternFill patternType="solid">
          <fgColor rgb="00D6EBD6"/>
        </patternFill>
      </fill>
    </dxf>
    <dxf>
      <fill>
        <patternFill patternType="solid">
          <fgColor rgb="00F7D4D4"/>
        </patternFill>
      </fill>
    </dxf>
    <dxf>
      <font>
        <name val="Calibri"/>
        <b val="1"/>
        <color rgb="001A1A1A"/>
        <sz val="9"/>
      </font>
      <fill>
        <patternFill patternType="solid">
          <fgColor rgb="00F7D4D4"/>
        </patternFill>
      </fill>
    </dxf>
    <dxf>
      <font>
        <name val="Calibri"/>
        <b val="1"/>
        <color rgb="001A1A1A"/>
        <sz val="9"/>
      </font>
      <fill>
        <patternFill patternType="solid">
          <fgColor rgb="00FDE9CF"/>
        </patternFill>
      </fill>
    </dxf>
    <dxf>
      <font>
        <name val="Calibri"/>
        <b val="1"/>
        <color rgb="001A1A1A"/>
        <sz val="9"/>
      </font>
      <fill>
        <patternFill patternType="solid">
          <fgColor rgb="00D6EB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Earned Value</a:t>
            </a:r>
          </a:p>
        </rich>
      </tx>
    </title>
    <plotArea>
      <lineChart>
        <grouping val="standard"/>
        <ser>
          <idx val="0"/>
          <order val="0"/>
          <tx>
            <strRef>
              <f>'CHARTDATA'!G6</f>
            </strRef>
          </tx>
          <spPr>
            <a:ln xmlns:a="http://schemas.openxmlformats.org/drawingml/2006/main" w="20000">
              <a:solidFill>
                <a:srgbClr val="14505C"/>
              </a:solidFill>
              <a:prstDash val="solid"/>
            </a:ln>
          </spPr>
          <marker>
            <symbol val="none"/>
            <spPr>
              <a:ln xmlns:a="http://schemas.openxmlformats.org/drawingml/2006/main">
                <a:prstDash val="solid"/>
              </a:ln>
            </spPr>
          </marker>
          <cat>
            <numRef>
              <f>'CHARTDATA'!$A$7:$A$19</f>
            </numRef>
          </cat>
          <val>
            <numRef>
              <f>'CHARTDATA'!$G$7:$G$19</f>
            </numRef>
          </val>
          <smooth val="0"/>
        </ser>
        <ser>
          <idx val="1"/>
          <order val="1"/>
          <tx>
            <strRef>
              <f>'CHARTDATA'!I6</f>
            </strRef>
          </tx>
          <spPr>
            <a:ln xmlns:a="http://schemas.openxmlformats.org/drawingml/2006/main" w="20000">
              <a:solidFill>
                <a:srgbClr val="B4531A"/>
              </a:solidFill>
              <a:prstDash val="solid"/>
            </a:ln>
          </spPr>
          <marker>
            <symbol val="none"/>
            <spPr>
              <a:ln xmlns:a="http://schemas.openxmlformats.org/drawingml/2006/main">
                <a:prstDash val="solid"/>
              </a:ln>
            </spPr>
          </marker>
          <cat>
            <numRef>
              <f>'CHARTDATA'!$A$7:$A$19</f>
            </numRef>
          </cat>
          <val>
            <numRef>
              <f>'CHARTDATA'!$I$7:$I$19</f>
            </numRef>
          </val>
          <smooth val="0"/>
        </ser>
        <ser>
          <idx val="2"/>
          <order val="2"/>
          <tx>
            <strRef>
              <f>'CHARTDATA'!J6</f>
            </strRef>
          </tx>
          <spPr>
            <a:ln xmlns:a="http://schemas.openxmlformats.org/drawingml/2006/main" w="20000">
              <a:solidFill>
                <a:srgbClr val="6B8F3A"/>
              </a:solidFill>
              <a:prstDash val="dash"/>
            </a:ln>
          </spPr>
          <marker>
            <symbol val="none"/>
            <spPr>
              <a:ln xmlns:a="http://schemas.openxmlformats.org/drawingml/2006/main">
                <a:prstDash val="solid"/>
              </a:ln>
            </spPr>
          </marker>
          <cat>
            <numRef>
              <f>'CHARTDATA'!$A$7:$A$19</f>
            </numRef>
          </cat>
          <val>
            <numRef>
              <f>'CHARTDATA'!$J$7:$J$19</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Cumulative value</a:t>
                </a:r>
              </a:p>
            </rich>
          </tx>
        </title>
        <numFmt formatCode="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Plan vs Actual Hours</a:t>
            </a:r>
          </a:p>
        </rich>
      </tx>
    </title>
    <plotArea>
      <lineChart>
        <grouping val="standard"/>
        <ser>
          <idx val="0"/>
          <order val="0"/>
          <tx>
            <strRef>
              <f>'CHARTDATA'!C6</f>
            </strRef>
          </tx>
          <spPr>
            <a:ln xmlns:a="http://schemas.openxmlformats.org/drawingml/2006/main" w="20000">
              <a:solidFill>
                <a:srgbClr val="14505C"/>
              </a:solidFill>
              <a:prstDash val="solid"/>
            </a:ln>
          </spPr>
          <marker>
            <symbol val="none"/>
            <spPr>
              <a:ln xmlns:a="http://schemas.openxmlformats.org/drawingml/2006/main">
                <a:prstDash val="solid"/>
              </a:ln>
            </spPr>
          </marker>
          <cat>
            <numRef>
              <f>'CHARTDATA'!$A$7:$A$19</f>
            </numRef>
          </cat>
          <val>
            <numRef>
              <f>'CHARTDATA'!$C$7:$C$19</f>
            </numRef>
          </val>
          <smooth val="0"/>
        </ser>
        <ser>
          <idx val="1"/>
          <order val="1"/>
          <tx>
            <strRef>
              <f>'CHARTDATA'!E6</f>
            </strRef>
          </tx>
          <spPr>
            <a:ln xmlns:a="http://schemas.openxmlformats.org/drawingml/2006/main" w="20000">
              <a:solidFill>
                <a:srgbClr val="B4531A"/>
              </a:solidFill>
              <a:prstDash val="solid"/>
            </a:ln>
          </spPr>
          <marker>
            <symbol val="none"/>
            <spPr>
              <a:ln xmlns:a="http://schemas.openxmlformats.org/drawingml/2006/main">
                <a:prstDash val="solid"/>
              </a:ln>
            </spPr>
          </marker>
          <cat>
            <numRef>
              <f>'CHARTDATA'!$A$7:$A$19</f>
            </numRef>
          </cat>
          <val>
            <numRef>
              <f>'CHARTDATA'!$E$7:$E$19</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1.  Cumulative Earned Value</a:t>
            </a:r>
          </a:p>
        </rich>
      </tx>
    </title>
    <plotArea>
      <lineChart>
        <grouping val="standard"/>
        <ser>
          <idx val="0"/>
          <order val="0"/>
          <tx>
            <strRef>
              <f>'CHARTDATA'!G6</f>
            </strRef>
          </tx>
          <spPr>
            <a:ln xmlns:a="http://schemas.openxmlformats.org/drawingml/2006/main" w="20000">
              <a:solidFill>
                <a:srgbClr val="14505C"/>
              </a:solidFill>
              <a:prstDash val="solid"/>
            </a:ln>
          </spPr>
          <marker>
            <symbol val="none"/>
            <spPr>
              <a:ln xmlns:a="http://schemas.openxmlformats.org/drawingml/2006/main">
                <a:prstDash val="solid"/>
              </a:ln>
            </spPr>
          </marker>
          <cat>
            <numRef>
              <f>'CHARTDATA'!$A$7:$A$19</f>
            </numRef>
          </cat>
          <val>
            <numRef>
              <f>'CHARTDATA'!$G$7:$G$19</f>
            </numRef>
          </val>
          <smooth val="0"/>
        </ser>
        <ser>
          <idx val="1"/>
          <order val="1"/>
          <tx>
            <strRef>
              <f>'CHARTDATA'!I6</f>
            </strRef>
          </tx>
          <spPr>
            <a:ln xmlns:a="http://schemas.openxmlformats.org/drawingml/2006/main" w="20000">
              <a:solidFill>
                <a:srgbClr val="B4531A"/>
              </a:solidFill>
              <a:prstDash val="solid"/>
            </a:ln>
          </spPr>
          <marker>
            <symbol val="none"/>
            <spPr>
              <a:ln xmlns:a="http://schemas.openxmlformats.org/drawingml/2006/main">
                <a:prstDash val="solid"/>
              </a:ln>
            </spPr>
          </marker>
          <cat>
            <numRef>
              <f>'CHARTDATA'!$A$7:$A$19</f>
            </numRef>
          </cat>
          <val>
            <numRef>
              <f>'CHARTDATA'!$I$7:$I$19</f>
            </numRef>
          </val>
          <smooth val="0"/>
        </ser>
        <ser>
          <idx val="2"/>
          <order val="2"/>
          <tx>
            <strRef>
              <f>'CHARTDATA'!J6</f>
            </strRef>
          </tx>
          <spPr>
            <a:ln xmlns:a="http://schemas.openxmlformats.org/drawingml/2006/main" w="20000">
              <a:solidFill>
                <a:srgbClr val="6B8F3A"/>
              </a:solidFill>
              <a:prstDash val="dash"/>
            </a:ln>
          </spPr>
          <marker>
            <symbol val="none"/>
            <spPr>
              <a:ln xmlns:a="http://schemas.openxmlformats.org/drawingml/2006/main">
                <a:prstDash val="solid"/>
              </a:ln>
            </spPr>
          </marker>
          <cat>
            <numRef>
              <f>'CHARTDATA'!$A$7:$A$19</f>
            </numRef>
          </cat>
          <val>
            <numRef>
              <f>'CHARTDATA'!$J$7:$J$19</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Cumulative value</a:t>
                </a:r>
              </a:p>
            </rich>
          </tx>
        </title>
        <numFmt formatCode="0%" sourceLinked="0"/>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2.  Earned Value per Week</a:t>
            </a:r>
          </a:p>
        </rich>
      </tx>
    </title>
    <plotArea>
      <barChart>
        <barDir val="col"/>
        <grouping val="clustered"/>
        <ser>
          <idx val="0"/>
          <order val="0"/>
          <tx>
            <strRef>
              <f>'CHARTDATA'!F6</f>
            </strRef>
          </tx>
          <spPr>
            <a:solidFill xmlns:a="http://schemas.openxmlformats.org/drawingml/2006/main">
              <a:srgbClr val="14505C"/>
            </a:solidFill>
            <a:ln xmlns:a="http://schemas.openxmlformats.org/drawingml/2006/main">
              <a:prstDash val="solid"/>
            </a:ln>
          </spPr>
          <cat>
            <numRef>
              <f>'CHARTDATA'!$A$7:$A$19</f>
            </numRef>
          </cat>
          <val>
            <numRef>
              <f>'CHARTDATA'!$F$7:$F$19</f>
            </numRef>
          </val>
        </ser>
        <ser>
          <idx val="1"/>
          <order val="1"/>
          <tx>
            <strRef>
              <f>'CHARTDATA'!H6</f>
            </strRef>
          </tx>
          <spPr>
            <a:solidFill xmlns:a="http://schemas.openxmlformats.org/drawingml/2006/main">
              <a:srgbClr val="B4531A"/>
            </a:solidFill>
            <a:ln xmlns:a="http://schemas.openxmlformats.org/drawingml/2006/main">
              <a:prstDash val="solid"/>
            </a:ln>
          </spPr>
          <cat>
            <numRef>
              <f>'CHARTDATA'!$A$7:$A$19</f>
            </numRef>
          </cat>
          <val>
            <numRef>
              <f>'CHARTDATA'!$H$7:$H$19</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Value</a:t>
                </a:r>
              </a:p>
            </rich>
          </tx>
        </title>
        <numFmt formatCode="0%" sourceLinked="0"/>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3.  Cumulative Plan vs Actual Hours</a:t>
            </a:r>
          </a:p>
        </rich>
      </tx>
    </title>
    <plotArea>
      <lineChart>
        <grouping val="standard"/>
        <ser>
          <idx val="0"/>
          <order val="0"/>
          <tx>
            <strRef>
              <f>'CHARTDATA'!C6</f>
            </strRef>
          </tx>
          <spPr>
            <a:ln xmlns:a="http://schemas.openxmlformats.org/drawingml/2006/main" w="20000">
              <a:solidFill>
                <a:srgbClr val="14505C"/>
              </a:solidFill>
              <a:prstDash val="solid"/>
            </a:ln>
          </spPr>
          <marker>
            <symbol val="none"/>
            <spPr>
              <a:ln xmlns:a="http://schemas.openxmlformats.org/drawingml/2006/main">
                <a:prstDash val="solid"/>
              </a:ln>
            </spPr>
          </marker>
          <cat>
            <numRef>
              <f>'CHARTDATA'!$A$7:$A$19</f>
            </numRef>
          </cat>
          <val>
            <numRef>
              <f>'CHARTDATA'!$C$7:$C$19</f>
            </numRef>
          </val>
          <smooth val="0"/>
        </ser>
        <ser>
          <idx val="1"/>
          <order val="1"/>
          <tx>
            <strRef>
              <f>'CHARTDATA'!E6</f>
            </strRef>
          </tx>
          <spPr>
            <a:ln xmlns:a="http://schemas.openxmlformats.org/drawingml/2006/main" w="20000">
              <a:solidFill>
                <a:srgbClr val="B4531A"/>
              </a:solidFill>
              <a:prstDash val="solid"/>
            </a:ln>
          </spPr>
          <marker>
            <symbol val="none"/>
            <spPr>
              <a:ln xmlns:a="http://schemas.openxmlformats.org/drawingml/2006/main">
                <a:prstDash val="solid"/>
              </a:ln>
            </spPr>
          </marker>
          <cat>
            <numRef>
              <f>'CHARTDATA'!$A$7:$A$19</f>
            </numRef>
          </cat>
          <val>
            <numRef>
              <f>'CHARTDATA'!$E$7:$E$19</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legend>
      <legendPos val="b"/>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4.  Plan vs Actual Hours per Week</a:t>
            </a:r>
          </a:p>
        </rich>
      </tx>
    </title>
    <plotArea>
      <barChart>
        <barDir val="col"/>
        <grouping val="clustered"/>
        <ser>
          <idx val="0"/>
          <order val="0"/>
          <tx>
            <strRef>
              <f>'CHARTDATA'!B6</f>
            </strRef>
          </tx>
          <spPr>
            <a:solidFill xmlns:a="http://schemas.openxmlformats.org/drawingml/2006/main">
              <a:srgbClr val="14505C"/>
            </a:solidFill>
            <a:ln xmlns:a="http://schemas.openxmlformats.org/drawingml/2006/main">
              <a:prstDash val="solid"/>
            </a:ln>
          </spPr>
          <cat>
            <numRef>
              <f>'CHARTDATA'!$A$7:$A$19</f>
            </numRef>
          </cat>
          <val>
            <numRef>
              <f>'CHARTDATA'!$B$7:$B$19</f>
            </numRef>
          </val>
        </ser>
        <ser>
          <idx val="1"/>
          <order val="1"/>
          <tx>
            <strRef>
              <f>'CHARTDATA'!D6</f>
            </strRef>
          </tx>
          <spPr>
            <a:solidFill xmlns:a="http://schemas.openxmlformats.org/drawingml/2006/main">
              <a:srgbClr val="B4531A"/>
            </a:solidFill>
            <a:ln xmlns:a="http://schemas.openxmlformats.org/drawingml/2006/main">
              <a:prstDash val="solid"/>
            </a:ln>
          </spPr>
          <cat>
            <numRef>
              <f>'CHARTDATA'!$A$7:$A$19</f>
            </numRef>
          </cat>
          <val>
            <numRef>
              <f>'CHARTDATA'!$D$7:$D$19</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Week</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legend>
      <legendPos val="b"/>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5.  Percent Defect Free</a:t>
            </a:r>
          </a:p>
        </rich>
      </tx>
    </title>
    <plotArea>
      <barChart>
        <barDir val="col"/>
        <grouping val="clustered"/>
        <ser>
          <idx val="0"/>
          <order val="0"/>
          <tx>
            <strRef>
              <f>'CHARTDATA'!B67</f>
            </strRef>
          </tx>
          <spPr>
            <a:solidFill xmlns:a="http://schemas.openxmlformats.org/drawingml/2006/main">
              <a:srgbClr val="14505C"/>
            </a:solidFill>
            <a:ln xmlns:a="http://schemas.openxmlformats.org/drawingml/2006/main">
              <a:prstDash val="solid"/>
            </a:ln>
          </spPr>
          <cat>
            <numRef>
              <f>'CHARTDATA'!$A$68:$A$72</f>
            </numRef>
          </cat>
          <val>
            <numRef>
              <f>'CHARTDATA'!$B$68:$B$72</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Phase</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 of components</a:t>
                </a:r>
              </a:p>
            </rich>
          </tx>
        </title>
        <numFmt formatCode="0%" sourceLinked="0"/>
        <majorTickMark val="none"/>
        <minorTickMark val="none"/>
        <crossAx val="10"/>
      </valAx>
    </plotArea>
    <legend>
      <legendPos val="b"/>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6.  Cumulative Defects Removed by Phase</a:t>
            </a:r>
          </a:p>
        </rich>
      </tx>
    </title>
    <plotArea>
      <lineChart>
        <grouping val="standard"/>
        <ser>
          <idx val="0"/>
          <order val="0"/>
          <tx>
            <strRef>
              <f>'CHARTDATA'!D21</f>
            </strRef>
          </tx>
          <spPr>
            <a:ln xmlns:a="http://schemas.openxmlformats.org/drawingml/2006/main" w="20000">
              <a:solidFill>
                <a:srgbClr val="14505C"/>
              </a:solidFill>
              <a:prstDash val="solid"/>
            </a:ln>
          </spPr>
          <marker>
            <symbol val="none"/>
            <spPr>
              <a:ln xmlns:a="http://schemas.openxmlformats.org/drawingml/2006/main">
                <a:prstDash val="solid"/>
              </a:ln>
            </spPr>
          </marker>
          <cat>
            <numRef>
              <f>'CHARTDATA'!$A$22:$A$42</f>
            </numRef>
          </cat>
          <val>
            <numRef>
              <f>'CHARTDATA'!$D$22:$D$42</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a:pPr>
                <a:r>
                  <a:t>Phase</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Defects</a:t>
                </a:r>
              </a:p>
            </rich>
          </tx>
        </title>
        <majorTickMark val="none"/>
        <minorTickMark val="none"/>
        <crossAx val="10"/>
      </valAx>
    </plotArea>
    <legend>
      <legendPos val="b"/>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7.  Defects Removed by Phase</a:t>
            </a:r>
          </a:p>
        </rich>
      </tx>
    </title>
    <plotArea>
      <barChart>
        <barDir val="col"/>
        <grouping val="clustered"/>
        <ser>
          <idx val="0"/>
          <order val="0"/>
          <tx>
            <strRef>
              <f>'CHARTDATA'!C21</f>
            </strRef>
          </tx>
          <spPr>
            <a:solidFill xmlns:a="http://schemas.openxmlformats.org/drawingml/2006/main">
              <a:srgbClr val="14505C"/>
            </a:solidFill>
            <a:ln xmlns:a="http://schemas.openxmlformats.org/drawingml/2006/main">
              <a:prstDash val="solid"/>
            </a:ln>
          </spPr>
          <cat>
            <numRef>
              <f>'CHARTDATA'!$A$22:$A$42</f>
            </numRef>
          </cat>
          <val>
            <numRef>
              <f>'CHARTDATA'!$C$22:$C$42</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Phase</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Defects</a:t>
                </a:r>
              </a:p>
            </rich>
          </tx>
        </title>
        <majorTickMark val="none"/>
        <minorTickMark val="none"/>
        <crossAx val="10"/>
      </valAx>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8.  Defect Density by Phase</a:t>
            </a:r>
          </a:p>
        </rich>
      </tx>
    </title>
    <plotArea>
      <barChart>
        <barDir val="col"/>
        <grouping val="clustered"/>
        <ser>
          <idx val="0"/>
          <order val="0"/>
          <tx>
            <strRef>
              <f>'CHARTDATA'!E21</f>
            </strRef>
          </tx>
          <spPr>
            <a:solidFill xmlns:a="http://schemas.openxmlformats.org/drawingml/2006/main">
              <a:srgbClr val="14505C"/>
            </a:solidFill>
            <a:ln xmlns:a="http://schemas.openxmlformats.org/drawingml/2006/main">
              <a:prstDash val="solid"/>
            </a:ln>
          </spPr>
          <cat>
            <numRef>
              <f>'CHARTDATA'!$A$22:$A$42</f>
            </numRef>
          </cat>
          <val>
            <numRef>
              <f>'CHARTDATA'!$E$22:$E$42</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Phase</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Defects / KLOC</a:t>
                </a:r>
              </a:p>
            </rich>
          </tx>
        </title>
        <majorTickMark val="none"/>
        <minorTickMark val="none"/>
        <crossAx val="10"/>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9.  Review Rates</a:t>
            </a:r>
          </a:p>
        </rich>
      </tx>
    </title>
    <plotArea>
      <barChart>
        <barDir val="col"/>
        <grouping val="clustered"/>
        <ser>
          <idx val="0"/>
          <order val="0"/>
          <tx>
            <strRef>
              <f>'CHARTDATA'!B44</f>
            </strRef>
          </tx>
          <spPr>
            <a:solidFill xmlns:a="http://schemas.openxmlformats.org/drawingml/2006/main">
              <a:srgbClr val="14505C"/>
            </a:solidFill>
            <a:ln xmlns:a="http://schemas.openxmlformats.org/drawingml/2006/main">
              <a:prstDash val="solid"/>
            </a:ln>
          </spPr>
          <cat>
            <numRef>
              <f>'CHARTDATA'!$A$45:$A$48</f>
            </numRef>
          </cat>
          <val>
            <numRef>
              <f>'CHARTDATA'!$B$45:$B$48</f>
            </numRef>
          </val>
        </ser>
        <ser>
          <idx val="1"/>
          <order val="1"/>
          <tx>
            <strRef>
              <f>'CHARTDATA'!C44</f>
            </strRef>
          </tx>
          <spPr>
            <a:solidFill xmlns:a="http://schemas.openxmlformats.org/drawingml/2006/main">
              <a:srgbClr val="B4531A"/>
            </a:solidFill>
            <a:ln xmlns:a="http://schemas.openxmlformats.org/drawingml/2006/main">
              <a:prstDash val="solid"/>
            </a:ln>
          </spPr>
          <cat>
            <numRef>
              <f>'CHARTDATA'!$A$45:$A$48</f>
            </numRef>
          </cat>
          <val>
            <numRef>
              <f>'CHARTDATA'!$C$45:$C$48</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Review</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LOC per hour</a:t>
                </a:r>
              </a:p>
            </rich>
          </tx>
        </title>
        <majorTickMark val="none"/>
        <minorTickMark val="none"/>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10.  Phase Yield</a:t>
            </a:r>
          </a:p>
        </rich>
      </tx>
    </title>
    <plotArea>
      <barChart>
        <barDir val="col"/>
        <grouping val="clustered"/>
        <ser>
          <idx val="0"/>
          <order val="0"/>
          <tx>
            <strRef>
              <f>'CHARTDATA'!F21</f>
            </strRef>
          </tx>
          <spPr>
            <a:solidFill xmlns:a="http://schemas.openxmlformats.org/drawingml/2006/main">
              <a:srgbClr val="14505C"/>
            </a:solidFill>
            <a:ln xmlns:a="http://schemas.openxmlformats.org/drawingml/2006/main">
              <a:prstDash val="solid"/>
            </a:ln>
          </spPr>
          <cat>
            <numRef>
              <f>'CHARTDATA'!$A$22:$A$42</f>
            </numRef>
          </cat>
          <val>
            <numRef>
              <f>'CHARTDATA'!$F$22:$F$42</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Phase</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Yield</a:t>
                </a:r>
              </a:p>
            </rich>
          </tx>
        </title>
        <numFmt formatCode="0%" sourceLinked="0"/>
        <majorTickMark val="none"/>
        <minorTickMark val="none"/>
        <crossAx val="10"/>
      </valAx>
    </plotArea>
    <legend>
      <legendPos val="b"/>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11.  Process Yield</a:t>
            </a:r>
          </a:p>
        </rich>
      </tx>
    </title>
    <plotArea>
      <barChart>
        <barDir val="col"/>
        <grouping val="clustered"/>
        <ser>
          <idx val="0"/>
          <order val="0"/>
          <tx>
            <strRef>
              <f>'CHARTDATA'!B50</f>
            </strRef>
          </tx>
          <spPr>
            <a:solidFill xmlns:a="http://schemas.openxmlformats.org/drawingml/2006/main">
              <a:srgbClr val="14505C"/>
            </a:solidFill>
            <a:ln xmlns:a="http://schemas.openxmlformats.org/drawingml/2006/main">
              <a:prstDash val="solid"/>
            </a:ln>
          </spPr>
          <cat>
            <numRef>
              <f>'CHARTDATA'!$A$51:$A$56</f>
            </numRef>
          </cat>
          <val>
            <numRef>
              <f>'CHARTDATA'!$B$51:$B$56</f>
            </numRef>
          </val>
        </ser>
        <ser>
          <idx val="1"/>
          <order val="1"/>
          <tx>
            <strRef>
              <f>'CHARTDATA'!C50</f>
            </strRef>
          </tx>
          <spPr>
            <a:solidFill xmlns:a="http://schemas.openxmlformats.org/drawingml/2006/main">
              <a:srgbClr val="B4531A"/>
            </a:solidFill>
            <a:ln xmlns:a="http://schemas.openxmlformats.org/drawingml/2006/main">
              <a:prstDash val="solid"/>
            </a:ln>
          </spPr>
          <cat>
            <numRef>
              <f>'CHARTDATA'!$A$51:$A$56</f>
            </numRef>
          </cat>
          <val>
            <numRef>
              <f>'CHARTDATA'!$C$51:$C$56</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Before phase</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Yield</a:t>
                </a:r>
              </a:p>
            </rich>
          </tx>
        </title>
        <numFmt formatCode="0%" sourceLinked="0"/>
        <majorTickMark val="none"/>
        <minorTickMark val="none"/>
        <crossAx val="10"/>
      </valAx>
    </plotArea>
    <legend>
      <legendPos val="b"/>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12.  Quality Profile</a:t>
            </a:r>
          </a:p>
        </rich>
      </tx>
    </title>
    <plotArea>
      <radarChart>
        <radarStyle val="marker"/>
        <ser>
          <idx val="0"/>
          <order val="0"/>
          <tx>
            <strRef>
              <f>'CHARTDATA'!B74</f>
            </strRef>
          </tx>
          <spPr>
            <a:ln xmlns:a="http://schemas.openxmlformats.org/drawingml/2006/main" w="20000">
              <a:solidFill>
                <a:srgbClr val="14505C"/>
              </a:solidFill>
              <a:prstDash val="solid"/>
            </a:ln>
          </spPr>
          <marker>
            <symbol val="none"/>
            <spPr>
              <a:ln xmlns:a="http://schemas.openxmlformats.org/drawingml/2006/main">
                <a:prstDash val="solid"/>
              </a:ln>
            </spPr>
          </marker>
          <cat>
            <numRef>
              <f>'CHARTDATA'!$A$75:$A$79</f>
            </numRef>
          </cat>
          <val>
            <numRef>
              <f>'CHARTDATA'!$B$75:$B$79</f>
            </numRef>
          </val>
        </ser>
        <ser>
          <idx val="1"/>
          <order val="1"/>
          <tx>
            <strRef>
              <f>'CHARTDATA'!C74</f>
            </strRef>
          </tx>
          <spPr>
            <a:ln xmlns:a="http://schemas.openxmlformats.org/drawingml/2006/main" w="20000">
              <a:solidFill>
                <a:srgbClr val="B4531A"/>
              </a:solidFill>
              <a:prstDash val="solid"/>
            </a:ln>
          </spPr>
          <marker>
            <symbol val="none"/>
            <spPr>
              <a:ln xmlns:a="http://schemas.openxmlformats.org/drawingml/2006/main">
                <a:prstDash val="solid"/>
              </a:ln>
            </spPr>
          </marker>
          <cat>
            <numRef>
              <f>'CHARTDATA'!$A$75:$A$79</f>
            </numRef>
          </cat>
          <val>
            <numRef>
              <f>'CHARTDATA'!$C$75:$C$79</f>
            </numRef>
          </val>
        </ser>
        <axId val="10"/>
        <axId val="100"/>
      </radarChart>
      <catAx>
        <axId val="10"/>
        <scaling>
          <orientation val="minMax"/>
        </scaling>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r"/>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13.  Contribution by Member</a:t>
            </a:r>
          </a:p>
        </rich>
      </tx>
    </title>
    <plotArea>
      <barChart>
        <barDir val="col"/>
        <grouping val="clustered"/>
        <ser>
          <idx val="0"/>
          <order val="0"/>
          <tx>
            <strRef>
              <f>'CHARTDATA'!B81</f>
            </strRef>
          </tx>
          <spPr>
            <a:solidFill xmlns:a="http://schemas.openxmlformats.org/drawingml/2006/main">
              <a:srgbClr val="14505C"/>
            </a:solidFill>
            <a:ln xmlns:a="http://schemas.openxmlformats.org/drawingml/2006/main">
              <a:prstDash val="solid"/>
            </a:ln>
          </spPr>
          <cat>
            <numRef>
              <f>'CHARTDATA'!$A$82:$A$87</f>
            </numRef>
          </cat>
          <val>
            <numRef>
              <f>'CHARTDATA'!$B$82:$B$87</f>
            </numRef>
          </val>
        </ser>
        <ser>
          <idx val="1"/>
          <order val="1"/>
          <tx>
            <strRef>
              <f>'CHARTDATA'!C81</f>
            </strRef>
          </tx>
          <spPr>
            <a:solidFill xmlns:a="http://schemas.openxmlformats.org/drawingml/2006/main">
              <a:srgbClr val="B4531A"/>
            </a:solidFill>
            <a:ln xmlns:a="http://schemas.openxmlformats.org/drawingml/2006/main">
              <a:prstDash val="solid"/>
            </a:ln>
          </spPr>
          <cat>
            <numRef>
              <f>'CHARTDATA'!$A$82:$A$87</f>
            </numRef>
          </cat>
          <val>
            <numRef>
              <f>'CHARTDATA'!$C$82:$C$87</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Member</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Hours / commits</a:t>
                </a:r>
              </a:p>
            </rich>
          </tx>
        </title>
        <majorTickMark val="none"/>
        <minorTickMark val="none"/>
        <crossAx val="10"/>
      </valAx>
    </plotArea>
    <legend>
      <legendPos val="b"/>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14.  Time in Phase: Plan vs Actual</a:t>
            </a:r>
          </a:p>
        </rich>
      </tx>
    </title>
    <plotArea>
      <barChart>
        <barDir val="col"/>
        <grouping val="clustered"/>
        <ser>
          <idx val="0"/>
          <order val="0"/>
          <tx>
            <strRef>
              <f>'CHARTDATA'!G21</f>
            </strRef>
          </tx>
          <spPr>
            <a:solidFill xmlns:a="http://schemas.openxmlformats.org/drawingml/2006/main">
              <a:srgbClr val="14505C"/>
            </a:solidFill>
            <a:ln xmlns:a="http://schemas.openxmlformats.org/drawingml/2006/main">
              <a:prstDash val="solid"/>
            </a:ln>
          </spPr>
          <cat>
            <numRef>
              <f>'CHARTDATA'!$A$22:$A$42</f>
            </numRef>
          </cat>
          <val>
            <numRef>
              <f>'CHARTDATA'!$G$22:$G$42</f>
            </numRef>
          </val>
        </ser>
        <ser>
          <idx val="1"/>
          <order val="1"/>
          <tx>
            <strRef>
              <f>'CHARTDATA'!H21</f>
            </strRef>
          </tx>
          <spPr>
            <a:solidFill xmlns:a="http://schemas.openxmlformats.org/drawingml/2006/main">
              <a:srgbClr val="B4531A"/>
            </a:solidFill>
            <a:ln xmlns:a="http://schemas.openxmlformats.org/drawingml/2006/main">
              <a:prstDash val="solid"/>
            </a:ln>
          </spPr>
          <cat>
            <numRef>
              <f>'CHARTDATA'!$A$22:$A$42</f>
            </numRef>
          </cat>
          <val>
            <numRef>
              <f>'CHARTDATA'!$H$22:$H$42</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a:pPr>
                <a:r>
                  <a:t>Phase</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TMA3084 Workbook</author>
  </authors>
  <commentList>
    <comment ref="H8" authorId="0" shapeId="0">
      <text>
        <t>Only the member who doubles up this cycle has a secondary role - leave it blank for everyone else. ROLES is where the full rotation lives.</t>
      </text>
    </comment>
    <comment ref="L8" authorId="0" shapeId="0">
      <text>
        <t>LOW = this member has logged well under an even share of team hours. HIGH = carrying a disproportionate load. Both are conversations to have at the weekly meeting, not automatic verdicts.</t>
      </text>
    </comment>
    <comment ref="B18" authorId="0" shapeId="0">
      <text>
        <t>What this product is for, in one sentence the client would recognise.</t>
      </text>
    </comment>
    <comment ref="B19" authorId="0" shapeId="0">
      <text>
        <t>Channel, response time, meeting cadence, language.</t>
      </text>
    </comment>
    <comment ref="B20" authorId="0" shapeId="0">
      <text>
        <t>Code reviewed, tests written and passing, CI green, documented.</t>
      </text>
    </comment>
    <comment ref="B21" authorId="0" shapeId="0">
      <text>
        <t>How disagreements are escalated and settled.</t>
      </text>
    </comment>
    <comment ref="B22" authorId="0" shapeId="0">
      <text>
        <t>Coverage floor, lint rules, review turnaround, AI-code review rule.</t>
      </text>
    </comment>
    <comment ref="B23" authorId="0" shapeId="0">
      <text>
        <t>Expected hours per member per week and how absence is handled.</t>
      </text>
    </comment>
  </commentList>
</comments>
</file>

<file path=xl/comments/comment2.xml><?xml version="1.0" encoding="utf-8"?>
<comments xmlns="http://schemas.openxmlformats.org/spreadsheetml/2006/main">
  <authors>
    <author>TMA3084 Workbook</author>
  </authors>
  <commentList>
    <comment ref="C7" authorId="0" shapeId="0">
      <text>
        <t>Six roles, and nobody may hold more than two of them in one cycle. With five members that means exactly one member doubles up; with four it means two do. The check below works this out from the team size on SETUP.</t>
      </text>
    </comment>
  </commentList>
</comments>
</file>

<file path=xl/comments/comment3.xml><?xml version="1.0" encoding="utf-8"?>
<comments xmlns="http://schemas.openxmlformats.org/spreadsheetml/2006/main">
  <authors>
    <author>TMA3084 Workbook</author>
  </authors>
  <commentList>
    <comment ref="J7" authorId="0" shapeId="0">
      <text>
        <t>Estimated hours from size and rate. If you have no rate data yet, leave size and rate blank and put your judgement straight into Plan hrs.</t>
      </text>
    </comment>
    <comment ref="Q7" authorId="0" shapeId="0">
      <text>
        <t>Earned value is only credited when the task is marked Complete. Half-finished work earns nothing - that is what stops a plan from quietly slipping.</t>
      </text>
    </comment>
  </commentList>
</comments>
</file>

<file path=xl/comments/comment4.xml><?xml version="1.0" encoding="utf-8"?>
<comments xmlns="http://schemas.openxmlformats.org/spreadsheetml/2006/main">
  <authors>
    <author>TMA3084 Workbook</author>
  </authors>
  <commentList>
    <comment ref="K7" authorId="0" shapeId="0">
      <text>
        <t>Negative means the team has earned less value than it planned to by this week - it is behind, regardless of how many hours it has burned.</t>
      </text>
    </comment>
  </commentList>
</comments>
</file>

<file path=xl/comments/comment5.xml><?xml version="1.0" encoding="utf-8"?>
<comments xmlns="http://schemas.openxmlformats.org/spreadsheetml/2006/main">
  <authors>
    <author>TMA3084 Workbook</author>
  </authors>
  <commentList>
    <comment ref="F6" authorId="0" shapeId="0">
      <text>
        <t>Must match an ID on the TASK sheet so the hours roll up against the plan. Leave blank only for unplanned work, and then add the task to TASK afterwards.</t>
      </text>
    </comment>
    <comment ref="J6" authorId="0" shapeId="0">
      <text>
        <t>Minutes of interruption to subtract: a phone call, a break, switching to something else. Be honest - interrupt time is what makes the rate data usable.</t>
      </text>
    </comment>
  </commentList>
</comments>
</file>

<file path=xl/comments/comment6.xml><?xml version="1.0" encoding="utf-8"?>
<comments xmlns="http://schemas.openxmlformats.org/spreadsheetml/2006/main">
  <authors>
    <author>TMA3084 Workbook</author>
  </authors>
  <commentList>
    <comment ref="G6" authorId="0" shapeId="0">
      <text>
        <t>The phase where the mistake was MADE, not where you noticed it. Being honest here is the whole point - it is what tells you which review to strengthen.</t>
      </text>
    </comment>
    <comment ref="L6" authorId="0" shapeId="0">
      <text>
        <t>Mark Yes if the faulty line came from Copilot, Claude or any other generator. This is how the team learns where unreviewed AI output costs it time.</t>
      </text>
    </comment>
  </commentList>
</comments>
</file>

<file path=xl/comments/comment7.xml><?xml version="1.0" encoding="utf-8"?>
<comments xmlns="http://schemas.openxmlformats.org/spreadsheetml/2006/main">
  <authors>
    <author>TMA3084 Workbook</author>
  </authors>
  <commentList>
    <comment ref="I6" authorId="0" shapeId="0">
      <text>
        <t>How many of the generated lines survived review and ended up merged. A low keep rate is not a failure; it is useful evidence about where the tool helps and where it does not.</t>
      </text>
    </comment>
    <comment ref="K6" authorId="0" shapeId="0">
      <text>
        <t>The reviewer must not be the person who prompted the generator. A row where member and reviewer are the same name is highlighted red - self-review does not satisfy the rule.</t>
      </text>
    </comment>
  </commentList>
</comments>
</file>

<file path=xl/comments/comment8.xml><?xml version="1.0" encoding="utf-8"?>
<comments xmlns="http://schemas.openxmlformats.org/spreadsheetml/2006/main">
  <authors>
    <author>TMA3084 Workbook</author>
  </authors>
  <commentList>
    <comment ref="A6" authorId="0" shapeId="0">
      <text>
        <t>This sheet is calculated from IRTL and sorted by priority. To change anything here, change the row in IRTL - a completed item drops off this list automatically.</t>
      </text>
    </comment>
  </commentList>
</comments>
</file>

<file path=xl/comments/comment9.xml><?xml version="1.0" encoding="utf-8"?>
<comments xmlns="http://schemas.openxmlformats.org/spreadsheetml/2006/main">
  <authors>
    <author>TMA3084 Workbook</author>
  </authors>
  <commentList>
    <comment ref="A3" authorId="0" shapeId="0">
      <text>
        <t>Charts refresh when the workbook recalculates. If one looks empty, the log behind it is empty - check CHARTDATA to see which series has no numbers.</t>
      </text>
    </comment>
  </commentList>
</comments>
</file>

<file path=xl/comments/comment10.xml><?xml version="1.0" encoding="utf-8"?>
<comments xmlns="http://schemas.openxmlformats.org/spreadsheetml/2006/main">
  <authors>
    <author>TMA3084 Workbook</author>
  </authors>
  <commentList>
    <comment ref="C7" authorId="0" shapeId="0">
      <text>
        <t>Average of the ratings this member received from the other members, out of 50. Self-rating is reported separately so it cannot inflate the score.</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chart" Target="/xl/charts/chart6.xml" Id="rId4"/><Relationship Type="http://schemas.openxmlformats.org/officeDocument/2006/relationships/chart" Target="/xl/charts/chart7.xml" Id="rId5"/><Relationship Type="http://schemas.openxmlformats.org/officeDocument/2006/relationships/chart" Target="/xl/charts/chart8.xml" Id="rId6"/><Relationship Type="http://schemas.openxmlformats.org/officeDocument/2006/relationships/chart" Target="/xl/charts/chart9.xml" Id="rId7"/><Relationship Type="http://schemas.openxmlformats.org/officeDocument/2006/relationships/chart" Target="/xl/charts/chart10.xml" Id="rId8"/><Relationship Type="http://schemas.openxmlformats.org/officeDocument/2006/relationships/chart" Target="/xl/charts/chart11.xml" Id="rId9"/><Relationship Type="http://schemas.openxmlformats.org/officeDocument/2006/relationships/chart" Target="/xl/charts/chart12.xml" Id="rId10"/><Relationship Type="http://schemas.openxmlformats.org/officeDocument/2006/relationships/chart" Target="/xl/charts/chart13.xml" Id="rId11"/><Relationship Type="http://schemas.openxmlformats.org/officeDocument/2006/relationships/chart" Target="/xl/charts/chart14.xml" Id="rId12"/><Relationship Type="http://schemas.openxmlformats.org/officeDocument/2006/relationships/chart" Target="/xl/charts/chart15.xml" Id="rId13"/><Relationship Type="http://schemas.openxmlformats.org/officeDocument/2006/relationships/chart" Target="/xl/charts/chart16.xml" Id="rId14"/></Relationships>
</file>

<file path=xl/drawings/drawing1.xml><?xml version="1.0" encoding="utf-8"?>
<wsDr xmlns="http://schemas.openxmlformats.org/drawingml/2006/spreadsheetDrawing">
  <oneCellAnchor>
    <from>
      <col>1</col>
      <colOff>0</colOff>
      <row>14</row>
      <rowOff>0</rowOff>
    </from>
    <ext cx="5580000"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14</row>
      <rowOff>0</rowOff>
    </from>
    <ext cx="5580000"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col>
      <colOff>0</colOff>
      <row>3</row>
      <rowOff>0</rowOff>
    </from>
    <ext cx="5580000"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3</row>
      <rowOff>0</rowOff>
    </from>
    <ext cx="5580000"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21</row>
      <rowOff>0</rowOff>
    </from>
    <ext cx="5580000" cy="29519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21</row>
      <rowOff>0</rowOff>
    </from>
    <ext cx="5580000" cy="2951999"/>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col>
      <colOff>0</colOff>
      <row>39</row>
      <rowOff>0</rowOff>
    </from>
    <ext cx="5580000" cy="2951999"/>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7</col>
      <colOff>0</colOff>
      <row>39</row>
      <rowOff>0</rowOff>
    </from>
    <ext cx="5580000" cy="2951999"/>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1</col>
      <colOff>0</colOff>
      <row>57</row>
      <rowOff>0</rowOff>
    </from>
    <ext cx="5580000" cy="2951999"/>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7</col>
      <colOff>0</colOff>
      <row>57</row>
      <rowOff>0</rowOff>
    </from>
    <ext cx="5580000" cy="2951999"/>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1</col>
      <colOff>0</colOff>
      <row>75</row>
      <rowOff>0</rowOff>
    </from>
    <ext cx="5580000" cy="2951999"/>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7</col>
      <colOff>0</colOff>
      <row>75</row>
      <rowOff>0</rowOff>
    </from>
    <ext cx="5580000" cy="2951999"/>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1</col>
      <colOff>0</colOff>
      <row>93</row>
      <rowOff>0</rowOff>
    </from>
    <ext cx="5580000" cy="2951999"/>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7</col>
      <colOff>0</colOff>
      <row>93</row>
      <rowOff>0</rowOff>
    </from>
    <ext cx="5580000" cy="2951999"/>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1</col>
      <colOff>0</colOff>
      <row>111</row>
      <rowOff>0</rowOff>
    </from>
    <ext cx="5580000" cy="2951999"/>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7</col>
      <colOff>0</colOff>
      <row>111</row>
      <rowOff>0</rowOff>
    </from>
    <ext cx="5580000" cy="2951999"/>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SETUP'!A1" TargetMode="External" Id="rId1"/><Relationship Type="http://schemas.openxmlformats.org/officeDocument/2006/relationships/hyperlink" Target="#'FORM-SI'!A1" TargetMode="External" Id="rId2"/><Relationship Type="http://schemas.openxmlformats.org/officeDocument/2006/relationships/hyperlink" Target="#'FORM-SI'!A1" TargetMode="External" Id="rId3"/><Relationship Type="http://schemas.openxmlformats.org/officeDocument/2006/relationships/hyperlink" Target="#'ROLES'!A1" TargetMode="External" Id="rId4"/><Relationship Type="http://schemas.openxmlformats.org/officeDocument/2006/relationships/hyperlink" Target="#'GOALS'!A1" TargetMode="External" Id="rId5"/><Relationship Type="http://schemas.openxmlformats.org/officeDocument/2006/relationships/hyperlink" Target="#'STRAT'!A1" TargetMode="External" Id="rId6"/><Relationship Type="http://schemas.openxmlformats.org/officeDocument/2006/relationships/hyperlink" Target="#'SUMS'!A1" TargetMode="External" Id="rId7"/><Relationship Type="http://schemas.openxmlformats.org/officeDocument/2006/relationships/hyperlink" Target="#'TASK'!A1" TargetMode="External" Id="rId8"/><Relationship Type="http://schemas.openxmlformats.org/officeDocument/2006/relationships/hyperlink" Target="#'SCHEDULE'!A1" TargetMode="External" Id="rId9"/><Relationship Type="http://schemas.openxmlformats.org/officeDocument/2006/relationships/hyperlink" Target="#'LOGT'!A1" TargetMode="External" Id="rId10"/><Relationship Type="http://schemas.openxmlformats.org/officeDocument/2006/relationships/hyperlink" Target="#'LOGT'!A1" TargetMode="External" Id="rId11"/><Relationship Type="http://schemas.openxmlformats.org/officeDocument/2006/relationships/hyperlink" Target="#'LOGD'!A1" TargetMode="External" Id="rId12"/><Relationship Type="http://schemas.openxmlformats.org/officeDocument/2006/relationships/hyperlink" Target="#'LOGTEST'!A1" TargetMode="External" Id="rId13"/><Relationship Type="http://schemas.openxmlformats.org/officeDocument/2006/relationships/hyperlink" Target="#'LOGAI'!A1" TargetMode="External" Id="rId14"/><Relationship Type="http://schemas.openxmlformats.org/officeDocument/2006/relationships/hyperlink" Target="#'LOGCLIENT'!A1" TargetMode="External" Id="rId15"/><Relationship Type="http://schemas.openxmlformats.org/officeDocument/2006/relationships/hyperlink" Target="#'LOGGIT'!A1" TargetMode="External" Id="rId16"/><Relationship Type="http://schemas.openxmlformats.org/officeDocument/2006/relationships/hyperlink" Target="#'TASK'!A1" TargetMode="External" Id="rId17"/><Relationship Type="http://schemas.openxmlformats.org/officeDocument/2006/relationships/hyperlink" Target="#'WEEK'!A1" TargetMode="External" Id="rId18"/><Relationship Type="http://schemas.openxmlformats.org/officeDocument/2006/relationships/hyperlink" Target="#'IRTL'!A1" TargetMode="External" Id="rId19"/><Relationship Type="http://schemas.openxmlformats.org/officeDocument/2006/relationships/hyperlink" Target="#'CCR'!A1" TargetMode="External" Id="rId20"/><Relationship Type="http://schemas.openxmlformats.org/officeDocument/2006/relationships/hyperlink" Target="#'DASHBOARD'!A1" TargetMode="External" Id="rId21"/><Relationship Type="http://schemas.openxmlformats.org/officeDocument/2006/relationships/hyperlink" Target="#'DASHBOARD'!A1" TargetMode="External" Id="rId22"/><Relationship Type="http://schemas.openxmlformats.org/officeDocument/2006/relationships/hyperlink" Target="#'WEEK'!A1" TargetMode="External" Id="rId23"/><Relationship Type="http://schemas.openxmlformats.org/officeDocument/2006/relationships/hyperlink" Target="#'SUMS'!A1" TargetMode="External" Id="rId24"/><Relationship Type="http://schemas.openxmlformats.org/officeDocument/2006/relationships/hyperlink" Target="#'SUMP'!A1" TargetMode="External" Id="rId25"/><Relationship Type="http://schemas.openxmlformats.org/officeDocument/2006/relationships/hyperlink" Target="#'SUMQ'!A1" TargetMode="External" Id="rId26"/><Relationship Type="http://schemas.openxmlformats.org/officeDocument/2006/relationships/hyperlink" Target="#'SUMQ'!A1" TargetMode="External" Id="rId27"/><Relationship Type="http://schemas.openxmlformats.org/officeDocument/2006/relationships/hyperlink" Target="#'PEER'!A1" TargetMode="External" Id="rId28"/><Relationship Type="http://schemas.openxmlformats.org/officeDocument/2006/relationships/hyperlink" Target="#'TEAMEVAL'!A1" TargetMode="External" Id="rId29"/><Relationship Type="http://schemas.openxmlformats.org/officeDocument/2006/relationships/hyperlink" Target="#'ASSESS'!A1" TargetMode="External" Id="rId30"/><Relationship Type="http://schemas.openxmlformats.org/officeDocument/2006/relationships/hyperlink" Target="#'CHARTS'!A1" TargetMode="External" Id="rId31"/><Relationship Type="http://schemas.openxmlformats.org/officeDocument/2006/relationships/hyperlink" Target="#'GOALS'!A1" TargetMode="External" Id="rId32"/><Relationship Type="http://schemas.openxmlformats.org/officeDocument/2006/relationships/hyperlink" Target="#'SETUP'!A1" TargetMode="External" Id="rId33"/><Relationship Type="http://schemas.openxmlformats.org/officeDocument/2006/relationships/hyperlink" Target="#'FORM-SI'!A1" TargetMode="External" Id="rId34"/><Relationship Type="http://schemas.openxmlformats.org/officeDocument/2006/relationships/hyperlink" Target="#'ROLES'!A1" TargetMode="External" Id="rId35"/><Relationship Type="http://schemas.openxmlformats.org/officeDocument/2006/relationships/hyperlink" Target="#'GOALS'!A1" TargetMode="External" Id="rId36"/><Relationship Type="http://schemas.openxmlformats.org/officeDocument/2006/relationships/hyperlink" Target="#'STRAT'!A1" TargetMode="External" Id="rId37"/><Relationship Type="http://schemas.openxmlformats.org/officeDocument/2006/relationships/hyperlink" Target="#'TASK'!A1" TargetMode="External" Id="rId38"/><Relationship Type="http://schemas.openxmlformats.org/officeDocument/2006/relationships/hyperlink" Target="#'SCHEDULE'!A1" TargetMode="External" Id="rId39"/><Relationship Type="http://schemas.openxmlformats.org/officeDocument/2006/relationships/hyperlink" Target="#'LOGT'!A1" TargetMode="External" Id="rId40"/><Relationship Type="http://schemas.openxmlformats.org/officeDocument/2006/relationships/hyperlink" Target="#'LOGD'!A1" TargetMode="External" Id="rId41"/><Relationship Type="http://schemas.openxmlformats.org/officeDocument/2006/relationships/hyperlink" Target="#'LOGTEST'!A1" TargetMode="External" Id="rId42"/><Relationship Type="http://schemas.openxmlformats.org/officeDocument/2006/relationships/hyperlink" Target="#'LOGAI'!A1" TargetMode="External" Id="rId43"/><Relationship Type="http://schemas.openxmlformats.org/officeDocument/2006/relationships/hyperlink" Target="#'LOGCLIENT'!A1" TargetMode="External" Id="rId44"/><Relationship Type="http://schemas.openxmlformats.org/officeDocument/2006/relationships/hyperlink" Target="#'LOGGIT'!A1" TargetMode="External" Id="rId45"/><Relationship Type="http://schemas.openxmlformats.org/officeDocument/2006/relationships/hyperlink" Target="#'WEEK'!A1" TargetMode="External" Id="rId46"/><Relationship Type="http://schemas.openxmlformats.org/officeDocument/2006/relationships/hyperlink" Target="#'IRTL'!A1" TargetMode="External" Id="rId47"/><Relationship Type="http://schemas.openxmlformats.org/officeDocument/2006/relationships/hyperlink" Target="#'CCR'!A1" TargetMode="External" Id="rId48"/><Relationship Type="http://schemas.openxmlformats.org/officeDocument/2006/relationships/hyperlink" Target="#'SUMS'!A1" TargetMode="External" Id="rId49"/><Relationship Type="http://schemas.openxmlformats.org/officeDocument/2006/relationships/hyperlink" Target="#'SUMP'!A1" TargetMode="External" Id="rId50"/><Relationship Type="http://schemas.openxmlformats.org/officeDocument/2006/relationships/hyperlink" Target="#'SUMQ'!A1" TargetMode="External" Id="rId51"/><Relationship Type="http://schemas.openxmlformats.org/officeDocument/2006/relationships/hyperlink" Target="#'PEER'!A1" TargetMode="External" Id="rId52"/><Relationship Type="http://schemas.openxmlformats.org/officeDocument/2006/relationships/hyperlink" Target="#'TEAMEVAL'!A1" TargetMode="External" Id="rId53"/><Relationship Type="http://schemas.openxmlformats.org/officeDocument/2006/relationships/hyperlink" Target="#'ASSESS'!A1" TargetMode="External" Id="rId54"/><Relationship Type="http://schemas.openxmlformats.org/officeDocument/2006/relationships/hyperlink" Target="#'DASHBOARD'!A1" TargetMode="External" Id="rId55"/><Relationship Type="http://schemas.openxmlformats.org/officeDocument/2006/relationships/hyperlink" Target="#'PROJECT'!A1" TargetMode="External" Id="rId56"/><Relationship Type="http://schemas.openxmlformats.org/officeDocument/2006/relationships/hyperlink" Target="#'CHARTS'!A1" TargetMode="External" Id="rId57"/><Relationship Type="http://schemas.openxmlformats.org/officeDocument/2006/relationships/hyperlink" Target="#'IRWEEK'!A1" TargetMode="External" Id="rId58"/><Relationship Type="http://schemas.openxmlformats.org/officeDocument/2006/relationships/hyperlink" Target="#'RISK'!A1" TargetMode="External" Id="rId59"/><Relationship Type="http://schemas.openxmlformats.org/officeDocument/2006/relationships/hyperlink" Target="#'PHASES'!A1" TargetMode="External" Id="rId60"/><Relationship Type="http://schemas.openxmlformats.org/officeDocument/2006/relationships/hyperlink" Target="#'DEFECTTYPES'!A1" TargetMode="External" Id="rId61"/><Relationship Type="http://schemas.openxmlformats.org/officeDocument/2006/relationships/hyperlink" Target="#'PLANGUIDE'!A1" TargetMode="External" Id="rId62"/><Relationship Type="http://schemas.openxmlformats.org/officeDocument/2006/relationships/hyperlink" Target="#'QUALGUIDE'!A1" TargetMode="External" Id="rId63"/><Relationship Type="http://schemas.openxmlformats.org/officeDocument/2006/relationships/hyperlink" Target="#'QPROFPARAM'!A1" TargetMode="External" Id="rId64"/><Relationship Type="http://schemas.openxmlformats.org/officeDocument/2006/relationships/hyperlink" Target="#'CHARTDATA'!A1" TargetMode="External" Id="rId65"/><Relationship Type="http://schemas.openxmlformats.org/officeDocument/2006/relationships/hyperlink" Target="#'LISTS'!A1" TargetMode="External" Id="rId66"/></Relationships>
</file>

<file path=xl/worksheets/_rels/sheet3.xml.rels><Relationships xmlns="http://schemas.openxmlformats.org/package/2006/relationships"><Relationship Type="http://schemas.openxmlformats.org/officeDocument/2006/relationships/hyperlink" Target="#'MANUAL'!A1" TargetMode="External" Id="rId1"/><Relationship Type="http://schemas.openxmlformats.org/officeDocument/2006/relationships/hyperlink" Target="#'PROJECT'!A1" TargetMode="External" Id="rId2"/><Relationship Type="http://schemas.openxmlformats.org/officeDocument/2006/relationships/hyperlink" Target="#'SETUP'!A1" TargetMode="External" Id="rId3"/><Relationship Type="http://schemas.openxmlformats.org/officeDocument/2006/relationships/hyperlink" Target="#'FORM-SI'!A1" TargetMode="External" Id="rId4"/><Relationship Type="http://schemas.openxmlformats.org/officeDocument/2006/relationships/hyperlink" Target="#'ROLES'!A1" TargetMode="External" Id="rId5"/><Relationship Type="http://schemas.openxmlformats.org/officeDocument/2006/relationships/hyperlink" Target="#'GOALS'!A1" TargetMode="External" Id="rId6"/><Relationship Type="http://schemas.openxmlformats.org/officeDocument/2006/relationships/hyperlink" Target="#'STRAT'!A1" TargetMode="External" Id="rId7"/><Relationship Type="http://schemas.openxmlformats.org/officeDocument/2006/relationships/hyperlink" Target="#'TASK'!A1" TargetMode="External" Id="rId8"/><Relationship Type="http://schemas.openxmlformats.org/officeDocument/2006/relationships/hyperlink" Target="#'SCHEDULE'!A1" TargetMode="External" Id="rId9"/><Relationship Type="http://schemas.openxmlformats.org/officeDocument/2006/relationships/hyperlink" Target="#'LOGT'!A1" TargetMode="External" Id="rId10"/><Relationship Type="http://schemas.openxmlformats.org/officeDocument/2006/relationships/hyperlink" Target="#'LOGD'!A1" TargetMode="External" Id="rId11"/><Relationship Type="http://schemas.openxmlformats.org/officeDocument/2006/relationships/hyperlink" Target="#'LOGTEST'!A1" TargetMode="External" Id="rId12"/><Relationship Type="http://schemas.openxmlformats.org/officeDocument/2006/relationships/hyperlink" Target="#'LOGAI'!A1" TargetMode="External" Id="rId13"/><Relationship Type="http://schemas.openxmlformats.org/officeDocument/2006/relationships/hyperlink" Target="#'LOGCLIENT'!A1" TargetMode="External" Id="rId14"/><Relationship Type="http://schemas.openxmlformats.org/officeDocument/2006/relationships/hyperlink" Target="#'LOGGIT'!A1" TargetMode="External" Id="rId15"/><Relationship Type="http://schemas.openxmlformats.org/officeDocument/2006/relationships/hyperlink" Target="#'WEEK'!A1" TargetMode="External" Id="rId16"/><Relationship Type="http://schemas.openxmlformats.org/officeDocument/2006/relationships/hyperlink" Target="#'IRTL'!A1" TargetMode="External" Id="rId17"/><Relationship Type="http://schemas.openxmlformats.org/officeDocument/2006/relationships/hyperlink" Target="#'IRWEEK'!A1" TargetMode="External" Id="rId18"/><Relationship Type="http://schemas.openxmlformats.org/officeDocument/2006/relationships/hyperlink" Target="#'RISK'!A1" TargetMode="External" Id="rId19"/><Relationship Type="http://schemas.openxmlformats.org/officeDocument/2006/relationships/hyperlink" Target="#'CCR'!A1" TargetMode="External" Id="rId20"/><Relationship Type="http://schemas.openxmlformats.org/officeDocument/2006/relationships/hyperlink" Target="#'SUMS'!A1" TargetMode="External" Id="rId21"/><Relationship Type="http://schemas.openxmlformats.org/officeDocument/2006/relationships/hyperlink" Target="#'SUMP'!A1" TargetMode="External" Id="rId22"/><Relationship Type="http://schemas.openxmlformats.org/officeDocument/2006/relationships/hyperlink" Target="#'SUMQ'!A1" TargetMode="External" Id="rId23"/><Relationship Type="http://schemas.openxmlformats.org/officeDocument/2006/relationships/hyperlink" Target="#'CHARTS'!A1" TargetMode="External" Id="rId24"/><Relationship Type="http://schemas.openxmlformats.org/officeDocument/2006/relationships/hyperlink" Target="#'PEER'!A1" TargetMode="External" Id="rId25"/><Relationship Type="http://schemas.openxmlformats.org/officeDocument/2006/relationships/hyperlink" Target="#'TEAMEVAL'!A1" TargetMode="External" Id="rId26"/><Relationship Type="http://schemas.openxmlformats.org/officeDocument/2006/relationships/hyperlink" Target="#'ASSESS'!A1" TargetMode="External" Id="rId27"/><Relationship Type="http://schemas.openxmlformats.org/officeDocument/2006/relationships/hyperlink" Target="#'DASHBOARD'!A1" TargetMode="External" Id="rId28"/><Relationship Type="http://schemas.openxmlformats.org/officeDocument/2006/relationships/hyperlink" Target="#'PHASES'!A1" TargetMode="External" Id="rId29"/><Relationship Type="http://schemas.openxmlformats.org/officeDocument/2006/relationships/hyperlink" Target="#'DEFECTTYPES'!A1" TargetMode="External" Id="rId30"/><Relationship Type="http://schemas.openxmlformats.org/officeDocument/2006/relationships/hyperlink" Target="#'PLANGUIDE'!A1" TargetMode="External" Id="rId31"/><Relationship Type="http://schemas.openxmlformats.org/officeDocument/2006/relationships/hyperlink" Target="#'QUALGUIDE'!A1" TargetMode="External" Id="rId32"/><Relationship Type="http://schemas.openxmlformats.org/officeDocument/2006/relationships/hyperlink" Target="#'QPROFPARAM'!A1" TargetMode="External" Id="rId33"/><Relationship Type="http://schemas.openxmlformats.org/officeDocument/2006/relationships/hyperlink" Target="#'CHARTDATA'!A1" TargetMode="External" Id="rId34"/><Relationship Type="http://schemas.openxmlformats.org/officeDocument/2006/relationships/hyperlink" Target="#'LISTS'!A1" TargetMode="External" Id="rId35"/></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1.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3.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5.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2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26.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27.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tabColor rgb="00B4531A"/>
    <outlinePr summaryBelow="1" summaryRight="1"/>
    <pageSetUpPr fitToPage="1"/>
  </sheetPr>
  <dimension ref="A1:D17"/>
  <sheetViews>
    <sheetView showGridLines="0" workbookViewId="0">
      <selection activeCell="A1" sqref="A1"/>
    </sheetView>
  </sheetViews>
  <sheetFormatPr baseColWidth="8" defaultRowHeight="15" outlineLevelCol="0"/>
  <cols>
    <col width="3" customWidth="1" min="1" max="1"/>
    <col width="26" customWidth="1" min="2" max="2"/>
    <col width="96" customWidth="1" min="3" max="3"/>
    <col width="3" customWidth="1" min="4" max="4"/>
  </cols>
  <sheetData>
    <row r="1" ht="30" customHeight="1">
      <c r="A1" s="1" t="inlineStr">
        <is>
          <t>TSPi Team Workbook  -  TMA3084 Software Engineering Laboratory</t>
        </is>
      </c>
    </row>
    <row r="2" ht="16" customHeight="1">
      <c r="A2" s="2" t="inlineStr">
        <is>
          <t>Faculty of Computer Science &amp; Information Technology, UNIMAS   |   Semester 1, Session 2026/2027   |   Workbook v3.0 (2026-10-29)</t>
        </is>
      </c>
    </row>
    <row r="3" ht="42" customHeight="1">
      <c r="B3" s="142" t="inlineStr">
        <is>
          <t>WORKED SAMPLE  -  all names, matric numbers, emails, phone numbers and the client are fictional. The time, task and defect data is migrated from a real past team's workbooks with identities removed; the test, AI, client, GitHub and evaluation forms are illustrative, written to show what a complete workbook looks like. Do not copy the numbers - copy the habit.</t>
        </is>
      </c>
    </row>
    <row r="4" ht="50" customHeight="1">
      <c r="B4" s="3" t="inlineStr">
        <is>
          <t>What this is</t>
        </is>
      </c>
      <c r="C4" s="4" t="inlineStr">
        <is>
          <t>A Team Software Process (TSP) team workbook rebuilt for TMA3084. It keeps the TSP measurement discipline - time, defects, size, earned value - and adds the forms this course actually assesses: AI-assisted coding, automated testing, GitHub workflow, client engagement and peer evaluation.</t>
        </is>
      </c>
    </row>
    <row r="5" ht="50" customHeight="1">
      <c r="B5" s="3" t="inlineStr">
        <is>
          <t>Lineage</t>
        </is>
      </c>
      <c r="C5" s="4" t="inlineStr">
        <is>
          <t>The process model follows the Team Software Process introduced by Watts S. Humphrey. The original TSPi support workbook (2002, Addison-Wesley) is the ancestor of this file; every sheet here has been rewritten for this course. Forms, phases, defect types and all guidance text are original to TMA3084.</t>
        </is>
      </c>
    </row>
    <row r="6" ht="86" customHeight="1">
      <c r="B6" s="3" t="inlineStr">
        <is>
          <t>What changed from the 2002 workbook</t>
        </is>
      </c>
      <c r="C6" s="4" t="inlineStr">
        <is>
          <t>NEW forms: LOGAI (AI-assisted development), LOGTEST (test cases), LOGCLIENT (client meetings), LOGGIT (GitHub activity), CCR (change requests), PEER, TEAMEVAL, ASSESS, DASHBOARD, FORM-SI.  MODERNISED: phase set now covers AI generation, pull-request review, static analysis, widget test and CI/CD; defect types extended with UI/Layout, State Management, Performance, Security and AI-Generated; size measures cover screens, widgets and API endpoints alongside LOC.  REMOVED: the single-week WEEK form is now a 13-week tracking table, and the PSP-style prediction intervals are dropped as the team has no historical data base.</t>
        </is>
      </c>
    </row>
    <row r="7" ht="38" customHeight="1">
      <c r="B7" s="3" t="inlineStr">
        <is>
          <t>Colour convention</t>
        </is>
      </c>
      <c r="C7" s="4" t="inlineStr">
        <is>
          <t>AMBER cells are yours to fill in.  GREY cells are calculated - typing over one destroys the rollup.  Every drop-down is fed by the LISTS sheet.</t>
        </is>
      </c>
    </row>
    <row r="8" ht="50" customHeight="1">
      <c r="B8" s="3" t="inlineStr">
        <is>
          <t>How to run it</t>
        </is>
      </c>
      <c r="C8" s="4" t="inlineStr">
        <is>
          <t>1. Fill SETUP once, then FORM-SI with every member.  2. Agree roles in ROLES and goals in GOALS.  3. Plan each cycle in TASK and SCHEDULE.  4. Record daily in LOGT, LOGD, LOGTEST and LOGAI.  5. Hold the weekly meeting against WEEK and IRTL.  6. SUMP, SUMQ, SUMS and DASHBOARD fill themselves.</t>
        </is>
      </c>
    </row>
    <row r="9" ht="38" customHeight="1">
      <c r="B9" s="3" t="inlineStr">
        <is>
          <t>One workbook per team</t>
        </is>
      </c>
      <c r="C9" s="4" t="inlineStr">
        <is>
          <t>The team keeps one shared copy in the repository (docs/tspi/). Each member records their own rows in the logs and tags them with their name, so individual contribution is traceable without separate files.</t>
        </is>
      </c>
    </row>
    <row r="10" ht="50" customHeight="1">
      <c r="B10" s="3" t="inlineStr">
        <is>
          <t>Honesty clause</t>
        </is>
      </c>
      <c r="C10" s="4" t="inlineStr">
        <is>
          <t>These numbers are the evidence behind Peer/Individual and Team Evaluation. Logging work you did not do, or back-filling a term's worth of hours the night before a milestone, is academic dishonesty and the pattern is visible in DASHBOARD.</t>
        </is>
      </c>
    </row>
    <row r="12" ht="19" customHeight="1">
      <c r="A12" s="5" t="inlineStr">
        <is>
          <t>Milestones</t>
        </is>
      </c>
    </row>
    <row r="13" ht="18" customHeight="1">
      <c r="B13" s="6" t="inlineStr">
        <is>
          <t>Milestone</t>
        </is>
      </c>
      <c r="C13" s="6" t="inlineStr">
        <is>
          <t>Week / Due</t>
        </is>
      </c>
      <c r="D13" s="6" t="inlineStr">
        <is>
          <t>Deliverables</t>
        </is>
      </c>
    </row>
    <row r="14" ht="28" customHeight="1">
      <c r="B14" s="7" t="inlineStr">
        <is>
          <t>M1  Proposal &amp; Planning  (10%)</t>
        </is>
      </c>
      <c r="C14" s="8" t="inlineStr">
        <is>
          <t>Week 5 - due 25 Oct 2026   |   Proposal, SRS draft, GitHub repo, Team Charter, client approval, &gt;=2 client meetings</t>
        </is>
      </c>
    </row>
    <row r="15" ht="28" customHeight="1">
      <c r="B15" s="7" t="inlineStr">
        <is>
          <t>M2  Requirements &amp; Design  (15%)</t>
        </is>
      </c>
      <c r="C15" s="8" t="inlineStr">
        <is>
          <t>Week 9 - due 20 Nov 2026   |   Revised SRS, SDD, Flutter prototype (4-5 screens), &gt;=10 LOGAI entries, test plan (&gt;=20 cases), &gt;=4 client meetings</t>
        </is>
      </c>
    </row>
    <row r="16" ht="28" customHeight="1">
      <c r="B16" s="7" t="inlineStr">
        <is>
          <t>M3  Implementation &amp; Testing  (35%)</t>
        </is>
      </c>
      <c r="C16" s="8" t="inlineStr">
        <is>
          <t>Week 13 - due 20 Dec 2026   |   Final SDD, &gt;=50 tests at &gt;=60% coverage, GitHub Actions green, APK/IPA build, &gt;=6 client meetings</t>
        </is>
      </c>
    </row>
    <row r="17" ht="28" customHeight="1">
      <c r="B17" s="7" t="inlineStr">
        <is>
          <t>M4  Release &amp; Oral Commitment  (40%)</t>
        </is>
      </c>
      <c r="C17" s="8" t="inlineStr">
        <is>
          <t>Week 15 - due 02 Jan 2027   |   Final report, user manual, demo video 5-10 min, presentation, client sign-off, v1.0.0 release</t>
        </is>
      </c>
    </row>
  </sheetData>
  <mergeCells count="4">
    <mergeCell ref="A1:D1"/>
    <mergeCell ref="A12:D12"/>
    <mergeCell ref="A2:D2"/>
    <mergeCell ref="B3:C3"/>
  </mergeCells>
  <printOptions horizontalCentered="1"/>
  <pageMargins left="0.75" right="0.75" top="1" bottom="1" header="0.5" footer="0.5"/>
  <pageSetup orientation="portrait" paperSize="9" fitToHeight="1" fitToWidth="1"/>
  <headerFooter>
    <oddHeader/>
    <oddFooter>&amp;R&amp;8 TMA3084 TSPi Workbook v3.0  -  &amp;P of &amp;N</oddFooter>
    <evenHeader/>
    <evenFooter/>
    <firstHeader/>
    <firstFooter/>
  </headerFooter>
</worksheet>
</file>

<file path=xl/worksheets/sheet2.xml><?xml version="1.0" encoding="utf-8"?>
<worksheet xmlns="http://schemas.openxmlformats.org/spreadsheetml/2006/main">
  <sheetPr>
    <tabColor rgb="00B4531A"/>
    <outlinePr summaryBelow="1" summaryRight="1"/>
    <pageSetUpPr fitToPage="1"/>
  </sheetPr>
  <dimension ref="A1:F120"/>
  <sheetViews>
    <sheetView showGridLines="0" workbookViewId="0">
      <pane ySplit="2" topLeftCell="A3" activePane="bottomLeft" state="frozen"/>
      <selection pane="bottomLeft" activeCell="A1" sqref="A1"/>
    </sheetView>
  </sheetViews>
  <sheetFormatPr baseColWidth="8" defaultRowHeight="15" outlineLevelCol="0"/>
  <cols>
    <col width="5" customWidth="1" min="1" max="1"/>
    <col width="27" customWidth="1" min="2" max="2"/>
    <col width="74" customWidth="1" min="3" max="3"/>
    <col width="16" customWidth="1" min="4" max="4"/>
    <col width="17" customWidth="1" min="5" max="5"/>
    <col width="3" customWidth="1" min="6" max="6"/>
  </cols>
  <sheetData>
    <row r="1" ht="30" customHeight="1">
      <c r="A1" s="1" t="inlineStr">
        <is>
          <t>How to Use This Workbook</t>
        </is>
      </c>
    </row>
    <row r="2" ht="16" customHeight="1">
      <c r="A2" s="2" t="inlineStr">
        <is>
          <t>TMA3084 Software Engineering Laboratory  -  a step-by-step manual for the team.   Read this once, together, at the launch meeting.</t>
        </is>
      </c>
    </row>
    <row r="4" ht="19" customHeight="1">
      <c r="A4" s="5" t="inlineStr">
        <is>
          <t>1.  What this workbook is</t>
        </is>
      </c>
    </row>
    <row r="5" ht="46.5" customHeight="1">
      <c r="B5" s="3" t="inlineStr">
        <is>
          <t>The short version</t>
        </is>
      </c>
      <c r="C5" s="4" t="inlineStr">
        <is>
          <t>This is a Team Software Process (TSP) workbook. TSP is a way of running a software project where the team plans its own work, measures what actually happens, and uses those measurements to plan better next time. The workbook is where the measuring happens.</t>
        </is>
      </c>
    </row>
    <row r="6" ht="46.5" customHeight="1">
      <c r="B6" s="3" t="inlineStr">
        <is>
          <t>Why bother</t>
        </is>
      </c>
      <c r="C6" s="4" t="inlineStr">
        <is>
          <t>Three questions decide most student projects: are we going to finish on time, is the thing we are building any good, and is everyone actually contributing. Opinions on all three are usually wrong. This workbook answers them with data the team collected itself.</t>
        </is>
      </c>
    </row>
    <row r="7" ht="46.5" customHeight="1">
      <c r="B7" s="3" t="inlineStr">
        <is>
          <t>The four things you record</t>
        </is>
      </c>
      <c r="C7" s="4" t="inlineStr">
        <is>
          <t>TIME - how long work actually took, not how long it felt.   SIZE - how much you built.   DEFECTS - every mistake found, and the phase where it was made.   STATUS - which tasks are finished. Everything else on the summary sheets is arithmetic on those four.</t>
        </is>
      </c>
    </row>
    <row r="8" ht="46.5" customHeight="1">
      <c r="B8" s="3" t="inlineStr">
        <is>
          <t>What it is not</t>
        </is>
      </c>
      <c r="C8" s="4" t="inlineStr">
        <is>
          <t>It is not a surveillance tool and it is not graded on neatness. Nobody is marked down for a high defect count - a team recording 40 defects is doing better engineering than an identical team recording 3, because the second team is not looking. What does get noticed is a log that is empty, or one filled in all at once the night before a milestone.</t>
        </is>
      </c>
    </row>
    <row r="10" ht="19" customHeight="1">
      <c r="A10" s="5" t="inlineStr">
        <is>
          <t>2.  Before you start  -  conventions</t>
        </is>
      </c>
    </row>
    <row r="11" ht="20" customHeight="1">
      <c r="A11" s="9" t="inlineStr"/>
      <c r="B11" s="6" t="inlineStr">
        <is>
          <t>Convention</t>
        </is>
      </c>
      <c r="C11" s="6" t="inlineStr">
        <is>
          <t>What it means</t>
        </is>
      </c>
      <c r="D11" s="10" t="n"/>
      <c r="E11" s="11" t="n"/>
    </row>
    <row r="12" ht="26" customHeight="1">
      <c r="A12" s="12" t="n"/>
      <c r="B12" s="13" t="inlineStr">
        <is>
          <t>Amber cells</t>
        </is>
      </c>
      <c r="C12" s="8" t="inlineStr">
        <is>
          <t>You type here. Everything the team knows goes into an amber cell.</t>
        </is>
      </c>
      <c r="D12" s="10" t="n"/>
      <c r="E12" s="11" t="n"/>
    </row>
    <row r="13" ht="35" customHeight="1">
      <c r="A13" s="12" t="n"/>
      <c r="B13" s="13" t="inlineStr">
        <is>
          <t>Grey cells</t>
        </is>
      </c>
      <c r="C13" s="8" t="inlineStr">
        <is>
          <t>Calculated. Typing over one breaks the rollups that depend on it - if a grey number looks wrong, the log feeding it is wrong, so fix the log.</t>
        </is>
      </c>
      <c r="D13" s="10" t="n"/>
      <c r="E13" s="11" t="n"/>
    </row>
    <row r="14" ht="35" customHeight="1">
      <c r="A14" s="12" t="n"/>
      <c r="B14" s="13" t="inlineStr">
        <is>
          <t>Drop-downs</t>
        </is>
      </c>
      <c r="C14" s="8" t="inlineStr">
        <is>
          <t>Fed by the LISTS sheet. Member names come from FORM-SI, so fill FORM-SI first or every name drop-down in the workbook will be empty.</t>
        </is>
      </c>
      <c r="D14" s="10" t="n"/>
      <c r="E14" s="11" t="n"/>
    </row>
    <row r="15" ht="26" customHeight="1">
      <c r="A15" s="12" t="n"/>
      <c r="B15" s="13" t="inlineStr">
        <is>
          <t>Red / amber / green</t>
        </is>
      </c>
      <c r="C15" s="8" t="inlineStr">
        <is>
          <t>Applied automatically. Red is not a punishment, it is a prompt to talk about something at the next meeting.</t>
        </is>
      </c>
      <c r="D15" s="10" t="n"/>
      <c r="E15" s="11" t="n"/>
    </row>
    <row r="16" ht="26" customHeight="1">
      <c r="A16" s="12" t="n"/>
      <c r="B16" s="13" t="inlineStr">
        <is>
          <t>Hover for help</t>
        </is>
      </c>
      <c r="C16" s="8" t="inlineStr">
        <is>
          <t>Cells with a small red corner marker carry a note explaining what goes in them.</t>
        </is>
      </c>
      <c r="D16" s="10" t="n"/>
      <c r="E16" s="11" t="n"/>
    </row>
    <row r="17" ht="35" customHeight="1">
      <c r="A17" s="12" t="n"/>
      <c r="B17" s="13" t="inlineStr">
        <is>
          <t>Reference sheets</t>
        </is>
      </c>
      <c r="C17" s="8" t="inlineStr">
        <is>
          <t>PHASES and DEFECTTYPES are the standards you code against - read them in Week 1. PLANGUIDE and QUALGUIDE tell you what to aim for. None of the four should ever be edited.</t>
        </is>
      </c>
      <c r="D17" s="10" t="n"/>
      <c r="E17" s="11" t="n"/>
    </row>
    <row r="18" ht="35" customHeight="1">
      <c r="A18" s="12" t="n"/>
      <c r="B18" s="13" t="inlineStr">
        <is>
          <t>Charts</t>
        </is>
      </c>
      <c r="C18" s="8" t="inlineStr">
        <is>
          <t>PROJECT and CHARTS draw themselves from the logs. There is no Draw button and nothing to refresh - if a chart is empty, the log behind it is empty.</t>
        </is>
      </c>
      <c r="D18" s="10" t="n"/>
      <c r="E18" s="11" t="n"/>
    </row>
    <row r="20" ht="19" customHeight="1">
      <c r="A20" s="5" t="inlineStr">
        <is>
          <t>3.  Stage one  -  the launch  (do this in Week 1, and again at the start of every cycle)</t>
        </is>
      </c>
    </row>
    <row r="21" ht="20" customHeight="1">
      <c r="A21" s="9" t="inlineStr">
        <is>
          <t>#</t>
        </is>
      </c>
      <c r="B21" s="6" t="inlineStr">
        <is>
          <t>Step</t>
        </is>
      </c>
      <c r="C21" s="6" t="inlineStr">
        <is>
          <t>What to do</t>
        </is>
      </c>
      <c r="D21" s="6" t="inlineStr">
        <is>
          <t>Form</t>
        </is>
      </c>
      <c r="E21" s="6" t="inlineStr">
        <is>
          <t>Who / when</t>
        </is>
      </c>
    </row>
    <row r="22" ht="48.5" customHeight="1">
      <c r="A22" s="14" t="n">
        <v>1</v>
      </c>
      <c r="B22" s="15" t="inlineStr">
        <is>
          <t>Fill in SETUP</t>
        </is>
      </c>
      <c r="C22" s="8" t="inlineStr">
        <is>
          <t>Course details, team name, project title, client, repository URL and team size. Then check the milestone dates against the course outline and set the thresholds. Every other sheet reads its header from here, so this is the one place you type the team name.</t>
        </is>
      </c>
      <c r="D22" s="16" t="inlineStr">
        <is>
          <t>SETUP</t>
        </is>
      </c>
      <c r="E22" s="17" t="inlineStr">
        <is>
          <t>Team Leader, Week 1</t>
        </is>
      </c>
    </row>
    <row r="23" ht="48.5" customHeight="1">
      <c r="A23" s="14" t="n">
        <v>2</v>
      </c>
      <c r="B23" s="15" t="inlineStr">
        <is>
          <t>Enter every member</t>
        </is>
      </c>
      <c r="C23" s="8" t="inlineStr">
        <is>
          <t>One row per member in FORM-SI: matric number, full name, UNIMAS email, GitHub handle. The name you type here is the name that appears in every drop-down, so agree on a spelling and do not change it later.</t>
        </is>
      </c>
      <c r="D23" s="16" t="inlineStr">
        <is>
          <t>FORM-SI</t>
        </is>
      </c>
      <c r="E23" s="17" t="inlineStr">
        <is>
          <t>All members, Week 1</t>
        </is>
      </c>
    </row>
    <row r="24" ht="48.5" customHeight="1">
      <c r="A24" s="14" t="n">
        <v>3</v>
      </c>
      <c r="B24" s="15" t="inlineStr">
        <is>
          <t>Write the team charter</t>
        </is>
      </c>
      <c r="C24" s="8" t="inlineStr">
        <is>
          <t>The lower half of FORM-SI. Six short answers: vision, communication norms, definition of done, conflict resolution, quality standards, expected hours. Write these before you disagree about them, not after.</t>
        </is>
      </c>
      <c r="D24" s="16" t="inlineStr">
        <is>
          <t>FORM-SI</t>
        </is>
      </c>
      <c r="E24" s="17" t="inlineStr">
        <is>
          <t>Team, Week 1</t>
        </is>
      </c>
    </row>
    <row r="25" ht="60" customHeight="1">
      <c r="A25" s="14" t="n">
        <v>4</v>
      </c>
      <c r="B25" s="15" t="inlineStr">
        <is>
          <t>Assign roles</t>
        </is>
      </c>
      <c r="C25" s="8" t="inlineStr">
        <is>
          <t>There are six roles and five of you, so one member holds two this cycle and nobody holds more than two. The double rotates, and nobody keeps the same role for more than two milestones running. The Role Load Check at the bottom of the sheet adds this up for you. A role is real work, not a title.</t>
        </is>
      </c>
      <c r="D25" s="16" t="inlineStr">
        <is>
          <t>ROLES</t>
        </is>
      </c>
      <c r="E25" s="17" t="inlineStr">
        <is>
          <t>Team Leader, each launch</t>
        </is>
      </c>
    </row>
    <row r="26" ht="37" customHeight="1">
      <c r="A26" s="14" t="n">
        <v>5</v>
      </c>
      <c r="B26" s="15" t="inlineStr">
        <is>
          <t>Set measurable goals</t>
        </is>
      </c>
      <c r="C26" s="8" t="inlineStr">
        <is>
          <t>A goal needs a number and an owner or it is a wish. Seven starter goals are listed at the bottom of the sheet; replace them with your own.</t>
        </is>
      </c>
      <c r="D26" s="16" t="inlineStr">
        <is>
          <t>GOALS</t>
        </is>
      </c>
      <c r="E26" s="17" t="inlineStr">
        <is>
          <t>Team, each launch</t>
        </is>
      </c>
    </row>
    <row r="27" ht="48.5" customHeight="1">
      <c r="A27" s="14" t="n">
        <v>6</v>
      </c>
      <c r="B27" s="15" t="inlineStr">
        <is>
          <t>Agree the strategy</t>
        </is>
      </c>
      <c r="C27" s="8" t="inlineStr">
        <is>
          <t>What each cycle actually delivers, what you build versus reuse, the main technical risk and who owns it. Then record the stack decisions and why - the Design rubric asks you to justify alternatives considered.</t>
        </is>
      </c>
      <c r="D27" s="16" t="inlineStr">
        <is>
          <t>STRAT</t>
        </is>
      </c>
      <c r="E27" s="17" t="inlineStr">
        <is>
          <t>Dev Manager, each launch</t>
        </is>
      </c>
    </row>
    <row r="28" ht="48.5" customHeight="1">
      <c r="A28" s="14" t="n">
        <v>7</v>
      </c>
      <c r="B28" s="15" t="inlineStr">
        <is>
          <t>Size what you are building</t>
        </is>
      </c>
      <c r="C28" s="8" t="inlineStr">
        <is>
          <t>List the screens, modules and documents in SUMS with a planned size. Estimates will be wrong early on. Record them anyway - a wrong estimate you measured against is worth more than no estimate.</t>
        </is>
      </c>
      <c r="D28" s="16" t="inlineStr">
        <is>
          <t>SUMS</t>
        </is>
      </c>
      <c r="E28" s="17" t="inlineStr">
        <is>
          <t>Planning Manager</t>
        </is>
      </c>
    </row>
    <row r="29" ht="37" customHeight="1">
      <c r="A29" s="14" t="n">
        <v>8</v>
      </c>
      <c r="B29" s="15" t="inlineStr">
        <is>
          <t>Break the work into tasks</t>
        </is>
      </c>
      <c r="C29" s="8" t="inlineStr">
        <is>
          <t>Tasks of roughly 2 to 10 hours, each with one owner, a phase, planned hours and a planned week. A task bigger than 10 hours is hiding something.</t>
        </is>
      </c>
      <c r="D29" s="16" t="inlineStr">
        <is>
          <t>TASK</t>
        </is>
      </c>
      <c r="E29" s="17" t="inlineStr">
        <is>
          <t>Planning Manager</t>
        </is>
      </c>
    </row>
    <row r="30" ht="37" customHeight="1">
      <c r="A30" s="14" t="n">
        <v>9</v>
      </c>
      <c r="B30" s="15" t="inlineStr">
        <is>
          <t>Spread it across the weeks</t>
        </is>
      </c>
      <c r="C30" s="8" t="inlineStr">
        <is>
          <t>Put the hours each week in SCHEDULE. Check the Difference cell at the top: schedule hours must match task hours. If they do not, one of the two plans is fiction.</t>
        </is>
      </c>
      <c r="D30" s="16" t="inlineStr">
        <is>
          <t>SCHEDULE</t>
        </is>
      </c>
      <c r="E30" s="17" t="inlineStr">
        <is>
          <t>Planning Manager</t>
        </is>
      </c>
    </row>
    <row r="32" ht="19" customHeight="1">
      <c r="A32" s="5" t="inlineStr">
        <is>
          <t>4.  Stage two  -  daily discipline  (the habit that makes everything else work)</t>
        </is>
      </c>
    </row>
    <row r="33" ht="20" customHeight="1">
      <c r="A33" s="9" t="inlineStr">
        <is>
          <t>#</t>
        </is>
      </c>
      <c r="B33" s="6" t="inlineStr">
        <is>
          <t>Step</t>
        </is>
      </c>
      <c r="C33" s="6" t="inlineStr">
        <is>
          <t>What to do</t>
        </is>
      </c>
      <c r="D33" s="6" t="inlineStr">
        <is>
          <t>Form</t>
        </is>
      </c>
      <c r="E33" s="6" t="inlineStr">
        <is>
          <t>Who / when</t>
        </is>
      </c>
    </row>
    <row r="34" ht="48.5" customHeight="1">
      <c r="A34" s="14" t="n">
        <v>10</v>
      </c>
      <c r="B34" s="15" t="inlineStr">
        <is>
          <t>Log time as you work</t>
        </is>
      </c>
      <c r="C34" s="8" t="inlineStr">
        <is>
          <t>Start a LOGT row when you sit down, fill in the stop time when you get up. Subtract interruptions honestly. Reconstructing a week of hours from memory produces numbers that are worse than useless, because they look real.</t>
        </is>
      </c>
      <c r="D34" s="16" t="inlineStr">
        <is>
          <t>LOGT</t>
        </is>
      </c>
      <c r="E34" s="17" t="inlineStr">
        <is>
          <t>Every member, daily</t>
        </is>
      </c>
    </row>
    <row r="35" ht="48.5" customHeight="1">
      <c r="A35" s="14" t="n">
        <v>11</v>
      </c>
      <c r="B35" s="15" t="inlineStr">
        <is>
          <t>Tag the task</t>
        </is>
      </c>
      <c r="C35" s="8" t="inlineStr">
        <is>
          <t>Put the Task ID from TASK in the Task ID column. That is what makes hours roll up against the plan. Unplanned work with no ID is fine - add the task to TASK afterwards so the plan stays honest.</t>
        </is>
      </c>
      <c r="D35" s="16" t="inlineStr">
        <is>
          <t>LOGT</t>
        </is>
      </c>
      <c r="E35" s="17" t="inlineStr">
        <is>
          <t>Every member, daily</t>
        </is>
      </c>
    </row>
    <row r="36" ht="48.5" customHeight="1">
      <c r="A36" s="14" t="n">
        <v>12</v>
      </c>
      <c r="B36" s="15" t="inlineStr">
        <is>
          <t>Log every defect</t>
        </is>
      </c>
      <c r="C36" s="8" t="inlineStr">
        <is>
          <t>Anything wrong that you had to fix, including the ones you found yourself within a minute. The hard column is Injected in: the phase where the mistake was MADE, not where you noticed it. Getting that right is the whole point.</t>
        </is>
      </c>
      <c r="D36" s="16" t="inlineStr">
        <is>
          <t>LOGD</t>
        </is>
      </c>
      <c r="E36" s="17" t="inlineStr">
        <is>
          <t>Every member, daily</t>
        </is>
      </c>
    </row>
    <row r="37" ht="37" customHeight="1">
      <c r="A37" s="14" t="n">
        <v>13</v>
      </c>
      <c r="B37" s="15" t="inlineStr">
        <is>
          <t>Log every test</t>
        </is>
      </c>
      <c r="C37" s="8" t="inlineStr">
        <is>
          <t>One row per test case with its type and status. Automated tests get a row too - LOGTEST is the evidence behind the Testing and Release rubric, not a duplicate of your test files.</t>
        </is>
      </c>
      <c r="D37" s="16" t="inlineStr">
        <is>
          <t>LOGTEST</t>
        </is>
      </c>
      <c r="E37" s="17" t="inlineStr">
        <is>
          <t>Quality &amp; Test Manager, daily</t>
        </is>
      </c>
    </row>
    <row r="38" ht="48.5" customHeight="1">
      <c r="A38" s="14" t="n">
        <v>14</v>
      </c>
      <c r="B38" s="15" t="inlineStr">
        <is>
          <t>Log every AI-assisted change</t>
        </is>
      </c>
      <c r="C38" s="8" t="inlineStr">
        <is>
          <t>Any time Copilot, Claude or another generator wrote code that reached the repository: what you asked for, how many lines it gave you, how many survived review, who reviewed it, and whether tests were written. The reviewer must not be you - the sheet turns that row red.</t>
        </is>
      </c>
      <c r="D38" s="16" t="inlineStr">
        <is>
          <t>LOGAI</t>
        </is>
      </c>
      <c r="E38" s="17" t="inlineStr">
        <is>
          <t>Every member, each change</t>
        </is>
      </c>
    </row>
    <row r="39" ht="48.5" customHeight="1">
      <c r="A39" s="14" t="n">
        <v>15</v>
      </c>
      <c r="B39" s="15" t="inlineStr">
        <is>
          <t>Record client meetings</t>
        </is>
      </c>
      <c r="C39" s="8" t="inlineStr">
        <is>
          <t>Date, mode, who attended, what was decided, what actions came out and who owns them. Keep the minutes or a photo as evidence. The milestones require 2, 4 and 6 cumulative meetings - this is how you prove it.</t>
        </is>
      </c>
      <c r="D39" s="16" t="inlineStr">
        <is>
          <t>LOGCLIENT</t>
        </is>
      </c>
      <c r="E39" s="17" t="inlineStr">
        <is>
          <t>Product Owner</t>
        </is>
      </c>
    </row>
    <row r="41" ht="19" customHeight="1">
      <c r="A41" s="5" t="inlineStr">
        <is>
          <t>5.  Stage three  -  the weekly meeting  (about 30 minutes, same time every week)</t>
        </is>
      </c>
    </row>
    <row r="42" ht="20" customHeight="1">
      <c r="A42" s="9" t="inlineStr">
        <is>
          <t>#</t>
        </is>
      </c>
      <c r="B42" s="6" t="inlineStr">
        <is>
          <t>Step</t>
        </is>
      </c>
      <c r="C42" s="6" t="inlineStr">
        <is>
          <t>What to do</t>
        </is>
      </c>
      <c r="D42" s="6" t="inlineStr">
        <is>
          <t>Form</t>
        </is>
      </c>
      <c r="E42" s="6" t="inlineStr">
        <is>
          <t>Who / when</t>
        </is>
      </c>
    </row>
    <row r="43" ht="37" customHeight="1">
      <c r="A43" s="14" t="n">
        <v>16</v>
      </c>
      <c r="B43" s="15" t="inlineStr">
        <is>
          <t>Pull the GitHub numbers</t>
        </is>
      </c>
      <c r="C43" s="8" t="inlineStr">
        <is>
          <t>Commits, pull requests, reviews and issues closed per member, read from the repository Insights tab. These are facts - do not estimate them.</t>
        </is>
      </c>
      <c r="D43" s="16" t="inlineStr">
        <is>
          <t>LOGGIT</t>
        </is>
      </c>
      <c r="E43" s="17" t="inlineStr">
        <is>
          <t>Support Manager, weekly</t>
        </is>
      </c>
    </row>
    <row r="44" ht="48.5" customHeight="1">
      <c r="A44" s="14" t="n">
        <v>17</v>
      </c>
      <c r="B44" s="15" t="inlineStr">
        <is>
          <t>Update task status</t>
        </is>
      </c>
      <c r="C44" s="8" t="inlineStr">
        <is>
          <t>Mark finished tasks Complete. Earned value is only credited for completed tasks; a task that is 90% done earns nothing. That is deliberate - it is what stops a plan from slipping quietly.</t>
        </is>
      </c>
      <c r="D44" s="16" t="inlineStr">
        <is>
          <t>TASK</t>
        </is>
      </c>
      <c r="E44" s="17" t="inlineStr">
        <is>
          <t>Planning Manager, weekly</t>
        </is>
      </c>
    </row>
    <row r="45" ht="48.5" customHeight="1">
      <c r="A45" s="14" t="n">
        <v>18</v>
      </c>
      <c r="B45" s="15" t="inlineStr">
        <is>
          <t>Read the week's numbers</t>
        </is>
      </c>
      <c r="C45" s="8" t="inlineStr">
        <is>
          <t>WEEK fills itself from SCHEDULE. Look at EV variance: negative means the team has delivered less than it planned by this week, however many hours it has burned. Hours are effort; earned value is progress.</t>
        </is>
      </c>
      <c r="D45" s="16" t="inlineStr">
        <is>
          <t>WEEK</t>
        </is>
      </c>
      <c r="E45" s="17" t="inlineStr">
        <is>
          <t>Team Leader, weekly</t>
        </is>
      </c>
    </row>
    <row r="46" ht="48.5" customHeight="1">
      <c r="A46" s="14" t="n">
        <v>19</v>
      </c>
      <c r="B46" s="15" t="inlineStr">
        <is>
          <t>Raise risks and issues</t>
        </is>
      </c>
      <c r="C46" s="8" t="inlineStr">
        <is>
          <t>A risk might happen, an issue already has. Both need a likelihood, an impact, an owner and a follow-up date. Priority is calculated; anything scoring 6 or more goes red and gets discussed.</t>
        </is>
      </c>
      <c r="D46" s="16" t="inlineStr">
        <is>
          <t>IRTL</t>
        </is>
      </c>
      <c r="E46" s="17" t="inlineStr">
        <is>
          <t>Team Leader, weekly</t>
        </is>
      </c>
    </row>
    <row r="47" ht="48.5" customHeight="1">
      <c r="A47" s="14" t="n">
        <v>20</v>
      </c>
      <c r="B47" s="15" t="inlineStr">
        <is>
          <t>Handle change requests</t>
        </is>
      </c>
      <c r="C47" s="8" t="inlineStr">
        <is>
          <t>Once the client has agreed a baseline, changes go through CCR with an estimate and a decision - not through a quiet commit. This is also how scope creep becomes visible instead of mysterious.</t>
        </is>
      </c>
      <c r="D47" s="16" t="inlineStr">
        <is>
          <t>CCR</t>
        </is>
      </c>
      <c r="E47" s="17" t="inlineStr">
        <is>
          <t>Support Manager, as needed</t>
        </is>
      </c>
    </row>
    <row r="48" ht="37" customHeight="1">
      <c r="A48" s="14" t="n">
        <v>21</v>
      </c>
      <c r="B48" s="15" t="inlineStr">
        <is>
          <t>Check the dashboard</t>
        </is>
      </c>
      <c r="C48" s="8" t="inlineStr">
        <is>
          <t>Milestone readiness, effort, quality and contribution on one screen. Anything red is the agenda for the next ten minutes.</t>
        </is>
      </c>
      <c r="D48" s="16" t="inlineStr">
        <is>
          <t>DASHBOARD</t>
        </is>
      </c>
      <c r="E48" s="17" t="inlineStr">
        <is>
          <t>Team, weekly</t>
        </is>
      </c>
    </row>
    <row r="49" ht="48.5" customHeight="1">
      <c r="A49" s="14" t="n">
        <v>22</v>
      </c>
      <c r="B49" s="15" t="inlineStr">
        <is>
          <t>Talk about contribution</t>
        </is>
      </c>
      <c r="C49" s="8" t="inlineStr">
        <is>
          <t>The contribution panel compares each member's hours, commits, reviews and AI entries against an even share. A flag is a prompt for a conversation, not an accusation - someone may be carrying work the logs do not capture, and if so, that is worth knowing too.</t>
        </is>
      </c>
      <c r="D49" s="16" t="inlineStr">
        <is>
          <t>DASHBOARD</t>
        </is>
      </c>
      <c r="E49" s="17" t="inlineStr">
        <is>
          <t>Team, weekly</t>
        </is>
      </c>
    </row>
    <row r="50" ht="37" customHeight="1">
      <c r="A50" s="14" t="n">
        <v>23</v>
      </c>
      <c r="B50" s="15" t="inlineStr">
        <is>
          <t>Write next week's commitment</t>
        </is>
      </c>
      <c r="C50" s="8" t="inlineStr">
        <is>
          <t>One line in WEEK saying what the team will have finished by the next meeting. Then check it at that meeting. This single habit does more for delivery than any tool.</t>
        </is>
      </c>
      <c r="D50" s="16" t="inlineStr">
        <is>
          <t>WEEK</t>
        </is>
      </c>
      <c r="E50" s="17" t="inlineStr">
        <is>
          <t>Team Leader, weekly</t>
        </is>
      </c>
    </row>
    <row r="52" ht="19" customHeight="1">
      <c r="A52" s="5" t="inlineStr">
        <is>
          <t>6.  Stage four  -  closing a milestone  (the postmortem)</t>
        </is>
      </c>
    </row>
    <row r="53" ht="20" customHeight="1">
      <c r="A53" s="9" t="inlineStr">
        <is>
          <t>#</t>
        </is>
      </c>
      <c r="B53" s="6" t="inlineStr">
        <is>
          <t>Step</t>
        </is>
      </c>
      <c r="C53" s="6" t="inlineStr">
        <is>
          <t>What to do</t>
        </is>
      </c>
      <c r="D53" s="6" t="inlineStr">
        <is>
          <t>Form</t>
        </is>
      </c>
      <c r="E53" s="6" t="inlineStr">
        <is>
          <t>Who / when</t>
        </is>
      </c>
    </row>
    <row r="54" ht="37" customHeight="1">
      <c r="A54" s="14" t="n">
        <v>24</v>
      </c>
      <c r="B54" s="15" t="inlineStr">
        <is>
          <t>Record actual sizes</t>
        </is>
      </c>
      <c r="C54" s="8" t="inlineStr">
        <is>
          <t>Go back to SUMS and fill the actual columns, plus actual SRS and SDD pages. Without actual size there is no defect density and no productivity figure.</t>
        </is>
      </c>
      <c r="D54" s="16" t="inlineStr">
        <is>
          <t>SUMS</t>
        </is>
      </c>
      <c r="E54" s="17" t="inlineStr">
        <is>
          <t>Planning Manager</t>
        </is>
      </c>
    </row>
    <row r="55" ht="37" customHeight="1">
      <c r="A55" s="14" t="n">
        <v>25</v>
      </c>
      <c r="B55" s="15" t="inlineStr">
        <is>
          <t>Check the plan summary</t>
        </is>
      </c>
      <c r="C55" s="8" t="inlineStr">
        <is>
          <t>SUMP now shows where the time went, where defects were injected and where they were removed. Compare the Actual % column against your plan. The gap between them is the lesson.</t>
        </is>
      </c>
      <c r="D55" s="16" t="inlineStr">
        <is>
          <t>SUMP</t>
        </is>
      </c>
      <c r="E55" s="17" t="inlineStr">
        <is>
          <t>Planning Manager</t>
        </is>
      </c>
    </row>
    <row r="56" ht="37" customHeight="1">
      <c r="A56" s="14" t="n">
        <v>26</v>
      </c>
      <c r="B56" s="15" t="inlineStr">
        <is>
          <t>Read the quality summary</t>
        </is>
      </c>
      <c r="C56" s="8" t="inlineStr">
        <is>
          <t>SUMQ is where the uncomfortable truths live: review rates that were too fast, A/FR below 2.0, process yield under 70%. Each one predicts a specific kind of pain in the next cycle.</t>
        </is>
      </c>
      <c r="D56" s="16" t="inlineStr">
        <is>
          <t>SUMQ</t>
        </is>
      </c>
      <c r="E56" s="17" t="inlineStr">
        <is>
          <t>Quality &amp; Test Manager</t>
        </is>
      </c>
    </row>
    <row r="57" ht="30" customHeight="1">
      <c r="A57" s="14" t="n">
        <v>27</v>
      </c>
      <c r="B57" s="15" t="inlineStr">
        <is>
          <t>Enter the coverage figure</t>
        </is>
      </c>
      <c r="C57" s="8" t="inlineStr">
        <is>
          <t>One manual cell on SUMQ, read from the coverage job in GitHub Actions. Do not estimate it.</t>
        </is>
      </c>
      <c r="D57" s="16" t="inlineStr">
        <is>
          <t>SUMQ</t>
        </is>
      </c>
      <c r="E57" s="17" t="inlineStr">
        <is>
          <t>Quality &amp; Test Manager</t>
        </is>
      </c>
    </row>
    <row r="58" ht="48.5" customHeight="1">
      <c r="A58" s="14" t="n">
        <v>28</v>
      </c>
      <c r="B58" s="15" t="inlineStr">
        <is>
          <t>Run the peer evaluation</t>
        </is>
      </c>
      <c r="C58" s="8" t="inlineStr">
        <is>
          <t>Each member rates every member including themselves, 1 to 5, across the 10 rubric categories. Self-ratings are reported separately so they cannot inflate anyone's score. Rate what people did, not whether you like them.</t>
        </is>
      </c>
      <c r="D58" s="16" t="inlineStr">
        <is>
          <t>PEER</t>
        </is>
      </c>
      <c r="E58" s="17" t="inlineStr">
        <is>
          <t>All members, each milestone</t>
        </is>
      </c>
    </row>
    <row r="59" ht="48.5" customHeight="1">
      <c r="A59" s="14" t="n">
        <v>29</v>
      </c>
      <c r="B59" s="15" t="inlineStr">
        <is>
          <t>Run the team evaluation</t>
        </is>
      </c>
      <c r="C59" s="8" t="inlineStr">
        <is>
          <t>Ten statements about how the team works, rated 1 to 5. Then look at the spread, not just the mean - where members disagree sharply is the thing worth discussing. Agree actions at the bottom of the sheet.</t>
        </is>
      </c>
      <c r="D59" s="16" t="inlineStr">
        <is>
          <t>TEAMEVAL</t>
        </is>
      </c>
      <c r="E59" s="17" t="inlineStr">
        <is>
          <t>All members, each milestone</t>
        </is>
      </c>
    </row>
    <row r="60" ht="37" customHeight="1">
      <c r="A60" s="14" t="n">
        <v>30</v>
      </c>
      <c r="B60" s="15" t="inlineStr">
        <is>
          <t>Update the assessment tracker</t>
        </is>
      </c>
      <c r="C60" s="8" t="inlineStr">
        <is>
          <t>ASSESS maps every rubric to the forms that produce its evidence. Peer and Team Evaluation fill themselves; the rest are entered by the instructor.</t>
        </is>
      </c>
      <c r="D60" s="16" t="inlineStr">
        <is>
          <t>ASSESS</t>
        </is>
      </c>
      <c r="E60" s="17" t="inlineStr">
        <is>
          <t>Team Leader</t>
        </is>
      </c>
    </row>
    <row r="61" ht="60" customHeight="1">
      <c r="A61" s="14" t="n">
        <v>31</v>
      </c>
      <c r="B61" s="15" t="inlineStr">
        <is>
          <t>Look at the charts together</t>
        </is>
      </c>
      <c r="C61" s="8" t="inlineStr">
        <is>
          <t>Open CHARTS and read them as a team. The four that matter most are Cumulative Earned Value (did we deliver what we planned), Defects Removed by Phase (are we catching them early), Review Rates (did we read fast enough to miss things) and Process Yield (what reached test). A number on a sheet is arguable; a line going the wrong way for six weeks is not.</t>
        </is>
      </c>
      <c r="D61" s="16" t="inlineStr">
        <is>
          <t>CHARTS</t>
        </is>
      </c>
      <c r="E61" s="17" t="inlineStr">
        <is>
          <t>Team, each milestone</t>
        </is>
      </c>
    </row>
    <row r="62" ht="48.5" customHeight="1">
      <c r="A62" s="14" t="n">
        <v>32</v>
      </c>
      <c r="B62" s="15" t="inlineStr">
        <is>
          <t>Agree three changes</t>
        </is>
      </c>
      <c r="C62" s="8" t="inlineStr">
        <is>
          <t>Not twenty. Pick three things the team will do differently next cycle, write them into GOALS with an owner, and check them at the next postmortem. A postmortem that changes nothing was just a meeting.</t>
        </is>
      </c>
      <c r="D62" s="16" t="inlineStr">
        <is>
          <t>GOALS</t>
        </is>
      </c>
      <c r="E62" s="17" t="inlineStr">
        <is>
          <t>Team, each milestone</t>
        </is>
      </c>
    </row>
    <row r="64" ht="19" customHeight="1">
      <c r="A64" s="5" t="inlineStr">
        <is>
          <t>7.  Every form, and what it is for</t>
        </is>
      </c>
    </row>
    <row r="65" ht="20" customHeight="1">
      <c r="A65" s="9" t="inlineStr"/>
      <c r="B65" s="6" t="inlineStr">
        <is>
          <t>Form</t>
        </is>
      </c>
      <c r="C65" s="6" t="inlineStr">
        <is>
          <t>What it holds</t>
        </is>
      </c>
      <c r="D65" s="6" t="inlineStr">
        <is>
          <t>Who owns it</t>
        </is>
      </c>
      <c r="E65" s="6" t="inlineStr">
        <is>
          <t>Feeds into</t>
        </is>
      </c>
    </row>
    <row r="66" ht="37" customHeight="1">
      <c r="A66" s="12" t="n"/>
      <c r="B66" s="18" t="inlineStr">
        <is>
          <t>SETUP</t>
        </is>
      </c>
      <c r="C66" s="8" t="inlineStr">
        <is>
          <t>Course, team, client, repository, milestone plan and the thresholds that drive the dashboard traffic lights.</t>
        </is>
      </c>
      <c r="D66" s="17" t="inlineStr">
        <is>
          <t>Team Leader</t>
        </is>
      </c>
      <c r="E66" s="17" t="inlineStr">
        <is>
          <t>Every sheet header, DASHBOARD</t>
        </is>
      </c>
    </row>
    <row r="67" ht="37" customHeight="1">
      <c r="A67" s="12" t="n"/>
      <c r="B67" s="18" t="inlineStr">
        <is>
          <t>FORM-SI</t>
        </is>
      </c>
      <c r="C67" s="8" t="inlineStr">
        <is>
          <t>Member details, the team charter, and each member's planned versus actual hours with a contribution flag.</t>
        </is>
      </c>
      <c r="D67" s="17" t="inlineStr">
        <is>
          <t>All members</t>
        </is>
      </c>
      <c r="E67" s="17" t="inlineStr">
        <is>
          <t>Every name drop-down, DASHBOARD</t>
        </is>
      </c>
    </row>
    <row r="68" ht="37" customHeight="1">
      <c r="A68" s="12" t="n"/>
      <c r="B68" s="18" t="inlineStr">
        <is>
          <t>ROLES</t>
        </is>
      </c>
      <c r="C68" s="8" t="inlineStr">
        <is>
          <t>Which of the six TSP roles each member holds in each milestone, what that role owns, and a check that nobody is carrying more than two.</t>
        </is>
      </c>
      <c r="D68" s="17" t="inlineStr">
        <is>
          <t>Team Leader</t>
        </is>
      </c>
      <c r="E68" s="17" t="inlineStr">
        <is>
          <t>-</t>
        </is>
      </c>
    </row>
    <row r="69" ht="28" customHeight="1">
      <c r="A69" s="12" t="n"/>
      <c r="B69" s="18" t="inlineStr">
        <is>
          <t>GOALS</t>
        </is>
      </c>
      <c r="C69" s="8" t="inlineStr">
        <is>
          <t>Measurable team goals with a target, an owner and a review date.</t>
        </is>
      </c>
      <c r="D69" s="17" t="inlineStr">
        <is>
          <t>Team</t>
        </is>
      </c>
      <c r="E69" s="17" t="inlineStr">
        <is>
          <t>-</t>
        </is>
      </c>
    </row>
    <row r="70" ht="37" customHeight="1">
      <c r="A70" s="12" t="n"/>
      <c r="B70" s="18" t="inlineStr">
        <is>
          <t>STRAT</t>
        </is>
      </c>
      <c r="C70" s="8" t="inlineStr">
        <is>
          <t>What each cycle delivers, build-versus-reuse decisions, technical risks, and the technology stack with justification.</t>
        </is>
      </c>
      <c r="D70" s="17" t="inlineStr">
        <is>
          <t>Dev Manager</t>
        </is>
      </c>
      <c r="E70" s="17" t="inlineStr">
        <is>
          <t>Design rubric evidence</t>
        </is>
      </c>
    </row>
    <row r="71" ht="37" customHeight="1">
      <c r="A71" s="12" t="n"/>
      <c r="B71" s="18" t="inlineStr">
        <is>
          <t>TASK</t>
        </is>
      </c>
      <c r="C71" s="8" t="inlineStr">
        <is>
          <t>Every task with owner, phase, estimate, planned week, status and earned value. Actual hours arrive automatically from LOGT.</t>
        </is>
      </c>
      <c r="D71" s="17" t="inlineStr">
        <is>
          <t>Planning Manager</t>
        </is>
      </c>
      <c r="E71" s="17" t="inlineStr">
        <is>
          <t>SCHEDULE, WEEK, FORM-SI, DASHBOARD</t>
        </is>
      </c>
    </row>
    <row r="72" ht="28" customHeight="1">
      <c r="A72" s="12" t="n"/>
      <c r="B72" s="18" t="inlineStr">
        <is>
          <t>SCHEDULE</t>
        </is>
      </c>
      <c r="C72" s="8" t="inlineStr">
        <is>
          <t>Planned hours per week from Week 3 to Week 15, against actual hours and earned value.</t>
        </is>
      </c>
      <c r="D72" s="17" t="inlineStr">
        <is>
          <t>Planning Manager</t>
        </is>
      </c>
      <c r="E72" s="17" t="inlineStr">
        <is>
          <t>WEEK, DASHBOARD</t>
        </is>
      </c>
    </row>
    <row r="73" ht="37" customHeight="1">
      <c r="A73" s="12" t="n"/>
      <c r="B73" s="18" t="inlineStr">
        <is>
          <t>LOGT</t>
        </is>
      </c>
      <c r="C73" s="8" t="inlineStr">
        <is>
          <t>One row per working session: date, member, phase, task, start, stop and interruptions. The single most important sheet in the workbook.</t>
        </is>
      </c>
      <c r="D73" s="17" t="inlineStr">
        <is>
          <t>Every member</t>
        </is>
      </c>
      <c r="E73" s="17" t="inlineStr">
        <is>
          <t>TASK, SCHEDULE, SUMP, SUMQ, FORM-SI, DASHBOARD</t>
        </is>
      </c>
    </row>
    <row r="74" ht="37" customHeight="1">
      <c r="A74" s="12" t="n"/>
      <c r="B74" s="18" t="inlineStr">
        <is>
          <t>LOGD</t>
        </is>
      </c>
      <c r="C74" s="8" t="inlineStr">
        <is>
          <t>Every defect found: type, component, the phase it was injected in, the phase it was removed in, fix time, severity, and whether it came from AI-generated code.</t>
        </is>
      </c>
      <c r="D74" s="17" t="inlineStr">
        <is>
          <t>Every member</t>
        </is>
      </c>
      <c r="E74" s="17" t="inlineStr">
        <is>
          <t>SUMP, SUMQ, DASHBOARD</t>
        </is>
      </c>
    </row>
    <row r="75" ht="37" customHeight="1">
      <c r="A75" s="12" t="n"/>
      <c r="B75" s="18" t="inlineStr">
        <is>
          <t>LOGTEST</t>
        </is>
      </c>
      <c r="C75" s="8" t="inlineStr">
        <is>
          <t>Every test case with type, expected and actual result, status, tester and whether it is automated.</t>
        </is>
      </c>
      <c r="D75" s="17" t="inlineStr">
        <is>
          <t>Quality &amp; Test Manager</t>
        </is>
      </c>
      <c r="E75" s="17" t="inlineStr">
        <is>
          <t>SUMQ, DASHBOARD</t>
        </is>
      </c>
    </row>
    <row r="76" ht="37" customHeight="1">
      <c r="A76" s="12" t="n"/>
      <c r="B76" s="18" t="inlineStr">
        <is>
          <t>LOGAI</t>
        </is>
      </c>
      <c r="C76" s="8" t="inlineStr">
        <is>
          <t>Every AI-assisted change: tool, prompt, lines generated, lines kept, reviewer, verdict and test status. Self-review is flagged red.</t>
        </is>
      </c>
      <c r="D76" s="17" t="inlineStr">
        <is>
          <t>Every member</t>
        </is>
      </c>
      <c r="E76" s="17" t="inlineStr">
        <is>
          <t>SUMP, DASHBOARD</t>
        </is>
      </c>
    </row>
    <row r="77" ht="28" customHeight="1">
      <c r="A77" s="12" t="n"/>
      <c r="B77" s="18" t="inlineStr">
        <is>
          <t>LOGCLIENT</t>
        </is>
      </c>
      <c r="C77" s="8" t="inlineStr">
        <is>
          <t>Client meetings with mode, attendees, decisions, actions and sign-off evidence.</t>
        </is>
      </c>
      <c r="D77" s="17" t="inlineStr">
        <is>
          <t>Product Owner</t>
        </is>
      </c>
      <c r="E77" s="17" t="inlineStr">
        <is>
          <t>DASHBOARD milestone readiness</t>
        </is>
      </c>
    </row>
    <row r="78" ht="28" customHeight="1">
      <c r="A78" s="12" t="n"/>
      <c r="B78" s="18" t="inlineStr">
        <is>
          <t>LOGGIT</t>
        </is>
      </c>
      <c r="C78" s="8" t="inlineStr">
        <is>
          <t>Weekly commits, pull requests, reviews and issues per member, read from GitHub Insights.</t>
        </is>
      </c>
      <c r="D78" s="17" t="inlineStr">
        <is>
          <t>Support Manager</t>
        </is>
      </c>
      <c r="E78" s="17" t="inlineStr">
        <is>
          <t>DASHBOARD contribution panel</t>
        </is>
      </c>
    </row>
    <row r="79" ht="28" customHeight="1">
      <c r="A79" s="12" t="n"/>
      <c r="B79" s="18" t="inlineStr">
        <is>
          <t>WEEK</t>
        </is>
      </c>
      <c r="C79" s="8" t="inlineStr">
        <is>
          <t>The weekly status record: hours, earned value, variance, risk and next week's commitment.</t>
        </is>
      </c>
      <c r="D79" s="17" t="inlineStr">
        <is>
          <t>Team Leader</t>
        </is>
      </c>
      <c r="E79" s="17" t="inlineStr">
        <is>
          <t>-</t>
        </is>
      </c>
    </row>
    <row r="80" ht="28" customHeight="1">
      <c r="A80" s="12" t="n"/>
      <c r="B80" s="18" t="inlineStr">
        <is>
          <t>IRTL</t>
        </is>
      </c>
      <c r="C80" s="8" t="inlineStr">
        <is>
          <t>Risks and issues with likelihood, impact, calculated priority, owner and follow-up date.</t>
        </is>
      </c>
      <c r="D80" s="17" t="inlineStr">
        <is>
          <t>Team Leader</t>
        </is>
      </c>
      <c r="E80" s="17" t="inlineStr">
        <is>
          <t>DASHBOARD</t>
        </is>
      </c>
    </row>
    <row r="81" ht="28" customHeight="1">
      <c r="A81" s="12" t="n"/>
      <c r="B81" s="18" t="inlineStr">
        <is>
          <t>CCR</t>
        </is>
      </c>
      <c r="C81" s="8" t="inlineStr">
        <is>
          <t>Change requests against an agreed baseline, with estimated impact and a recorded decision.</t>
        </is>
      </c>
      <c r="D81" s="17" t="inlineStr">
        <is>
          <t>Support Manager</t>
        </is>
      </c>
      <c r="E81" s="17" t="inlineStr">
        <is>
          <t>-</t>
        </is>
      </c>
    </row>
    <row r="82" ht="28" customHeight="1">
      <c r="A82" s="12" t="n"/>
      <c r="B82" s="18" t="inlineStr">
        <is>
          <t>SUMS</t>
        </is>
      </c>
      <c r="C82" s="8" t="inlineStr">
        <is>
          <t>Planned and actual size of every component and document - LOC, screens, widgets, pages.</t>
        </is>
      </c>
      <c r="D82" s="17" t="inlineStr">
        <is>
          <t>Planning Manager</t>
        </is>
      </c>
      <c r="E82" s="17" t="inlineStr">
        <is>
          <t>SUMP, SUMQ</t>
        </is>
      </c>
    </row>
    <row r="83" ht="37" customHeight="1">
      <c r="A83" s="12" t="n"/>
      <c r="B83" s="18" t="inlineStr">
        <is>
          <t>SUMP</t>
        </is>
      </c>
      <c r="C83" s="8" t="inlineStr">
        <is>
          <t>Size, time in each phase, and defects injected and removed by phase. Plan columns are typed; actual columns read themselves out of the logs.</t>
        </is>
      </c>
      <c r="D83" s="17" t="inlineStr">
        <is>
          <t>Planning Manager</t>
        </is>
      </c>
      <c r="E83" s="17" t="inlineStr">
        <is>
          <t>SUMQ, DASHBOARD</t>
        </is>
      </c>
    </row>
    <row r="84" ht="37" customHeight="1">
      <c r="A84" s="12" t="n"/>
      <c r="B84" s="18" t="inlineStr">
        <is>
          <t>SUMQ</t>
        </is>
      </c>
      <c r="C84" s="8" t="inlineStr">
        <is>
          <t>Defect density, defect ratios, development time ratios, review rates, A/FR, phase yield, process yield and test quality - each against a guideline with a verdict.</t>
        </is>
      </c>
      <c r="D84" s="17" t="inlineStr">
        <is>
          <t>Quality &amp; Test Manager</t>
        </is>
      </c>
      <c r="E84" s="17" t="inlineStr">
        <is>
          <t>DASHBOARD</t>
        </is>
      </c>
    </row>
    <row r="85" ht="37" customHeight="1">
      <c r="A85" s="12" t="n"/>
      <c r="B85" s="18" t="inlineStr">
        <is>
          <t>PEER</t>
        </is>
      </c>
      <c r="C85" s="8" t="inlineStr">
        <is>
          <t>Peer and individual evaluation: every member rates every member on 10 categories out of 50, with self-ratings reported separately.</t>
        </is>
      </c>
      <c r="D85" s="17" t="inlineStr">
        <is>
          <t>All members</t>
        </is>
      </c>
      <c r="E85" s="17" t="inlineStr">
        <is>
          <t>ASSESS, DASHBOARD</t>
        </is>
      </c>
    </row>
    <row r="86" ht="37" customHeight="1">
      <c r="A86" s="12" t="n"/>
      <c r="B86" s="18" t="inlineStr">
        <is>
          <t>TEAMEVAL</t>
        </is>
      </c>
      <c r="C86" s="8" t="inlineStr">
        <is>
          <t>Team dynamics across 10 variables rated 1 to 5, with the spread highlighted and agreed actions recorded.</t>
        </is>
      </c>
      <c r="D86" s="17" t="inlineStr">
        <is>
          <t>All members</t>
        </is>
      </c>
      <c r="E86" s="17" t="inlineStr">
        <is>
          <t>ASSESS</t>
        </is>
      </c>
    </row>
    <row r="87" ht="37" customHeight="1">
      <c r="A87" s="12" t="n"/>
      <c r="B87" s="18" t="inlineStr">
        <is>
          <t>ASSESS</t>
        </is>
      </c>
      <c r="C87" s="8" t="inlineStr">
        <is>
          <t>The official assessment weighting mapped to the rubrics and to the forms that supply the evidence.</t>
        </is>
      </c>
      <c r="D87" s="17" t="inlineStr">
        <is>
          <t>Team Leader</t>
        </is>
      </c>
      <c r="E87" s="17" t="inlineStr">
        <is>
          <t>-</t>
        </is>
      </c>
    </row>
    <row r="88" ht="37" customHeight="1">
      <c r="A88" s="12" t="n"/>
      <c r="B88" s="18" t="inlineStr">
        <is>
          <t>DASHBOARD</t>
        </is>
      </c>
      <c r="C88" s="8" t="inlineStr">
        <is>
          <t>Milestone readiness, effort and schedule, quality, and the contribution check - all read from the logs.</t>
        </is>
      </c>
      <c r="D88" s="17" t="inlineStr">
        <is>
          <t>Automatic</t>
        </is>
      </c>
      <c r="E88" s="17" t="inlineStr">
        <is>
          <t>-</t>
        </is>
      </c>
    </row>
    <row r="89" ht="37" customHeight="1">
      <c r="A89" s="12" t="n"/>
      <c r="B89" s="18" t="inlineStr">
        <is>
          <t>PROJECT</t>
        </is>
      </c>
      <c r="C89" s="8" t="inlineStr">
        <is>
          <t>The one-page project summary: headline numbers, the earned-value and effort charts, and a plain sentence saying whether the team is on track.</t>
        </is>
      </c>
      <c r="D89" s="17" t="inlineStr">
        <is>
          <t>Automatic</t>
        </is>
      </c>
      <c r="E89" s="17" t="inlineStr">
        <is>
          <t>-</t>
        </is>
      </c>
    </row>
    <row r="90" ht="37" customHeight="1">
      <c r="A90" s="12" t="n"/>
      <c r="B90" s="18" t="inlineStr">
        <is>
          <t>CHARTS</t>
        </is>
      </c>
      <c r="C90" s="8" t="inlineStr">
        <is>
          <t>Fourteen charts drawn from your logs - earned value, hours, defects by phase, review rates, yields, the quality profile and contribution.</t>
        </is>
      </c>
      <c r="D90" s="17" t="inlineStr">
        <is>
          <t>Automatic</t>
        </is>
      </c>
      <c r="E90" s="17" t="inlineStr">
        <is>
          <t>-</t>
        </is>
      </c>
    </row>
    <row r="91" ht="37" customHeight="1">
      <c r="A91" s="12" t="n"/>
      <c r="B91" s="18" t="inlineStr">
        <is>
          <t>IRWEEK</t>
        </is>
      </c>
      <c r="C91" s="8" t="inlineStr">
        <is>
          <t>How the risk picture moved each week: raised, closed, still open, and how many are high priority.</t>
        </is>
      </c>
      <c r="D91" s="17" t="inlineStr">
        <is>
          <t>Team Leader</t>
        </is>
      </c>
      <c r="E91" s="17" t="inlineStr">
        <is>
          <t>-</t>
        </is>
      </c>
    </row>
    <row r="92" ht="37" customHeight="1">
      <c r="A92" s="12" t="n"/>
      <c r="B92" s="18" t="inlineStr">
        <is>
          <t>RISK</t>
        </is>
      </c>
      <c r="C92" s="8" t="inlineStr">
        <is>
          <t>The top open risks and issues from IRTL, ranked by priority. Completed items drop off by themselves.</t>
        </is>
      </c>
      <c r="D92" s="17" t="inlineStr">
        <is>
          <t>Automatic</t>
        </is>
      </c>
      <c r="E92" s="17" t="inlineStr">
        <is>
          <t>-</t>
        </is>
      </c>
    </row>
    <row r="93" ht="37" customHeight="1">
      <c r="A93" s="12" t="n"/>
      <c r="B93" s="18" t="inlineStr">
        <is>
          <t>PHASES</t>
        </is>
      </c>
      <c r="C93" s="8" t="inlineStr">
        <is>
          <t>The process phase standard: every phase code, what belongs in it, and whether it counts towards development defects.</t>
        </is>
      </c>
      <c r="D93" s="17" t="inlineStr">
        <is>
          <t>Reference</t>
        </is>
      </c>
      <c r="E93" s="17" t="inlineStr">
        <is>
          <t>LOGT, LOGD, TASK</t>
        </is>
      </c>
    </row>
    <row r="94" ht="37" customHeight="1">
      <c r="A94" s="12" t="n"/>
      <c r="B94" s="18" t="inlineStr">
        <is>
          <t>DEFECTTYPES</t>
        </is>
      </c>
      <c r="C94" s="8" t="inlineStr">
        <is>
          <t>The defect type standard, each with a Flutter example. Types 110 to 150 were added for this course.</t>
        </is>
      </c>
      <c r="D94" s="17" t="inlineStr">
        <is>
          <t>Reference</t>
        </is>
      </c>
      <c r="E94" s="17" t="inlineStr">
        <is>
          <t>LOGD</t>
        </is>
      </c>
    </row>
    <row r="95" ht="37" customHeight="1">
      <c r="A95" s="12" t="n"/>
      <c r="B95" s="18" t="inlineStr">
        <is>
          <t>PLANGUIDE</t>
        </is>
      </c>
      <c r="C95" s="8" t="inlineStr">
        <is>
          <t>Planning guidelines: how to split effort across phases and what rates to plan against before you have your own data.</t>
        </is>
      </c>
      <c r="D95" s="17" t="inlineStr">
        <is>
          <t>Reference</t>
        </is>
      </c>
      <c r="E95" s="17" t="inlineStr">
        <is>
          <t>TASK, SCHEDULE</t>
        </is>
      </c>
    </row>
    <row r="96" ht="37" customHeight="1">
      <c r="A96" s="12" t="n"/>
      <c r="B96" s="18" t="inlineStr">
        <is>
          <t>QUALGUIDE</t>
        </is>
      </c>
      <c r="C96" s="8" t="inlineStr">
        <is>
          <t>Quality guidelines: what to aim for on each SUMQ measure, what it means when you are below it, and the order to fix things in.</t>
        </is>
      </c>
      <c r="D96" s="17" t="inlineStr">
        <is>
          <t>Reference</t>
        </is>
      </c>
      <c r="E96" s="17" t="inlineStr">
        <is>
          <t>SUMQ</t>
        </is>
      </c>
    </row>
    <row r="97" ht="28" customHeight="1">
      <c r="A97" s="12" t="n"/>
      <c r="B97" s="18" t="inlineStr">
        <is>
          <t>QPROFPARAM</t>
        </is>
      </c>
      <c r="C97" s="8" t="inlineStr">
        <is>
          <t>The five targets behind the Quality Profile chart.</t>
        </is>
      </c>
      <c r="D97" s="17" t="inlineStr">
        <is>
          <t>Quality &amp; Test Mgr</t>
        </is>
      </c>
      <c r="E97" s="17" t="inlineStr">
        <is>
          <t>CHARTS</t>
        </is>
      </c>
    </row>
    <row r="98" ht="37" customHeight="1">
      <c r="A98" s="12" t="n"/>
      <c r="B98" s="18" t="inlineStr">
        <is>
          <t>CHARTDATA</t>
        </is>
      </c>
      <c r="C98" s="8" t="inlineStr">
        <is>
          <t>The calculated series every chart reads from. Look here only to find out why a chart is empty.</t>
        </is>
      </c>
      <c r="D98" s="17" t="inlineStr">
        <is>
          <t>-</t>
        </is>
      </c>
      <c r="E98" s="17" t="inlineStr">
        <is>
          <t>PROJECT, CHARTS</t>
        </is>
      </c>
    </row>
    <row r="99" ht="37" customHeight="1">
      <c r="A99" s="12" t="n"/>
      <c r="B99" s="18" t="inlineStr">
        <is>
          <t>LISTS</t>
        </is>
      </c>
      <c r="C99" s="8" t="inlineStr">
        <is>
          <t>The source lists behind every drop-down. Leave it alone unless you are adding a role or a size measure.</t>
        </is>
      </c>
      <c r="D99" s="17" t="inlineStr">
        <is>
          <t>-</t>
        </is>
      </c>
      <c r="E99" s="17" t="inlineStr">
        <is>
          <t>-</t>
        </is>
      </c>
    </row>
    <row r="101" ht="19" customHeight="1">
      <c r="A101" s="5" t="inlineStr">
        <is>
          <t>8.  Worked examples</t>
        </is>
      </c>
    </row>
    <row r="102" ht="20" customHeight="1">
      <c r="A102" s="9" t="inlineStr"/>
      <c r="B102" s="6" t="inlineStr">
        <is>
          <t>Situation</t>
        </is>
      </c>
      <c r="C102" s="6" t="inlineStr">
        <is>
          <t>What you record</t>
        </is>
      </c>
      <c r="D102" s="10" t="n"/>
      <c r="E102" s="11" t="n"/>
    </row>
    <row r="103" ht="37" customHeight="1">
      <c r="A103" s="12" t="n"/>
      <c r="B103" s="15" t="inlineStr">
        <is>
          <t>You spend the morning writing the SRS, with a 15-minute phone call in the middle</t>
        </is>
      </c>
      <c r="C103" s="8" t="inlineStr">
        <is>
          <t>LOGT: date 20-Oct-26, member your name, milestone M1, phase REQ, task ID T01, start 09:00, stop 12:00, interrupt 15. Delta calculates as 165 minutes. Week fills in by itself.</t>
        </is>
      </c>
      <c r="D103" s="10" t="n"/>
      <c r="E103" s="11" t="n"/>
    </row>
    <row r="104" ht="37" customHeight="1">
      <c r="A104" s="12" t="n"/>
      <c r="B104" s="15" t="inlineStr">
        <is>
          <t>During the code review of a login screen, you find a null check that was never written</t>
        </is>
      </c>
      <c r="C104" s="8" t="inlineStr">
        <is>
          <t>LOGD: type 60 - Checking, component auth_module, injected in CODE (the mistake was made while coding), removed in CR (you found it in review), fix time 8 minutes, severity Major, from AI code No.</t>
        </is>
      </c>
      <c r="D104" s="10" t="n"/>
      <c r="E104" s="11" t="n"/>
    </row>
    <row r="105" ht="37" customHeight="1">
      <c r="A105" s="12" t="n"/>
      <c r="B105" s="15" t="inlineStr">
        <is>
          <t>Copilot generates a form validator; you keep about three quarters of it after review</t>
        </is>
      </c>
      <c r="C105" s="8" t="inlineStr">
        <is>
          <t>LOGAI: tool GitHub Copilot, lines generated 60, lines kept 45, reviewer a teammate's name - not yours - verdict Approved with changes, tests written Yes, commit reference PR#7, approved Yes.</t>
        </is>
      </c>
      <c r="D105" s="10" t="n"/>
      <c r="E105" s="11" t="n"/>
    </row>
    <row r="106" ht="37" customHeight="1">
      <c r="A106" s="12" t="n"/>
      <c r="B106" s="15" t="inlineStr">
        <is>
          <t>A test that passed last week now fails after a refactor</t>
        </is>
      </c>
      <c r="C106" s="8" t="inlineStr">
        <is>
          <t>LOGTEST: update that test's row to Fail with today's date. Then raise the defect in LOGD with injected phase CODE and removed phase UT, and link the two with the defect reference.</t>
        </is>
      </c>
      <c r="D106" s="10" t="n"/>
      <c r="E106" s="11" t="n"/>
    </row>
    <row r="107" ht="37" customHeight="1">
      <c r="A107" s="12" t="n"/>
      <c r="B107" s="15" t="inlineStr">
        <is>
          <t>The client asks for an extra screen three weeks before release</t>
        </is>
      </c>
      <c r="C107" s="8" t="inlineStr">
        <is>
          <t>CCR: change type Requirement, what changes and why, estimated hours, affected milestone, reviewer and decision. If approved, add the tasks to TASK so the plan reflects reality.</t>
        </is>
      </c>
      <c r="D107" s="10" t="n"/>
      <c r="E107" s="11" t="n"/>
    </row>
    <row r="109" ht="19" customHeight="1">
      <c r="A109" s="5" t="inlineStr">
        <is>
          <t>9.  Things that go wrong</t>
        </is>
      </c>
    </row>
    <row r="110" ht="20" customHeight="1">
      <c r="A110" s="9" t="inlineStr"/>
      <c r="B110" s="6" t="inlineStr">
        <is>
          <t>Symptom</t>
        </is>
      </c>
      <c r="C110" s="6" t="inlineStr">
        <is>
          <t>Cause and fix</t>
        </is>
      </c>
      <c r="D110" s="10" t="n"/>
      <c r="E110" s="11" t="n"/>
    </row>
    <row r="111" ht="37" customHeight="1">
      <c r="A111" s="12" t="n"/>
      <c r="B111" s="15" t="inlineStr">
        <is>
          <t>The name drop-downs are empty</t>
        </is>
      </c>
      <c r="C111" s="8" t="inlineStr">
        <is>
          <t>FORM-SI has no names in it yet. Every member drop-down in the workbook reads column C of FORM-SI rows 9 to 14. Fill those first.</t>
        </is>
      </c>
      <c r="D111" s="10" t="n"/>
      <c r="E111" s="11" t="n"/>
    </row>
    <row r="112" ht="37" customHeight="1">
      <c r="A112" s="12" t="n"/>
      <c r="B112" s="15" t="inlineStr">
        <is>
          <t>A summary number has not changed after I logged work</t>
        </is>
      </c>
      <c r="C112" s="8" t="inlineStr">
        <is>
          <t>Press F9, or close and reopen the file. If it still looks wrong, check the phase or task ID you typed in the log - a typo means the row matches nothing and is silently excluded.</t>
        </is>
      </c>
      <c r="D112" s="10" t="n"/>
      <c r="E112" s="11" t="n"/>
    </row>
    <row r="113" ht="37" customHeight="1">
      <c r="A113" s="12" t="n"/>
      <c r="B113" s="15" t="inlineStr">
        <is>
          <t>Hours are logged but TASK shows zero actual hours</t>
        </is>
      </c>
      <c r="C113" s="8" t="inlineStr">
        <is>
          <t>The Task ID column in LOGT is blank or does not match an ID in TASK. The match is exact, so T1 and T01 are different tasks.</t>
        </is>
      </c>
      <c r="D113" s="10" t="n"/>
      <c r="E113" s="11" t="n"/>
    </row>
    <row r="114" ht="37" customHeight="1">
      <c r="A114" s="12" t="n"/>
      <c r="B114" s="15" t="inlineStr">
        <is>
          <t>Defect density and review rates are blank</t>
        </is>
      </c>
      <c r="C114" s="8" t="inlineStr">
        <is>
          <t>SUMS has no actual size recorded, so there is nothing to divide by. Fill the actual columns in SUMS at the end of each milestone.</t>
        </is>
      </c>
      <c r="D114" s="10" t="n"/>
      <c r="E114" s="11" t="n"/>
    </row>
    <row r="115" ht="37" customHeight="1">
      <c r="A115" s="12" t="n"/>
      <c r="B115" s="15" t="inlineStr">
        <is>
          <t>Someone's peer score looks far too low</t>
        </is>
      </c>
      <c r="C115" s="8" t="inlineStr">
        <is>
          <t>Check that every member filled in their own rating block. An empty block is ignored rather than counted as zero, but a block filled in for only some members will skew the average.</t>
        </is>
      </c>
      <c r="D115" s="10" t="n"/>
      <c r="E115" s="11" t="n"/>
    </row>
    <row r="116" ht="37" customHeight="1">
      <c r="A116" s="12" t="n"/>
      <c r="B116" s="15" t="inlineStr">
        <is>
          <t>A grey cell shows a wrong number and I want to correct it</t>
        </is>
      </c>
      <c r="C116" s="8" t="inlineStr">
        <is>
          <t>Do not type over it. Find the log row that is wrong and fix that. Overwriting a calculated cell breaks the formula permanently and every number downstream of it.</t>
        </is>
      </c>
      <c r="D116" s="10" t="n"/>
      <c r="E116" s="11" t="n"/>
    </row>
    <row r="117" ht="48.5" customHeight="1">
      <c r="A117" s="12" t="n"/>
      <c r="B117" s="15" t="inlineStr">
        <is>
          <t>We forgot to log for two weeks</t>
        </is>
      </c>
      <c r="C117" s="8" t="inlineStr">
        <is>
          <t>Reconstruct what you honestly can, mark those rows in the comments column, and say so at the weekly meeting. Inventing plausible numbers is worse than admitting a gap - the gap is recoverable, fabricated data quietly corrupts every conclusion the team draws for the rest of the project.</t>
        </is>
      </c>
      <c r="D117" s="10" t="n"/>
      <c r="E117" s="11" t="n"/>
    </row>
    <row r="119" ht="19" customHeight="1">
      <c r="A119" s="5" t="inlineStr">
        <is>
          <t>10.  One last thing</t>
        </is>
      </c>
    </row>
    <row r="120" ht="46" customHeight="1">
      <c r="B120" s="19" t="inlineStr">
        <is>
          <t>The workbook cannot make the team work well. What it can do is make it obvious, early and to everyone, when the team is not - while there is still time to do something about it. A team that logs honestly and looks at the numbers every week will finish; a team that fills this in the weekend before submission will have a very tidy record of a project that went wrong.</t>
        </is>
      </c>
    </row>
  </sheetData>
  <mergeCells count="39">
    <mergeCell ref="C16:E16"/>
    <mergeCell ref="C112:E112"/>
    <mergeCell ref="A41:F41"/>
    <mergeCell ref="C117:E117"/>
    <mergeCell ref="C114:E114"/>
    <mergeCell ref="A101:F101"/>
    <mergeCell ref="C105:E105"/>
    <mergeCell ref="C12:E12"/>
    <mergeCell ref="C115:E115"/>
    <mergeCell ref="A2:F2"/>
    <mergeCell ref="C11:E11"/>
    <mergeCell ref="C110:E110"/>
    <mergeCell ref="A32:F32"/>
    <mergeCell ref="C8:E8"/>
    <mergeCell ref="C17:E17"/>
    <mergeCell ref="A4:F4"/>
    <mergeCell ref="C106:E106"/>
    <mergeCell ref="A20:F20"/>
    <mergeCell ref="C7:E7"/>
    <mergeCell ref="A109:F109"/>
    <mergeCell ref="A52:F52"/>
    <mergeCell ref="A10:F10"/>
    <mergeCell ref="C13:E13"/>
    <mergeCell ref="C102:E102"/>
    <mergeCell ref="C111:E111"/>
    <mergeCell ref="C18:E18"/>
    <mergeCell ref="B120:E120"/>
    <mergeCell ref="C15:E15"/>
    <mergeCell ref="A64:F64"/>
    <mergeCell ref="C6:E6"/>
    <mergeCell ref="C14:E14"/>
    <mergeCell ref="C104:E104"/>
    <mergeCell ref="C116:E116"/>
    <mergeCell ref="C5:E5"/>
    <mergeCell ref="C107:E107"/>
    <mergeCell ref="A1:F1"/>
    <mergeCell ref="A119:F119"/>
    <mergeCell ref="C113:E113"/>
    <mergeCell ref="C103:E103"/>
  </mergeCells>
  <hyperlinks>
    <hyperlink xmlns:r="http://schemas.openxmlformats.org/officeDocument/2006/relationships" ref="D22" r:id="rId1"/>
    <hyperlink xmlns:r="http://schemas.openxmlformats.org/officeDocument/2006/relationships" ref="D23" r:id="rId2"/>
    <hyperlink xmlns:r="http://schemas.openxmlformats.org/officeDocument/2006/relationships" ref="D24" r:id="rId3"/>
    <hyperlink xmlns:r="http://schemas.openxmlformats.org/officeDocument/2006/relationships" ref="D25" r:id="rId4"/>
    <hyperlink xmlns:r="http://schemas.openxmlformats.org/officeDocument/2006/relationships" ref="D26" r:id="rId5"/>
    <hyperlink xmlns:r="http://schemas.openxmlformats.org/officeDocument/2006/relationships" ref="D27" r:id="rId6"/>
    <hyperlink xmlns:r="http://schemas.openxmlformats.org/officeDocument/2006/relationships" ref="D28" r:id="rId7"/>
    <hyperlink xmlns:r="http://schemas.openxmlformats.org/officeDocument/2006/relationships" ref="D29" r:id="rId8"/>
    <hyperlink xmlns:r="http://schemas.openxmlformats.org/officeDocument/2006/relationships" ref="D30" r:id="rId9"/>
    <hyperlink xmlns:r="http://schemas.openxmlformats.org/officeDocument/2006/relationships" ref="D34" r:id="rId10"/>
    <hyperlink xmlns:r="http://schemas.openxmlformats.org/officeDocument/2006/relationships" ref="D35" r:id="rId11"/>
    <hyperlink xmlns:r="http://schemas.openxmlformats.org/officeDocument/2006/relationships" ref="D36" r:id="rId12"/>
    <hyperlink xmlns:r="http://schemas.openxmlformats.org/officeDocument/2006/relationships" ref="D37" r:id="rId13"/>
    <hyperlink xmlns:r="http://schemas.openxmlformats.org/officeDocument/2006/relationships" ref="D38" r:id="rId14"/>
    <hyperlink xmlns:r="http://schemas.openxmlformats.org/officeDocument/2006/relationships" ref="D39" r:id="rId15"/>
    <hyperlink xmlns:r="http://schemas.openxmlformats.org/officeDocument/2006/relationships" ref="D43" r:id="rId16"/>
    <hyperlink xmlns:r="http://schemas.openxmlformats.org/officeDocument/2006/relationships" ref="D44" r:id="rId17"/>
    <hyperlink xmlns:r="http://schemas.openxmlformats.org/officeDocument/2006/relationships" ref="D45" r:id="rId18"/>
    <hyperlink xmlns:r="http://schemas.openxmlformats.org/officeDocument/2006/relationships" ref="D46" r:id="rId19"/>
    <hyperlink xmlns:r="http://schemas.openxmlformats.org/officeDocument/2006/relationships" ref="D47" r:id="rId20"/>
    <hyperlink xmlns:r="http://schemas.openxmlformats.org/officeDocument/2006/relationships" ref="D48" r:id="rId21"/>
    <hyperlink xmlns:r="http://schemas.openxmlformats.org/officeDocument/2006/relationships" ref="D49" r:id="rId22"/>
    <hyperlink xmlns:r="http://schemas.openxmlformats.org/officeDocument/2006/relationships" ref="D50" r:id="rId23"/>
    <hyperlink xmlns:r="http://schemas.openxmlformats.org/officeDocument/2006/relationships" ref="D54" r:id="rId24"/>
    <hyperlink xmlns:r="http://schemas.openxmlformats.org/officeDocument/2006/relationships" ref="D55" r:id="rId25"/>
    <hyperlink xmlns:r="http://schemas.openxmlformats.org/officeDocument/2006/relationships" ref="D56" r:id="rId26"/>
    <hyperlink xmlns:r="http://schemas.openxmlformats.org/officeDocument/2006/relationships" ref="D57" r:id="rId27"/>
    <hyperlink xmlns:r="http://schemas.openxmlformats.org/officeDocument/2006/relationships" ref="D58" r:id="rId28"/>
    <hyperlink xmlns:r="http://schemas.openxmlformats.org/officeDocument/2006/relationships" ref="D59" r:id="rId29"/>
    <hyperlink xmlns:r="http://schemas.openxmlformats.org/officeDocument/2006/relationships" ref="D60" r:id="rId30"/>
    <hyperlink xmlns:r="http://schemas.openxmlformats.org/officeDocument/2006/relationships" ref="D61" r:id="rId31"/>
    <hyperlink xmlns:r="http://schemas.openxmlformats.org/officeDocument/2006/relationships" ref="D62" r:id="rId32"/>
    <hyperlink xmlns:r="http://schemas.openxmlformats.org/officeDocument/2006/relationships" ref="B66" r:id="rId33"/>
    <hyperlink xmlns:r="http://schemas.openxmlformats.org/officeDocument/2006/relationships" ref="B67" r:id="rId34"/>
    <hyperlink xmlns:r="http://schemas.openxmlformats.org/officeDocument/2006/relationships" ref="B68" r:id="rId35"/>
    <hyperlink xmlns:r="http://schemas.openxmlformats.org/officeDocument/2006/relationships" ref="B69" r:id="rId36"/>
    <hyperlink xmlns:r="http://schemas.openxmlformats.org/officeDocument/2006/relationships" ref="B70" r:id="rId37"/>
    <hyperlink xmlns:r="http://schemas.openxmlformats.org/officeDocument/2006/relationships" ref="B71" r:id="rId38"/>
    <hyperlink xmlns:r="http://schemas.openxmlformats.org/officeDocument/2006/relationships" ref="B72" r:id="rId39"/>
    <hyperlink xmlns:r="http://schemas.openxmlformats.org/officeDocument/2006/relationships" ref="B73" r:id="rId40"/>
    <hyperlink xmlns:r="http://schemas.openxmlformats.org/officeDocument/2006/relationships" ref="B74" r:id="rId41"/>
    <hyperlink xmlns:r="http://schemas.openxmlformats.org/officeDocument/2006/relationships" ref="B75" r:id="rId42"/>
    <hyperlink xmlns:r="http://schemas.openxmlformats.org/officeDocument/2006/relationships" ref="B76" r:id="rId43"/>
    <hyperlink xmlns:r="http://schemas.openxmlformats.org/officeDocument/2006/relationships" ref="B77" r:id="rId44"/>
    <hyperlink xmlns:r="http://schemas.openxmlformats.org/officeDocument/2006/relationships" ref="B78" r:id="rId45"/>
    <hyperlink xmlns:r="http://schemas.openxmlformats.org/officeDocument/2006/relationships" ref="B79" r:id="rId46"/>
    <hyperlink xmlns:r="http://schemas.openxmlformats.org/officeDocument/2006/relationships" ref="B80" r:id="rId47"/>
    <hyperlink xmlns:r="http://schemas.openxmlformats.org/officeDocument/2006/relationships" ref="B81" r:id="rId48"/>
    <hyperlink xmlns:r="http://schemas.openxmlformats.org/officeDocument/2006/relationships" ref="B82" r:id="rId49"/>
    <hyperlink xmlns:r="http://schemas.openxmlformats.org/officeDocument/2006/relationships" ref="B83" r:id="rId50"/>
    <hyperlink xmlns:r="http://schemas.openxmlformats.org/officeDocument/2006/relationships" ref="B84" r:id="rId51"/>
    <hyperlink xmlns:r="http://schemas.openxmlformats.org/officeDocument/2006/relationships" ref="B85" r:id="rId52"/>
    <hyperlink xmlns:r="http://schemas.openxmlformats.org/officeDocument/2006/relationships" ref="B86" r:id="rId53"/>
    <hyperlink xmlns:r="http://schemas.openxmlformats.org/officeDocument/2006/relationships" ref="B87" r:id="rId54"/>
    <hyperlink xmlns:r="http://schemas.openxmlformats.org/officeDocument/2006/relationships" ref="B88" r:id="rId55"/>
    <hyperlink xmlns:r="http://schemas.openxmlformats.org/officeDocument/2006/relationships" ref="B89" r:id="rId56"/>
    <hyperlink xmlns:r="http://schemas.openxmlformats.org/officeDocument/2006/relationships" ref="B90" r:id="rId57"/>
    <hyperlink xmlns:r="http://schemas.openxmlformats.org/officeDocument/2006/relationships" ref="B91" r:id="rId58"/>
    <hyperlink xmlns:r="http://schemas.openxmlformats.org/officeDocument/2006/relationships" ref="B92" r:id="rId59"/>
    <hyperlink xmlns:r="http://schemas.openxmlformats.org/officeDocument/2006/relationships" ref="B93" r:id="rId60"/>
    <hyperlink xmlns:r="http://schemas.openxmlformats.org/officeDocument/2006/relationships" ref="B94" r:id="rId61"/>
    <hyperlink xmlns:r="http://schemas.openxmlformats.org/officeDocument/2006/relationships" ref="B95" r:id="rId62"/>
    <hyperlink xmlns:r="http://schemas.openxmlformats.org/officeDocument/2006/relationships" ref="B96" r:id="rId63"/>
    <hyperlink xmlns:r="http://schemas.openxmlformats.org/officeDocument/2006/relationships" ref="B97" r:id="rId64"/>
    <hyperlink xmlns:r="http://schemas.openxmlformats.org/officeDocument/2006/relationships" ref="B98" r:id="rId65"/>
    <hyperlink xmlns:r="http://schemas.openxmlformats.org/officeDocument/2006/relationships" ref="B99" r:id="rId66"/>
  </hyperlink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worksheet>
</file>

<file path=xl/worksheets/sheet3.xml><?xml version="1.0" encoding="utf-8"?>
<worksheet xmlns="http://schemas.openxmlformats.org/spreadsheetml/2006/main">
  <sheetPr>
    <tabColor rgb="00B4531A"/>
    <outlinePr summaryBelow="1" summaryRight="1"/>
    <pageSetUpPr fitToPage="1"/>
  </sheetPr>
  <dimension ref="A1:F64"/>
  <sheetViews>
    <sheetView showGridLines="0" workbookViewId="0">
      <selection activeCell="A1" sqref="A1"/>
    </sheetView>
  </sheetViews>
  <sheetFormatPr baseColWidth="8" defaultRowHeight="15" outlineLevelCol="0"/>
  <cols>
    <col width="2" customWidth="1" min="1" max="1"/>
    <col width="15" customWidth="1" min="2" max="2"/>
    <col width="46" customWidth="1" min="3" max="3"/>
    <col width="22" customWidth="1" min="4" max="4"/>
    <col width="20" customWidth="1" min="5" max="5"/>
    <col width="3" customWidth="1" min="6" max="6"/>
  </cols>
  <sheetData>
    <row r="1" ht="30" customHeight="1">
      <c r="A1" s="1" t="inlineStr">
        <is>
          <t>Index of Forms</t>
        </is>
      </c>
    </row>
    <row r="2" ht="16" customHeight="1">
      <c r="A2" s="2" t="inlineStr">
        <is>
          <t>Click a form name to jump to it.</t>
        </is>
      </c>
    </row>
    <row r="4" ht="19" customHeight="1">
      <c r="A4" s="5" t="inlineStr">
        <is>
          <t>Start here</t>
        </is>
      </c>
    </row>
    <row r="5" ht="16" customHeight="1">
      <c r="A5" s="6" t="n"/>
      <c r="B5" s="6" t="inlineStr">
        <is>
          <t>Form</t>
        </is>
      </c>
      <c r="C5" s="6" t="inlineStr">
        <is>
          <t>What it is for</t>
        </is>
      </c>
      <c r="D5" s="6" t="inlineStr">
        <is>
          <t>Owner</t>
        </is>
      </c>
      <c r="E5" s="6" t="inlineStr">
        <is>
          <t>When</t>
        </is>
      </c>
    </row>
    <row r="6" ht="20" customHeight="1">
      <c r="B6" s="20" t="inlineStr">
        <is>
          <t>MANUAL</t>
        </is>
      </c>
      <c r="C6" s="21" t="inlineStr">
        <is>
          <t>Step-by-step manual: what to do, when, and on which form</t>
        </is>
      </c>
      <c r="D6" s="22" t="inlineStr">
        <is>
          <t>Read at launch</t>
        </is>
      </c>
      <c r="E6" s="22" t="inlineStr">
        <is>
          <t>Week 1</t>
        </is>
      </c>
    </row>
    <row r="7" ht="20" customHeight="1">
      <c r="B7" s="20" t="inlineStr">
        <is>
          <t>PROJECT</t>
        </is>
      </c>
      <c r="C7" s="21" t="inlineStr">
        <is>
          <t>Project summary: headline numbers and the two charts that matter most</t>
        </is>
      </c>
      <c r="D7" s="22" t="inlineStr">
        <is>
          <t>Automatic</t>
        </is>
      </c>
      <c r="E7" s="22" t="inlineStr">
        <is>
          <t>Always</t>
        </is>
      </c>
    </row>
    <row r="9" ht="19" customHeight="1">
      <c r="A9" s="5" t="inlineStr">
        <is>
          <t>Launch - do these once, at the start of each cycle</t>
        </is>
      </c>
    </row>
    <row r="10" ht="16" customHeight="1">
      <c r="A10" s="6" t="n"/>
      <c r="B10" s="6" t="inlineStr">
        <is>
          <t>Form</t>
        </is>
      </c>
      <c r="C10" s="6" t="inlineStr">
        <is>
          <t>What it is for</t>
        </is>
      </c>
      <c r="D10" s="6" t="inlineStr">
        <is>
          <t>Owner</t>
        </is>
      </c>
      <c r="E10" s="6" t="inlineStr">
        <is>
          <t>When</t>
        </is>
      </c>
    </row>
    <row r="11" ht="20" customHeight="1">
      <c r="B11" s="20" t="inlineStr">
        <is>
          <t>SETUP</t>
        </is>
      </c>
      <c r="C11" s="21" t="inlineStr">
        <is>
          <t>Course, team, client, repository and the milestone plan</t>
        </is>
      </c>
      <c r="D11" s="22" t="inlineStr">
        <is>
          <t>Team Leader</t>
        </is>
      </c>
      <c r="E11" s="22" t="inlineStr">
        <is>
          <t>Week 1</t>
        </is>
      </c>
    </row>
    <row r="12" ht="20" customHeight="1">
      <c r="B12" s="20" t="inlineStr">
        <is>
          <t>FORM-SI</t>
        </is>
      </c>
      <c r="C12" s="21" t="inlineStr">
        <is>
          <t>Member details, contribution rollup and the team charter</t>
        </is>
      </c>
      <c r="D12" s="22" t="inlineStr">
        <is>
          <t>All members</t>
        </is>
      </c>
      <c r="E12" s="22" t="inlineStr">
        <is>
          <t>Week 1</t>
        </is>
      </c>
    </row>
    <row r="13" ht="20" customHeight="1">
      <c r="B13" s="20" t="inlineStr">
        <is>
          <t>ROLES</t>
        </is>
      </c>
      <c r="C13" s="21" t="inlineStr">
        <is>
          <t>Who holds which of the six TSP roles in each milestone</t>
        </is>
      </c>
      <c r="D13" s="22" t="inlineStr">
        <is>
          <t>Team Leader</t>
        </is>
      </c>
      <c r="E13" s="22" t="inlineStr">
        <is>
          <t>Each launch</t>
        </is>
      </c>
    </row>
    <row r="14" ht="20" customHeight="1">
      <c r="B14" s="20" t="inlineStr">
        <is>
          <t>GOALS</t>
        </is>
      </c>
      <c r="C14" s="21" t="inlineStr">
        <is>
          <t>Measurable team goals with owners and review dates</t>
        </is>
      </c>
      <c r="D14" s="22" t="inlineStr">
        <is>
          <t>Team</t>
        </is>
      </c>
      <c r="E14" s="22" t="inlineStr">
        <is>
          <t>Each launch</t>
        </is>
      </c>
    </row>
    <row r="15" ht="20" customHeight="1">
      <c r="B15" s="20" t="inlineStr">
        <is>
          <t>STRAT</t>
        </is>
      </c>
      <c r="C15" s="21" t="inlineStr">
        <is>
          <t>What each cycle delivers, and the stack decisions behind it</t>
        </is>
      </c>
      <c r="D15" s="22" t="inlineStr">
        <is>
          <t>Dev Manager</t>
        </is>
      </c>
      <c r="E15" s="22" t="inlineStr">
        <is>
          <t>Each launch</t>
        </is>
      </c>
    </row>
    <row r="17" ht="19" customHeight="1">
      <c r="A17" s="5" t="inlineStr">
        <is>
          <t>Plan - the commitment the team makes</t>
        </is>
      </c>
    </row>
    <row r="18" ht="16" customHeight="1">
      <c r="A18" s="6" t="n"/>
      <c r="B18" s="6" t="inlineStr">
        <is>
          <t>Form</t>
        </is>
      </c>
      <c r="C18" s="6" t="inlineStr">
        <is>
          <t>What it is for</t>
        </is>
      </c>
      <c r="D18" s="6" t="inlineStr">
        <is>
          <t>Owner</t>
        </is>
      </c>
      <c r="E18" s="6" t="inlineStr">
        <is>
          <t>When</t>
        </is>
      </c>
    </row>
    <row r="19" ht="20" customHeight="1">
      <c r="B19" s="20" t="inlineStr">
        <is>
          <t>TASK</t>
        </is>
      </c>
      <c r="C19" s="21" t="inlineStr">
        <is>
          <t>Task plan, estimates, ownership and earned value</t>
        </is>
      </c>
      <c r="D19" s="22" t="inlineStr">
        <is>
          <t>Planning Manager</t>
        </is>
      </c>
      <c r="E19" s="22" t="inlineStr">
        <is>
          <t>Each launch</t>
        </is>
      </c>
    </row>
    <row r="20" ht="20" customHeight="1">
      <c r="B20" s="20" t="inlineStr">
        <is>
          <t>SCHEDULE</t>
        </is>
      </c>
      <c r="C20" s="21" t="inlineStr">
        <is>
          <t>Hours per week, planned against earned value</t>
        </is>
      </c>
      <c r="D20" s="22" t="inlineStr">
        <is>
          <t>Planning Manager</t>
        </is>
      </c>
      <c r="E20" s="22" t="inlineStr">
        <is>
          <t>Each launch</t>
        </is>
      </c>
    </row>
    <row r="22" ht="19" customHeight="1">
      <c r="A22" s="5" t="inlineStr">
        <is>
          <t>Record - fill these as the work happens, not afterwards</t>
        </is>
      </c>
    </row>
    <row r="23" ht="16" customHeight="1">
      <c r="A23" s="6" t="n"/>
      <c r="B23" s="6" t="inlineStr">
        <is>
          <t>Form</t>
        </is>
      </c>
      <c r="C23" s="6" t="inlineStr">
        <is>
          <t>What it is for</t>
        </is>
      </c>
      <c r="D23" s="6" t="inlineStr">
        <is>
          <t>Owner</t>
        </is>
      </c>
      <c r="E23" s="6" t="inlineStr">
        <is>
          <t>When</t>
        </is>
      </c>
    </row>
    <row r="24" ht="20" customHeight="1">
      <c r="B24" s="20" t="inlineStr">
        <is>
          <t>LOGT</t>
        </is>
      </c>
      <c r="C24" s="21" t="inlineStr">
        <is>
          <t>Time recording log - one row per working session</t>
        </is>
      </c>
      <c r="D24" s="22" t="inlineStr">
        <is>
          <t>All members</t>
        </is>
      </c>
      <c r="E24" s="22" t="inlineStr">
        <is>
          <t>Daily</t>
        </is>
      </c>
    </row>
    <row r="25" ht="20" customHeight="1">
      <c r="B25" s="20" t="inlineStr">
        <is>
          <t>LOGD</t>
        </is>
      </c>
      <c r="C25" s="21" t="inlineStr">
        <is>
          <t>Defect recording log - every defect, wherever found</t>
        </is>
      </c>
      <c r="D25" s="22" t="inlineStr">
        <is>
          <t>All members</t>
        </is>
      </c>
      <c r="E25" s="22" t="inlineStr">
        <is>
          <t>Daily</t>
        </is>
      </c>
    </row>
    <row r="26" ht="20" customHeight="1">
      <c r="B26" s="20" t="inlineStr">
        <is>
          <t>LOGTEST</t>
        </is>
      </c>
      <c r="C26" s="21" t="inlineStr">
        <is>
          <t>Test case log with status, type and coverage evidence</t>
        </is>
      </c>
      <c r="D26" s="22" t="inlineStr">
        <is>
          <t>Quality &amp; Test Mgr</t>
        </is>
      </c>
      <c r="E26" s="22" t="inlineStr">
        <is>
          <t>Daily</t>
        </is>
      </c>
    </row>
    <row r="27" ht="20" customHeight="1">
      <c r="B27" s="20" t="inlineStr">
        <is>
          <t>LOGAI</t>
        </is>
      </c>
      <c r="C27" s="21" t="inlineStr">
        <is>
          <t>AI-assisted development log with reviewer and verdict</t>
        </is>
      </c>
      <c r="D27" s="22" t="inlineStr">
        <is>
          <t>All members</t>
        </is>
      </c>
      <c r="E27" s="22" t="inlineStr">
        <is>
          <t>Every AI change</t>
        </is>
      </c>
    </row>
    <row r="28" ht="20" customHeight="1">
      <c r="B28" s="20" t="inlineStr">
        <is>
          <t>LOGCLIENT</t>
        </is>
      </c>
      <c r="C28" s="21" t="inlineStr">
        <is>
          <t>Client meetings, decisions, actions and sign-off</t>
        </is>
      </c>
      <c r="D28" s="22" t="inlineStr">
        <is>
          <t>Product Owner</t>
        </is>
      </c>
      <c r="E28" s="22" t="inlineStr">
        <is>
          <t>Each meeting</t>
        </is>
      </c>
    </row>
    <row r="29" ht="20" customHeight="1">
      <c r="B29" s="20" t="inlineStr">
        <is>
          <t>LOGGIT</t>
        </is>
      </c>
      <c r="C29" s="21" t="inlineStr">
        <is>
          <t>Weekly GitHub activity read from repository Insights</t>
        </is>
      </c>
      <c r="D29" s="22" t="inlineStr">
        <is>
          <t>Support Manager</t>
        </is>
      </c>
      <c r="E29" s="22" t="inlineStr">
        <is>
          <t>Weekly</t>
        </is>
      </c>
    </row>
    <row r="31" ht="19" customHeight="1">
      <c r="A31" s="5" t="inlineStr">
        <is>
          <t>Track - the weekly rhythm</t>
        </is>
      </c>
    </row>
    <row r="32" ht="16" customHeight="1">
      <c r="A32" s="6" t="n"/>
      <c r="B32" s="6" t="inlineStr">
        <is>
          <t>Form</t>
        </is>
      </c>
      <c r="C32" s="6" t="inlineStr">
        <is>
          <t>What it is for</t>
        </is>
      </c>
      <c r="D32" s="6" t="inlineStr">
        <is>
          <t>Owner</t>
        </is>
      </c>
      <c r="E32" s="6" t="inlineStr">
        <is>
          <t>When</t>
        </is>
      </c>
    </row>
    <row r="33" ht="20" customHeight="1">
      <c r="B33" s="20" t="inlineStr">
        <is>
          <t>WEEK</t>
        </is>
      </c>
      <c r="C33" s="21" t="inlineStr">
        <is>
          <t>Weekly status: hours, earned value, risk and commitment</t>
        </is>
      </c>
      <c r="D33" s="22" t="inlineStr">
        <is>
          <t>Team Leader</t>
        </is>
      </c>
      <c r="E33" s="22" t="inlineStr">
        <is>
          <t>Weekly</t>
        </is>
      </c>
    </row>
    <row r="34" ht="20" customHeight="1">
      <c r="B34" s="20" t="inlineStr">
        <is>
          <t>IRTL</t>
        </is>
      </c>
      <c r="C34" s="21" t="inlineStr">
        <is>
          <t>Issue and risk tracking with likelihood, impact and owner</t>
        </is>
      </c>
      <c r="D34" s="22" t="inlineStr">
        <is>
          <t>Team Leader</t>
        </is>
      </c>
      <c r="E34" s="22" t="inlineStr">
        <is>
          <t>Weekly</t>
        </is>
      </c>
    </row>
    <row r="35" ht="20" customHeight="1">
      <c r="B35" s="20" t="inlineStr">
        <is>
          <t>IRWEEK</t>
        </is>
      </c>
      <c r="C35" s="21" t="inlineStr">
        <is>
          <t>How the risk picture moved week by week - raised, closed, still open</t>
        </is>
      </c>
      <c r="D35" s="22" t="inlineStr">
        <is>
          <t>Team Leader</t>
        </is>
      </c>
      <c r="E35" s="22" t="inlineStr">
        <is>
          <t>Weekly</t>
        </is>
      </c>
    </row>
    <row r="36" ht="20" customHeight="1">
      <c r="B36" s="20" t="inlineStr">
        <is>
          <t>RISK</t>
        </is>
      </c>
      <c r="C36" s="21" t="inlineStr">
        <is>
          <t>The top open risks from IRTL, ranked by priority</t>
        </is>
      </c>
      <c r="D36" s="22" t="inlineStr">
        <is>
          <t>Automatic</t>
        </is>
      </c>
      <c r="E36" s="22" t="inlineStr">
        <is>
          <t>Weekly</t>
        </is>
      </c>
    </row>
    <row r="37" ht="20" customHeight="1">
      <c r="B37" s="20" t="inlineStr">
        <is>
          <t>CCR</t>
        </is>
      </c>
      <c r="C37" s="21" t="inlineStr">
        <is>
          <t>Change requests against an agreed baseline</t>
        </is>
      </c>
      <c r="D37" s="22" t="inlineStr">
        <is>
          <t>Support Manager</t>
        </is>
      </c>
      <c r="E37" s="22" t="inlineStr">
        <is>
          <t>As needed</t>
        </is>
      </c>
    </row>
    <row r="39" ht="19" customHeight="1">
      <c r="A39" s="5" t="inlineStr">
        <is>
          <t>Summarise - these calculate themselves</t>
        </is>
      </c>
    </row>
    <row r="40" ht="16" customHeight="1">
      <c r="A40" s="6" t="n"/>
      <c r="B40" s="6" t="inlineStr">
        <is>
          <t>Form</t>
        </is>
      </c>
      <c r="C40" s="6" t="inlineStr">
        <is>
          <t>What it is for</t>
        </is>
      </c>
      <c r="D40" s="6" t="inlineStr">
        <is>
          <t>Owner</t>
        </is>
      </c>
      <c r="E40" s="6" t="inlineStr">
        <is>
          <t>When</t>
        </is>
      </c>
    </row>
    <row r="41" ht="20" customHeight="1">
      <c r="B41" s="20" t="inlineStr">
        <is>
          <t>SUMS</t>
        </is>
      </c>
      <c r="C41" s="21" t="inlineStr">
        <is>
          <t>Size summary for components and documents</t>
        </is>
      </c>
      <c r="D41" s="22" t="inlineStr">
        <is>
          <t>Planning Manager</t>
        </is>
      </c>
      <c r="E41" s="22" t="inlineStr">
        <is>
          <t>Each milestone</t>
        </is>
      </c>
    </row>
    <row r="42" ht="20" customHeight="1">
      <c r="B42" s="20" t="inlineStr">
        <is>
          <t>SUMP</t>
        </is>
      </c>
      <c r="C42" s="21" t="inlineStr">
        <is>
          <t>Plan summary: size, time in phase, defects injected and removed</t>
        </is>
      </c>
      <c r="D42" s="22" t="inlineStr">
        <is>
          <t>Planning Manager</t>
        </is>
      </c>
      <c r="E42" s="22" t="inlineStr">
        <is>
          <t>Each milestone</t>
        </is>
      </c>
    </row>
    <row r="43" ht="20" customHeight="1">
      <c r="B43" s="20" t="inlineStr">
        <is>
          <t>SUMQ</t>
        </is>
      </c>
      <c r="C43" s="21" t="inlineStr">
        <is>
          <t>Quality summary: density, yield, review rates, test quality</t>
        </is>
      </c>
      <c r="D43" s="22" t="inlineStr">
        <is>
          <t>Quality &amp; Test Mgr</t>
        </is>
      </c>
      <c r="E43" s="22" t="inlineStr">
        <is>
          <t>Each milestone</t>
        </is>
      </c>
    </row>
    <row r="44" ht="20" customHeight="1">
      <c r="B44" s="20" t="inlineStr">
        <is>
          <t>CHARTS</t>
        </is>
      </c>
      <c r="C44" s="21" t="inlineStr">
        <is>
          <t>The fourteen TSP charts, drawn from your own logs</t>
        </is>
      </c>
      <c r="D44" s="22" t="inlineStr">
        <is>
          <t>Automatic</t>
        </is>
      </c>
      <c r="E44" s="22" t="inlineStr">
        <is>
          <t>Always</t>
        </is>
      </c>
    </row>
    <row r="46" ht="19" customHeight="1">
      <c r="A46" s="5" t="inlineStr">
        <is>
          <t>Evaluate - the assessed forms</t>
        </is>
      </c>
    </row>
    <row r="47" ht="16" customHeight="1">
      <c r="A47" s="6" t="n"/>
      <c r="B47" s="6" t="inlineStr">
        <is>
          <t>Form</t>
        </is>
      </c>
      <c r="C47" s="6" t="inlineStr">
        <is>
          <t>What it is for</t>
        </is>
      </c>
      <c r="D47" s="6" t="inlineStr">
        <is>
          <t>Owner</t>
        </is>
      </c>
      <c r="E47" s="6" t="inlineStr">
        <is>
          <t>When</t>
        </is>
      </c>
    </row>
    <row r="48" ht="20" customHeight="1">
      <c r="B48" s="20" t="inlineStr">
        <is>
          <t>PEER</t>
        </is>
      </c>
      <c r="C48" s="21" t="inlineStr">
        <is>
          <t>Peer and individual evaluation, 10 categories out of 50</t>
        </is>
      </c>
      <c r="D48" s="22" t="inlineStr">
        <is>
          <t>All members</t>
        </is>
      </c>
      <c r="E48" s="22" t="inlineStr">
        <is>
          <t>Each milestone</t>
        </is>
      </c>
    </row>
    <row r="49" ht="20" customHeight="1">
      <c r="B49" s="20" t="inlineStr">
        <is>
          <t>TEAMEVAL</t>
        </is>
      </c>
      <c r="C49" s="21" t="inlineStr">
        <is>
          <t>Team dynamics evaluation, 10 variables out of 50</t>
        </is>
      </c>
      <c r="D49" s="22" t="inlineStr">
        <is>
          <t>All members</t>
        </is>
      </c>
      <c r="E49" s="22" t="inlineStr">
        <is>
          <t>Each milestone</t>
        </is>
      </c>
    </row>
    <row r="50" ht="20" customHeight="1">
      <c r="B50" s="20" t="inlineStr">
        <is>
          <t>ASSESS</t>
        </is>
      </c>
      <c r="C50" s="21" t="inlineStr">
        <is>
          <t>Assessment tracker mapped to the published rubrics</t>
        </is>
      </c>
      <c r="D50" s="22" t="inlineStr">
        <is>
          <t>Team Leader</t>
        </is>
      </c>
      <c r="E50" s="22" t="inlineStr">
        <is>
          <t>Each milestone</t>
        </is>
      </c>
    </row>
    <row r="51" ht="20" customHeight="1">
      <c r="B51" s="20" t="inlineStr">
        <is>
          <t>DASHBOARD</t>
        </is>
      </c>
      <c r="C51" s="21" t="inlineStr">
        <is>
          <t>Readiness, effort, quality and contribution at a glance</t>
        </is>
      </c>
      <c r="D51" s="22" t="inlineStr">
        <is>
          <t>Automatic</t>
        </is>
      </c>
      <c r="E51" s="22" t="inlineStr">
        <is>
          <t>Always</t>
        </is>
      </c>
    </row>
    <row r="53" ht="19" customHeight="1">
      <c r="A53" s="5" t="inlineStr">
        <is>
          <t>Standards and guidance - read these, do not edit them</t>
        </is>
      </c>
    </row>
    <row r="54" ht="16" customHeight="1">
      <c r="A54" s="6" t="n"/>
      <c r="B54" s="6" t="inlineStr">
        <is>
          <t>Form</t>
        </is>
      </c>
      <c r="C54" s="6" t="inlineStr">
        <is>
          <t>What it is for</t>
        </is>
      </c>
      <c r="D54" s="6" t="inlineStr">
        <is>
          <t>Owner</t>
        </is>
      </c>
      <c r="E54" s="6" t="inlineStr">
        <is>
          <t>When</t>
        </is>
      </c>
    </row>
    <row r="55" ht="20" customHeight="1">
      <c r="B55" s="20" t="inlineStr">
        <is>
          <t>PHASES</t>
        </is>
      </c>
      <c r="C55" s="21" t="inlineStr">
        <is>
          <t>Process phase standard: every phase code, what belongs in it</t>
        </is>
      </c>
      <c r="D55" s="22" t="inlineStr">
        <is>
          <t>-</t>
        </is>
      </c>
      <c r="E55" s="22" t="inlineStr">
        <is>
          <t>Read in Week 1</t>
        </is>
      </c>
    </row>
    <row r="56" ht="20" customHeight="1">
      <c r="B56" s="20" t="inlineStr">
        <is>
          <t>DEFECTTYPES</t>
        </is>
      </c>
      <c r="C56" s="21" t="inlineStr">
        <is>
          <t>Defect type standard with a Flutter example of each</t>
        </is>
      </c>
      <c r="D56" s="22" t="inlineStr">
        <is>
          <t>-</t>
        </is>
      </c>
      <c r="E56" s="22" t="inlineStr">
        <is>
          <t>Read in Week 1</t>
        </is>
      </c>
    </row>
    <row r="57" ht="20" customHeight="1">
      <c r="B57" s="20" t="inlineStr">
        <is>
          <t>PLANGUIDE</t>
        </is>
      </c>
      <c r="C57" s="21" t="inlineStr">
        <is>
          <t>Planning guidelines: effort split and the rates to plan against</t>
        </is>
      </c>
      <c r="D57" s="22" t="inlineStr">
        <is>
          <t>-</t>
        </is>
      </c>
      <c r="E57" s="22" t="inlineStr">
        <is>
          <t>Each launch</t>
        </is>
      </c>
    </row>
    <row r="58" ht="20" customHeight="1">
      <c r="B58" s="20" t="inlineStr">
        <is>
          <t>QUALGUIDE</t>
        </is>
      </c>
      <c r="C58" s="21" t="inlineStr">
        <is>
          <t>Quality guidelines: what good looks like on each SUMQ measure</t>
        </is>
      </c>
      <c r="D58" s="22" t="inlineStr">
        <is>
          <t>-</t>
        </is>
      </c>
      <c r="E58" s="22" t="inlineStr">
        <is>
          <t>Each milestone</t>
        </is>
      </c>
    </row>
    <row r="59" ht="20" customHeight="1">
      <c r="B59" s="20" t="inlineStr">
        <is>
          <t>QPROFPARAM</t>
        </is>
      </c>
      <c r="C59" s="21" t="inlineStr">
        <is>
          <t>The five targets behind the Quality Profile chart</t>
        </is>
      </c>
      <c r="D59" s="22" t="inlineStr">
        <is>
          <t>Quality &amp; Test Mgr</t>
        </is>
      </c>
      <c r="E59" s="22" t="inlineStr">
        <is>
          <t>Set once</t>
        </is>
      </c>
    </row>
    <row r="61" ht="19" customHeight="1">
      <c r="A61" s="5" t="inlineStr">
        <is>
          <t>Machinery - calculated, leave alone</t>
        </is>
      </c>
    </row>
    <row r="62" ht="16" customHeight="1">
      <c r="A62" s="6" t="n"/>
      <c r="B62" s="6" t="inlineStr">
        <is>
          <t>Form</t>
        </is>
      </c>
      <c r="C62" s="6" t="inlineStr">
        <is>
          <t>What it is for</t>
        </is>
      </c>
      <c r="D62" s="6" t="inlineStr">
        <is>
          <t>Owner</t>
        </is>
      </c>
      <c r="E62" s="6" t="inlineStr">
        <is>
          <t>When</t>
        </is>
      </c>
    </row>
    <row r="63" ht="20" customHeight="1">
      <c r="B63" s="20" t="inlineStr">
        <is>
          <t>CHARTDATA</t>
        </is>
      </c>
      <c r="C63" s="21" t="inlineStr">
        <is>
          <t>The series every chart reads from</t>
        </is>
      </c>
      <c r="D63" s="22" t="inlineStr">
        <is>
          <t>-</t>
        </is>
      </c>
      <c r="E63" s="22" t="inlineStr">
        <is>
          <t>-</t>
        </is>
      </c>
    </row>
    <row r="64" ht="20" customHeight="1">
      <c r="B64" s="20" t="inlineStr">
        <is>
          <t>LISTS</t>
        </is>
      </c>
      <c r="C64" s="21" t="inlineStr">
        <is>
          <t>Source lists behind every drop-down in the workbook</t>
        </is>
      </c>
      <c r="D64" s="22" t="inlineStr">
        <is>
          <t>-</t>
        </is>
      </c>
      <c r="E64" s="22" t="inlineStr">
        <is>
          <t>-</t>
        </is>
      </c>
    </row>
  </sheetData>
  <mergeCells count="11">
    <mergeCell ref="A2:F2"/>
    <mergeCell ref="A46:F46"/>
    <mergeCell ref="A1:F1"/>
    <mergeCell ref="A9:F9"/>
    <mergeCell ref="A31:F31"/>
    <mergeCell ref="A61:F61"/>
    <mergeCell ref="A22:F22"/>
    <mergeCell ref="A17:F17"/>
    <mergeCell ref="A4:F4"/>
    <mergeCell ref="A39:F39"/>
    <mergeCell ref="A53:F53"/>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11" r:id="rId3"/>
    <hyperlink xmlns:r="http://schemas.openxmlformats.org/officeDocument/2006/relationships" ref="B12" r:id="rId4"/>
    <hyperlink xmlns:r="http://schemas.openxmlformats.org/officeDocument/2006/relationships" ref="B13" r:id="rId5"/>
    <hyperlink xmlns:r="http://schemas.openxmlformats.org/officeDocument/2006/relationships" ref="B14" r:id="rId6"/>
    <hyperlink xmlns:r="http://schemas.openxmlformats.org/officeDocument/2006/relationships" ref="B15" r:id="rId7"/>
    <hyperlink xmlns:r="http://schemas.openxmlformats.org/officeDocument/2006/relationships" ref="B19" r:id="rId8"/>
    <hyperlink xmlns:r="http://schemas.openxmlformats.org/officeDocument/2006/relationships" ref="B20"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 xmlns:r="http://schemas.openxmlformats.org/officeDocument/2006/relationships" ref="B28" r:id="rId14"/>
    <hyperlink xmlns:r="http://schemas.openxmlformats.org/officeDocument/2006/relationships" ref="B29" r:id="rId15"/>
    <hyperlink xmlns:r="http://schemas.openxmlformats.org/officeDocument/2006/relationships" ref="B33" r:id="rId16"/>
    <hyperlink xmlns:r="http://schemas.openxmlformats.org/officeDocument/2006/relationships" ref="B34" r:id="rId17"/>
    <hyperlink xmlns:r="http://schemas.openxmlformats.org/officeDocument/2006/relationships" ref="B35" r:id="rId18"/>
    <hyperlink xmlns:r="http://schemas.openxmlformats.org/officeDocument/2006/relationships" ref="B36" r:id="rId19"/>
    <hyperlink xmlns:r="http://schemas.openxmlformats.org/officeDocument/2006/relationships" ref="B37" r:id="rId20"/>
    <hyperlink xmlns:r="http://schemas.openxmlformats.org/officeDocument/2006/relationships" ref="B41" r:id="rId21"/>
    <hyperlink xmlns:r="http://schemas.openxmlformats.org/officeDocument/2006/relationships" ref="B42" r:id="rId22"/>
    <hyperlink xmlns:r="http://schemas.openxmlformats.org/officeDocument/2006/relationships" ref="B43" r:id="rId23"/>
    <hyperlink xmlns:r="http://schemas.openxmlformats.org/officeDocument/2006/relationships" ref="B44" r:id="rId24"/>
    <hyperlink xmlns:r="http://schemas.openxmlformats.org/officeDocument/2006/relationships" ref="B48" r:id="rId25"/>
    <hyperlink xmlns:r="http://schemas.openxmlformats.org/officeDocument/2006/relationships" ref="B49" r:id="rId26"/>
    <hyperlink xmlns:r="http://schemas.openxmlformats.org/officeDocument/2006/relationships" ref="B50" r:id="rId27"/>
    <hyperlink xmlns:r="http://schemas.openxmlformats.org/officeDocument/2006/relationships" ref="B51" r:id="rId28"/>
    <hyperlink xmlns:r="http://schemas.openxmlformats.org/officeDocument/2006/relationships" ref="B55" r:id="rId29"/>
    <hyperlink xmlns:r="http://schemas.openxmlformats.org/officeDocument/2006/relationships" ref="B56" r:id="rId30"/>
    <hyperlink xmlns:r="http://schemas.openxmlformats.org/officeDocument/2006/relationships" ref="B57" r:id="rId31"/>
    <hyperlink xmlns:r="http://schemas.openxmlformats.org/officeDocument/2006/relationships" ref="B58" r:id="rId32"/>
    <hyperlink xmlns:r="http://schemas.openxmlformats.org/officeDocument/2006/relationships" ref="B59" r:id="rId33"/>
    <hyperlink xmlns:r="http://schemas.openxmlformats.org/officeDocument/2006/relationships" ref="B63" r:id="rId34"/>
    <hyperlink xmlns:r="http://schemas.openxmlformats.org/officeDocument/2006/relationships" ref="B64" r:id="rId35"/>
  </hyperlinks>
  <printOptions horizontalCentered="1"/>
  <pageMargins left="0.75" right="0.75" top="1" bottom="1" header="0.5" footer="0.5"/>
  <pageSetup orientation="portrait" paperSize="9" fitToHeight="1" fitToWidth="1"/>
  <headerFooter>
    <oddHeader/>
    <oddFooter>&amp;R&amp;8 TMA3084 TSPi Workbook v3.0  -  &amp;P of &amp;N</oddFooter>
    <evenHeader/>
    <evenFooter/>
    <firstHeader/>
    <firstFooter/>
  </headerFooter>
</worksheet>
</file>

<file path=xl/worksheets/sheet4.xml><?xml version="1.0" encoding="utf-8"?>
<worksheet xmlns="http://schemas.openxmlformats.org/spreadsheetml/2006/main">
  <sheetPr>
    <tabColor rgb="00B4531A"/>
    <outlinePr summaryBelow="1" summaryRight="1"/>
    <pageSetUpPr fitToPage="1"/>
  </sheetPr>
  <dimension ref="A1:K33"/>
  <sheetViews>
    <sheetView showGridLines="0" workbookViewId="0">
      <selection activeCell="A1" sqref="A1"/>
    </sheetView>
  </sheetViews>
  <sheetFormatPr baseColWidth="8" defaultRowHeight="15" outlineLevelCol="0"/>
  <cols>
    <col width="3" customWidth="1" min="1" max="1"/>
    <col width="20" customWidth="1" min="2" max="2"/>
    <col width="30" customWidth="1" min="3" max="3"/>
    <col width="16" customWidth="1" min="4" max="4"/>
    <col width="14" customWidth="1" min="5" max="5"/>
    <col width="14" customWidth="1" min="6" max="6"/>
    <col width="14" customWidth="1" min="7" max="7"/>
    <col width="14" customWidth="1" min="8" max="8"/>
    <col width="14" customWidth="1" min="9" max="9"/>
    <col width="14" customWidth="1" min="10" max="10"/>
    <col width="3" customWidth="1" min="11" max="11"/>
  </cols>
  <sheetData>
    <row r="1" ht="30" customHeight="1">
      <c r="A1" s="1" t="inlineStr">
        <is>
          <t>Project Summary</t>
        </is>
      </c>
    </row>
    <row r="2" ht="16" customHeight="1">
      <c r="A2" s="2" t="inlineStr">
        <is>
          <t>The one page to open first. Everything here is calculated from the logs.</t>
        </is>
      </c>
    </row>
    <row r="4">
      <c r="B4" s="23" t="inlineStr">
        <is>
          <t>Project</t>
        </is>
      </c>
      <c r="C4" s="24">
        <f>SETUP!$C$11</f>
        <v/>
      </c>
      <c r="E4" s="23" t="inlineStr">
        <is>
          <t>Report date</t>
        </is>
      </c>
      <c r="G4" s="124">
        <f>TODAY()</f>
        <v/>
      </c>
    </row>
    <row r="5">
      <c r="B5" s="23" t="inlineStr">
        <is>
          <t>Team</t>
        </is>
      </c>
      <c r="C5" s="24">
        <f>SETUP!$C$10</f>
        <v/>
      </c>
      <c r="E5" s="23" t="inlineStr">
        <is>
          <t>Current week</t>
        </is>
      </c>
      <c r="G5" s="26">
        <f>CHARTDATA!$D$4</f>
        <v/>
      </c>
    </row>
    <row r="6">
      <c r="B6" s="23" t="inlineStr">
        <is>
          <t>Client</t>
        </is>
      </c>
      <c r="C6" s="24">
        <f>SETUP!$C$12</f>
        <v/>
      </c>
      <c r="E6" s="23" t="inlineStr">
        <is>
          <t>Team size</t>
        </is>
      </c>
      <c r="G6" s="26">
        <f>SETUP!$C$16</f>
        <v/>
      </c>
    </row>
    <row r="7">
      <c r="B7" s="23" t="inlineStr">
        <is>
          <t>Instructor</t>
        </is>
      </c>
      <c r="C7" s="24">
        <f>SETUP!$C$7</f>
        <v/>
      </c>
      <c r="E7" s="23" t="inlineStr">
        <is>
          <t>Repository</t>
        </is>
      </c>
      <c r="G7" s="24">
        <f>SETUP!$C$14</f>
        <v/>
      </c>
    </row>
    <row r="9" ht="19" customHeight="1">
      <c r="A9" s="5" t="inlineStr">
        <is>
          <t>Headline Measures</t>
        </is>
      </c>
    </row>
    <row r="10" ht="26" customHeight="1">
      <c r="B10" s="27" t="inlineStr">
        <is>
          <t>Planned hours</t>
        </is>
      </c>
      <c r="C10" s="27" t="inlineStr">
        <is>
          <t>Actual hours</t>
        </is>
      </c>
      <c r="D10" s="27" t="inlineStr">
        <is>
          <t>Planned value to date</t>
        </is>
      </c>
      <c r="E10" s="27" t="inlineStr">
        <is>
          <t>Earned value to date</t>
        </is>
      </c>
      <c r="F10" s="27" t="inlineStr">
        <is>
          <t>New &amp; changed LOC</t>
        </is>
      </c>
      <c r="G10" s="27" t="inlineStr">
        <is>
          <t>Defects removed</t>
        </is>
      </c>
      <c r="H10" s="27" t="inlineStr">
        <is>
          <t>Defects / KLOC</t>
        </is>
      </c>
      <c r="I10" s="27" t="inlineStr">
        <is>
          <t>Test cases</t>
        </is>
      </c>
      <c r="J10" s="27" t="inlineStr">
        <is>
          <t>Test pass rate</t>
        </is>
      </c>
    </row>
    <row r="11" ht="26" customHeight="1">
      <c r="B11" s="125">
        <f>SUM(TASK!$K$8:$K$127)</f>
        <v/>
      </c>
      <c r="C11" s="125">
        <f>SUM(LOGT!$K$7:$K$406)/60</f>
        <v/>
      </c>
      <c r="D11" s="126">
        <f>CHARTDATA!$G$19</f>
        <v/>
      </c>
      <c r="E11" s="126">
        <f>CHARTDATA!$I$19</f>
        <v/>
      </c>
      <c r="F11" s="30">
        <f>SUMP!$C$10</f>
        <v/>
      </c>
      <c r="G11" s="31">
        <f>SUMP!$C$96</f>
        <v/>
      </c>
      <c r="H11" s="32">
        <f>IFERROR(SUMP!$C$96/(SUMP!$C$10/1000),"")</f>
        <v/>
      </c>
      <c r="I11" s="31">
        <f>COUNTA(LOGTEST!$A$7:$A$306)</f>
        <v/>
      </c>
      <c r="J11" s="126">
        <f>IFERROR(COUNTIF(LOGTEST!$H$7:$H$306,"Pass")/COUNTA(LOGTEST!$H$7:$H$306),"")</f>
        <v/>
      </c>
    </row>
    <row r="13" ht="19" customHeight="1">
      <c r="A13" s="5" t="inlineStr">
        <is>
          <t>Earned Value and Effort</t>
        </is>
      </c>
    </row>
    <row r="32" ht="19" customHeight="1">
      <c r="A32" s="5" t="inlineStr">
        <is>
          <t>Where the team stands</t>
        </is>
      </c>
    </row>
    <row r="33" ht="34" customHeight="1">
      <c r="B33" s="33">
        <f>IF(CHARTDATA!$I$19-CHARTDATA!$G$19&lt;-0.1,"BEHIND - earned value is more than ten points below plan. Look at TASK for work that is started but not finished, and at DASHBOARD for who is carrying the load.",IF(CHARTDATA!$I$19-CHARTDATA!$G$19&lt;-0.02,"AT RISK - slightly behind plan. Recoverable this week if the team finishes what it started.","ON TRACK - earned value is at or ahead of plan. Keep logging; the picture is only as good as the data behind it."))</f>
        <v/>
      </c>
    </row>
  </sheetData>
  <mergeCells count="6">
    <mergeCell ref="B33:J33"/>
    <mergeCell ref="A2:K2"/>
    <mergeCell ref="A32:K32"/>
    <mergeCell ref="A13:K13"/>
    <mergeCell ref="A1:K1"/>
    <mergeCell ref="A9:K9"/>
  </mergeCells>
  <printOptions horizontalCentered="1"/>
  <pageMargins left="0.75" right="0.75" top="1" bottom="1" header="0.5" footer="0.5"/>
  <pageSetup orientation="landscape" paperSize="9" fitToHeight="1" fitToWidth="1"/>
  <headerFooter>
    <oddHeader/>
    <oddFooter>&amp;R&amp;8 TMA3084 TSPi Workbook v3.0  -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B4531A"/>
    <outlinePr summaryBelow="1" summaryRight="1"/>
    <pageSetUpPr fitToPage="1"/>
  </sheetPr>
  <dimension ref="A1:H33"/>
  <sheetViews>
    <sheetView showGridLines="0" workbookViewId="0">
      <selection activeCell="A1" sqref="A1"/>
    </sheetView>
  </sheetViews>
  <sheetFormatPr baseColWidth="8" defaultRowHeight="15" outlineLevelCol="0"/>
  <cols>
    <col width="2" customWidth="1" min="1" max="1"/>
    <col width="30" customWidth="1" min="2" max="2"/>
    <col width="40" customWidth="1" min="3" max="3"/>
    <col width="16" customWidth="1" min="4" max="4"/>
    <col width="16" customWidth="1" min="5" max="5"/>
    <col width="12" customWidth="1" min="6" max="6"/>
    <col width="12" customWidth="1" min="7" max="7"/>
    <col width="46" customWidth="1" min="8" max="8"/>
  </cols>
  <sheetData>
    <row r="1" ht="30" customHeight="1">
      <c r="A1" s="1" t="inlineStr">
        <is>
          <t>Project Setup</t>
        </is>
      </c>
    </row>
    <row r="2" ht="16" customHeight="1">
      <c r="A2" s="2" t="inlineStr">
        <is>
          <t>Fill this sheet once at team launch. Every other form reads from here.</t>
        </is>
      </c>
    </row>
    <row r="4" ht="19" customHeight="1">
      <c r="A4" s="5" t="inlineStr">
        <is>
          <t>Team &amp; Project Identification</t>
        </is>
      </c>
    </row>
    <row r="5">
      <c r="B5" s="23" t="inlineStr">
        <is>
          <t>Course</t>
        </is>
      </c>
      <c r="C5" s="34" t="inlineStr">
        <is>
          <t>TMA3084 Software Engineering Laboratory</t>
        </is>
      </c>
    </row>
    <row r="6">
      <c r="B6" s="23" t="inlineStr">
        <is>
          <t>Semester</t>
        </is>
      </c>
      <c r="C6" s="34" t="inlineStr">
        <is>
          <t>Semester 1, Session 2026/2027</t>
        </is>
      </c>
    </row>
    <row r="7">
      <c r="B7" s="23" t="inlineStr">
        <is>
          <t>Instructor</t>
        </is>
      </c>
      <c r="C7" s="34" t="inlineStr">
        <is>
          <t>Ts. Nurfauza Jali</t>
        </is>
      </c>
    </row>
    <row r="8">
      <c r="B8" s="23" t="inlineStr">
        <is>
          <t>Lab Demonstrator</t>
        </is>
      </c>
      <c r="C8" s="34" t="inlineStr">
        <is>
          <t>Mr. MD. Aminul Islam Rakib</t>
        </is>
      </c>
    </row>
    <row r="9">
      <c r="B9" s="23" t="inlineStr">
        <is>
          <t>Lab Group (1 or 2)</t>
        </is>
      </c>
      <c r="C9" s="34" t="inlineStr">
        <is>
          <t>1</t>
        </is>
      </c>
    </row>
    <row r="10">
      <c r="B10" s="23" t="inlineStr">
        <is>
          <t>Team Name / Number</t>
        </is>
      </c>
      <c r="C10" s="34" t="inlineStr">
        <is>
          <t>AUV</t>
        </is>
      </c>
    </row>
    <row r="11">
      <c r="B11" s="23" t="inlineStr">
        <is>
          <t>Project Title</t>
        </is>
      </c>
      <c r="C11" s="34" t="inlineStr">
        <is>
          <t>SeaFresh Supplier Mobile App</t>
        </is>
      </c>
    </row>
    <row r="12">
      <c r="B12" s="23" t="inlineStr">
        <is>
          <t>Client Organisation</t>
        </is>
      </c>
      <c r="C12" s="34" t="inlineStr">
        <is>
          <t>SeaFresh Seafood Trading (sample client)</t>
        </is>
      </c>
    </row>
    <row r="13">
      <c r="B13" s="23" t="inlineStr">
        <is>
          <t>Client Contact &amp; Email</t>
        </is>
      </c>
      <c r="C13" s="34" t="inlineStr">
        <is>
          <t>Encik Faizal (sample) - faizal@seafresh.example</t>
        </is>
      </c>
    </row>
    <row r="14">
      <c r="B14" s="23" t="inlineStr">
        <is>
          <t>GitHub Repository URL</t>
        </is>
      </c>
      <c r="C14" s="34" t="inlineStr">
        <is>
          <t>https://github.com/tma3084-sample/auv-seafresh</t>
        </is>
      </c>
    </row>
    <row r="15">
      <c r="B15" s="23" t="inlineStr">
        <is>
          <t>Project Board URL</t>
        </is>
      </c>
      <c r="C15" s="34" t="inlineStr">
        <is>
          <t>https://github.com/orgs/tma3084-sample/projects/1</t>
        </is>
      </c>
    </row>
    <row r="16">
      <c r="B16" s="23" t="inlineStr">
        <is>
          <t>Team Size</t>
        </is>
      </c>
      <c r="C16" s="35" t="n">
        <v>5</v>
      </c>
    </row>
    <row r="18" ht="19" customHeight="1">
      <c r="A18" s="5" t="inlineStr">
        <is>
          <t>Milestone Plan</t>
        </is>
      </c>
    </row>
    <row r="19" ht="18" customHeight="1">
      <c r="A19" s="6" t="inlineStr">
        <is>
          <t>ID</t>
        </is>
      </c>
      <c r="B19" s="6" t="inlineStr">
        <is>
          <t>Milestone</t>
        </is>
      </c>
      <c r="C19" s="6" t="inlineStr">
        <is>
          <t>Week</t>
        </is>
      </c>
      <c r="D19" s="6" t="inlineStr">
        <is>
          <t>Start</t>
        </is>
      </c>
      <c r="E19" s="6" t="inlineStr">
        <is>
          <t>Due</t>
        </is>
      </c>
      <c r="F19" s="6" t="inlineStr">
        <is>
          <t>Weight</t>
        </is>
      </c>
      <c r="G19" s="6" t="inlineStr">
        <is>
          <t>Status</t>
        </is>
      </c>
      <c r="H19" s="6" t="inlineStr">
        <is>
          <t>Key Deliverables</t>
        </is>
      </c>
    </row>
    <row r="20" ht="30" customHeight="1">
      <c r="A20" s="36" t="inlineStr">
        <is>
          <t>M1</t>
        </is>
      </c>
      <c r="B20" s="37" t="inlineStr">
        <is>
          <t>Proposal &amp; Planning</t>
        </is>
      </c>
      <c r="C20" s="38" t="n">
        <v>5</v>
      </c>
      <c r="D20" s="127" t="n">
        <v>46314</v>
      </c>
      <c r="E20" s="127" t="n">
        <v>46320</v>
      </c>
      <c r="F20" s="40" t="n">
        <v>0.1</v>
      </c>
      <c r="G20" s="41" t="inlineStr">
        <is>
          <t>Complete</t>
        </is>
      </c>
      <c r="H20" s="42" t="inlineStr">
        <is>
          <t>Proposal, SRS draft, GitHub repo, Team Charter, client approval, &gt;=2 client meetings</t>
        </is>
      </c>
    </row>
    <row r="21" ht="30" customHeight="1">
      <c r="A21" s="36" t="inlineStr">
        <is>
          <t>M2</t>
        </is>
      </c>
      <c r="B21" s="37" t="inlineStr">
        <is>
          <t>Requirements &amp; Design</t>
        </is>
      </c>
      <c r="C21" s="38" t="n">
        <v>9</v>
      </c>
      <c r="D21" s="127" t="n">
        <v>46342</v>
      </c>
      <c r="E21" s="127" t="n">
        <v>46346</v>
      </c>
      <c r="F21" s="40" t="n">
        <v>0.15</v>
      </c>
      <c r="G21" s="41" t="inlineStr">
        <is>
          <t>Complete</t>
        </is>
      </c>
      <c r="H21" s="42" t="inlineStr">
        <is>
          <t>Revised SRS, SDD, Flutter prototype (4-5 screens), &gt;=10 LOGAI entries, test plan (&gt;=20 cases), &gt;=4 client meetings</t>
        </is>
      </c>
    </row>
    <row r="22" ht="30" customHeight="1">
      <c r="A22" s="36" t="inlineStr">
        <is>
          <t>M3</t>
        </is>
      </c>
      <c r="B22" s="37" t="inlineStr">
        <is>
          <t>Implementation &amp; Testing</t>
        </is>
      </c>
      <c r="C22" s="38" t="n">
        <v>13</v>
      </c>
      <c r="D22" s="127" t="n">
        <v>46370</v>
      </c>
      <c r="E22" s="127" t="n">
        <v>46376</v>
      </c>
      <c r="F22" s="40" t="n">
        <v>0.35</v>
      </c>
      <c r="G22" s="41" t="inlineStr">
        <is>
          <t>Complete</t>
        </is>
      </c>
      <c r="H22" s="42" t="inlineStr">
        <is>
          <t>Final SDD, &gt;=50 tests at &gt;=60% coverage, GitHub Actions green, APK/IPA build, &gt;=6 client meetings</t>
        </is>
      </c>
    </row>
    <row r="23" ht="30" customHeight="1">
      <c r="A23" s="36" t="inlineStr">
        <is>
          <t>M4</t>
        </is>
      </c>
      <c r="B23" s="37" t="inlineStr">
        <is>
          <t>Release &amp; Oral Commitment</t>
        </is>
      </c>
      <c r="C23" s="38" t="n">
        <v>15</v>
      </c>
      <c r="D23" s="127" t="n">
        <v>46384</v>
      </c>
      <c r="E23" s="127" t="n">
        <v>46389</v>
      </c>
      <c r="F23" s="40" t="n">
        <v>0.4</v>
      </c>
      <c r="G23" s="41" t="inlineStr">
        <is>
          <t>In progress</t>
        </is>
      </c>
      <c r="H23" s="42" t="inlineStr">
        <is>
          <t>Final report, user manual, demo video 5-10 min, presentation, client sign-off, v1.0.0 release</t>
        </is>
      </c>
    </row>
    <row r="25" ht="19" customHeight="1">
      <c r="A25" s="5" t="inlineStr">
        <is>
          <t>Course Thresholds  (used by DASHBOARD to flag a team that is behind)</t>
        </is>
      </c>
    </row>
    <row r="26" ht="18" customHeight="1">
      <c r="A26" s="6" t="inlineStr">
        <is>
          <t>Threshold</t>
        </is>
      </c>
      <c r="B26" s="6" t="inlineStr">
        <is>
          <t>M1</t>
        </is>
      </c>
      <c r="C26" s="6" t="inlineStr">
        <is>
          <t>M2</t>
        </is>
      </c>
      <c r="D26" s="6" t="inlineStr">
        <is>
          <t>M3</t>
        </is>
      </c>
      <c r="E26" s="6" t="inlineStr">
        <is>
          <t>M4</t>
        </is>
      </c>
      <c r="F26" s="6" t="inlineStr"/>
      <c r="G26" s="6" t="inlineStr"/>
      <c r="H26" s="6" t="inlineStr">
        <is>
          <t>Notes</t>
        </is>
      </c>
    </row>
    <row r="27">
      <c r="A27" s="43" t="inlineStr">
        <is>
          <t>Minimum commits (cumulative)</t>
        </is>
      </c>
      <c r="B27" s="44" t="n">
        <v>15</v>
      </c>
      <c r="C27" s="44" t="n">
        <v>30</v>
      </c>
      <c r="D27" s="44" t="n">
        <v>50</v>
      </c>
      <c r="E27" s="44" t="n">
        <v>70</v>
      </c>
      <c r="H27" s="45" t="inlineStr">
        <is>
          <t>Git history, all branches merged to develop</t>
        </is>
      </c>
    </row>
    <row r="28">
      <c r="A28" s="43" t="inlineStr">
        <is>
          <t>Minimum pull requests merged</t>
        </is>
      </c>
      <c r="B28" s="44" t="n">
        <v>3</v>
      </c>
      <c r="C28" s="44" t="n">
        <v>8</v>
      </c>
      <c r="D28" s="44" t="n">
        <v>15</v>
      </c>
      <c r="E28" s="44" t="n">
        <v>20</v>
      </c>
      <c r="H28" s="45" t="inlineStr">
        <is>
          <t>Every PR needs at least one reviewer approval</t>
        </is>
      </c>
    </row>
    <row r="29">
      <c r="A29" s="43" t="inlineStr">
        <is>
          <t>Minimum client meetings (cumulative)</t>
        </is>
      </c>
      <c r="B29" s="44" t="n">
        <v>2</v>
      </c>
      <c r="C29" s="44" t="n">
        <v>4</v>
      </c>
      <c r="D29" s="44" t="n">
        <v>6</v>
      </c>
      <c r="E29" s="44" t="n">
        <v>7</v>
      </c>
      <c r="H29" s="45" t="inlineStr">
        <is>
          <t>Logged in LOGCLIENT with client sign-off</t>
        </is>
      </c>
    </row>
    <row r="30">
      <c r="A30" s="43" t="inlineStr">
        <is>
          <t>Minimum LOGAI entries (cumulative)</t>
        </is>
      </c>
      <c r="B30" s="44" t="n">
        <v>2</v>
      </c>
      <c r="C30" s="44" t="n">
        <v>10</v>
      </c>
      <c r="D30" s="44" t="n">
        <v>15</v>
      </c>
      <c r="E30" s="44" t="n">
        <v>18</v>
      </c>
      <c r="H30" s="45" t="inlineStr">
        <is>
          <t>Every AI-assisted change reviewed and logged</t>
        </is>
      </c>
    </row>
    <row r="31">
      <c r="A31" s="43" t="inlineStr">
        <is>
          <t>Minimum test cases (cumulative)</t>
        </is>
      </c>
      <c r="B31" s="44" t="n">
        <v>0</v>
      </c>
      <c r="C31" s="44" t="n">
        <v>20</v>
      </c>
      <c r="D31" s="44" t="n">
        <v>50</v>
      </c>
      <c r="E31" s="44" t="n">
        <v>60</v>
      </c>
      <c r="H31" s="45" t="inlineStr">
        <is>
          <t>LOGTEST; unit + widget + integration</t>
        </is>
      </c>
    </row>
    <row r="32">
      <c r="A32" s="43" t="inlineStr">
        <is>
          <t>Minimum code coverage</t>
        </is>
      </c>
      <c r="B32" s="46" t="n">
        <v>0</v>
      </c>
      <c r="C32" s="46" t="n">
        <v>0.3</v>
      </c>
      <c r="D32" s="46" t="n">
        <v>0.6</v>
      </c>
      <c r="E32" s="46" t="n">
        <v>0.6</v>
      </c>
      <c r="F32" s="47" t="n"/>
      <c r="H32" s="45" t="inlineStr">
        <is>
          <t>Critical business logic; from coverage report</t>
        </is>
      </c>
    </row>
    <row r="33">
      <c r="A33" s="43" t="inlineStr">
        <is>
          <t>Minimum hours per member (cumulative)</t>
        </is>
      </c>
      <c r="B33" s="44" t="n">
        <v>15</v>
      </c>
      <c r="C33" s="44" t="n">
        <v>40</v>
      </c>
      <c r="D33" s="44" t="n">
        <v>80</v>
      </c>
      <c r="E33" s="44" t="n">
        <v>100</v>
      </c>
      <c r="H33" s="45" t="inlineStr">
        <is>
          <t>LOGT; flags under-contribution</t>
        </is>
      </c>
    </row>
  </sheetData>
  <mergeCells count="5">
    <mergeCell ref="A18:H18"/>
    <mergeCell ref="A4:H4"/>
    <mergeCell ref="A25:H25"/>
    <mergeCell ref="A2:H2"/>
    <mergeCell ref="A1:H1"/>
  </mergeCells>
  <dataValidations count="1">
    <dataValidation sqref="G20:G23" showDropDown="0" showInputMessage="0" showErrorMessage="0" allowBlank="1" error="Pick a value from the list." promptTitle="Milestone status" type="list">
      <formula1>=LISTS!$J$5:$J$9</formula1>
    </dataValidation>
  </dataValidations>
  <printOptions horizontalCentered="1"/>
  <pageMargins left="0.75" right="0.75" top="1" bottom="1" header="0.5" footer="0.5"/>
  <pageSetup orientation="portrait" paperSize="9" fitToHeight="1" fitToWidth="1"/>
  <headerFooter>
    <oddHeader/>
    <oddFooter>&amp;R&amp;8 TMA3084 TSPi Workbook v3.0  -  &amp;P of &amp;N</oddFooter>
    <evenHeader/>
    <evenFooter/>
    <firstHeader/>
    <firstFooter/>
  </headerFooter>
</worksheet>
</file>

<file path=xl/worksheets/sheet6.xml><?xml version="1.0" encoding="utf-8"?>
<worksheet xmlns="http://schemas.openxmlformats.org/spreadsheetml/2006/main">
  <sheetPr>
    <tabColor rgb="0014505C"/>
    <outlinePr summaryBelow="1" summaryRight="1"/>
    <pageSetUpPr fitToPage="1"/>
  </sheetPr>
  <dimension ref="A1:L23"/>
  <sheetViews>
    <sheetView showGridLines="0" workbookViewId="0">
      <pane ySplit="8" topLeftCell="A9" activePane="bottomLeft" state="frozen"/>
      <selection pane="bottomLeft" activeCell="A1" sqref="A1"/>
    </sheetView>
  </sheetViews>
  <sheetFormatPr baseColWidth="8" defaultRowHeight="15" outlineLevelCol="0"/>
  <cols>
    <col width="5" customWidth="1" min="1" max="1"/>
    <col width="15" customWidth="1" min="2" max="2"/>
    <col width="26" customWidth="1" min="3" max="3"/>
    <col width="26" customWidth="1" min="4" max="4"/>
    <col width="14" customWidth="1" min="5" max="5"/>
    <col width="18" customWidth="1" min="6" max="6"/>
    <col width="24" customWidth="1" min="7" max="7"/>
    <col width="22" customWidth="1" min="8" max="8"/>
    <col width="12" customWidth="1" min="9" max="9"/>
    <col width="12" customWidth="1" min="10" max="10"/>
    <col width="11" customWidth="1" min="11" max="11"/>
    <col width="11" customWidth="1" min="12" max="12"/>
  </cols>
  <sheetData>
    <row r="1" ht="30" customHeight="1">
      <c r="A1" s="1" t="inlineStr">
        <is>
          <t>Form SI  -  Student &amp; Team Information</t>
        </is>
      </c>
    </row>
    <row r="2" ht="16" customHeight="1">
      <c r="A2" s="2" t="inlineStr">
        <is>
          <t>One row per member. Names entered here feed every drop-down in the workbook.</t>
        </is>
      </c>
    </row>
    <row r="4">
      <c r="B4" s="23" t="inlineStr">
        <is>
          <t>Team</t>
        </is>
      </c>
      <c r="C4" s="24">
        <f>SETUP!$C$10</f>
        <v/>
      </c>
      <c r="E4" s="23" t="inlineStr">
        <is>
          <t>Project</t>
        </is>
      </c>
      <c r="F4" s="24">
        <f>SETUP!$C$11</f>
        <v/>
      </c>
    </row>
    <row r="5">
      <c r="B5" s="23" t="inlineStr">
        <is>
          <t>Repository</t>
        </is>
      </c>
      <c r="C5" s="24">
        <f>SETUP!$C$14</f>
        <v/>
      </c>
      <c r="E5" s="23" t="inlineStr">
        <is>
          <t>Client</t>
        </is>
      </c>
      <c r="F5" s="24">
        <f>SETUP!$C$12</f>
        <v/>
      </c>
    </row>
    <row r="7" ht="19" customHeight="1">
      <c r="A7" s="5" t="inlineStr">
        <is>
          <t>Team Members</t>
        </is>
      </c>
    </row>
    <row r="8" ht="32" customHeight="1">
      <c r="A8" s="6" t="inlineStr">
        <is>
          <t>#</t>
        </is>
      </c>
      <c r="B8" s="6" t="inlineStr">
        <is>
          <t>Matric No.</t>
        </is>
      </c>
      <c r="C8" s="6" t="inlineStr">
        <is>
          <t>Full Name</t>
        </is>
      </c>
      <c r="D8" s="6" t="inlineStr">
        <is>
          <t>UNIMAS Email</t>
        </is>
      </c>
      <c r="E8" s="6" t="inlineStr">
        <is>
          <t>Phone</t>
        </is>
      </c>
      <c r="F8" s="6" t="inlineStr">
        <is>
          <t>GitHub Handle</t>
        </is>
      </c>
      <c r="G8" s="6" t="inlineStr">
        <is>
          <t>Primary Role</t>
        </is>
      </c>
      <c r="H8" s="6" t="inlineStr">
        <is>
          <t>Secondary Role</t>
        </is>
      </c>
      <c r="I8" s="6" t="inlineStr">
        <is>
          <t>Plan Hrs</t>
        </is>
      </c>
      <c r="J8" s="6" t="inlineStr">
        <is>
          <t>Actual Hrs</t>
        </is>
      </c>
      <c r="K8" s="6" t="inlineStr">
        <is>
          <t>Share of Team Hrs</t>
        </is>
      </c>
      <c r="L8" s="6" t="inlineStr">
        <is>
          <t>Flag</t>
        </is>
      </c>
    </row>
    <row r="9">
      <c r="A9" s="48" t="n">
        <v>1</v>
      </c>
      <c r="B9" s="34" t="inlineStr">
        <is>
          <t>90001</t>
        </is>
      </c>
      <c r="C9" s="34" t="inlineStr">
        <is>
          <t>Aisyah Binti Rahman</t>
        </is>
      </c>
      <c r="D9" s="34" t="inlineStr">
        <is>
          <t>90001@siswa.unimas.my</t>
        </is>
      </c>
      <c r="E9" s="34" t="inlineStr">
        <is>
          <t>011-2000 0001</t>
        </is>
      </c>
      <c r="F9" s="34" t="inlineStr">
        <is>
          <t>aisyah-r</t>
        </is>
      </c>
      <c r="G9" s="34" t="inlineStr">
        <is>
          <t>Team Leader</t>
        </is>
      </c>
      <c r="H9" s="34" t="inlineStr">
        <is>
          <t>Support Manager</t>
        </is>
      </c>
      <c r="I9" s="128">
        <f>IF($C9="","",SUMIFS(TASK!$K$8:$K$127,TASK!$F$8:$F$127,$C9))</f>
        <v/>
      </c>
      <c r="J9" s="128">
        <f>IF($C9="","",SUMIFS(LOGT!$K$7:$K$406,LOGT!$B$7:$B$406,$C9)/60)</f>
        <v/>
      </c>
      <c r="K9" s="129">
        <f>IF(OR($C9="",$J$15=0),"",$J9/$J$15)</f>
        <v/>
      </c>
      <c r="L9" s="51">
        <f>IF($C9="","",IF($J9=0,"NO DATA",IF($K9&lt;0.6/MAX(1,COUNTA($C$9:$C$14)),"LOW",IF($K9&gt;1.6/MAX(1,COUNTA($C$9:$C$14)),"HIGH","OK"))))</f>
        <v/>
      </c>
    </row>
    <row r="10">
      <c r="A10" s="48" t="n">
        <v>2</v>
      </c>
      <c r="B10" s="34" t="inlineStr">
        <is>
          <t>90002</t>
        </is>
      </c>
      <c r="C10" s="34" t="inlineStr">
        <is>
          <t>Daniel Wong Jun Hao</t>
        </is>
      </c>
      <c r="D10" s="34" t="inlineStr">
        <is>
          <t>90002@siswa.unimas.my</t>
        </is>
      </c>
      <c r="E10" s="34" t="inlineStr">
        <is>
          <t>011-2000 0002</t>
        </is>
      </c>
      <c r="F10" s="34" t="inlineStr">
        <is>
          <t>danielwjh</t>
        </is>
      </c>
      <c r="G10" s="34" t="inlineStr">
        <is>
          <t>Development Manager</t>
        </is>
      </c>
      <c r="H10" s="34" t="n"/>
      <c r="I10" s="128">
        <f>IF($C10="","",SUMIFS(TASK!$K$8:$K$127,TASK!$F$8:$F$127,$C10))</f>
        <v/>
      </c>
      <c r="J10" s="128">
        <f>IF($C10="","",SUMIFS(LOGT!$K$7:$K$406,LOGT!$B$7:$B$406,$C10)/60)</f>
        <v/>
      </c>
      <c r="K10" s="129">
        <f>IF(OR($C10="",$J$15=0),"",$J10/$J$15)</f>
        <v/>
      </c>
      <c r="L10" s="51">
        <f>IF($C10="","",IF($J10=0,"NO DATA",IF($K10&lt;0.6/MAX(1,COUNTA($C$9:$C$14)),"LOW",IF($K10&gt;1.6/MAX(1,COUNTA($C$9:$C$14)),"HIGH","OK"))))</f>
        <v/>
      </c>
    </row>
    <row r="11">
      <c r="A11" s="48" t="n">
        <v>3</v>
      </c>
      <c r="B11" s="34" t="inlineStr">
        <is>
          <t>90003</t>
        </is>
      </c>
      <c r="C11" s="34" t="inlineStr">
        <is>
          <t>Mei Ling Chong</t>
        </is>
      </c>
      <c r="D11" s="34" t="inlineStr">
        <is>
          <t>90003@siswa.unimas.my</t>
        </is>
      </c>
      <c r="E11" s="34" t="inlineStr">
        <is>
          <t>011-2000 0003</t>
        </is>
      </c>
      <c r="F11" s="34" t="inlineStr">
        <is>
          <t>meiling-c</t>
        </is>
      </c>
      <c r="G11" s="34" t="inlineStr">
        <is>
          <t>Planning Manager</t>
        </is>
      </c>
      <c r="H11" s="34" t="n"/>
      <c r="I11" s="128">
        <f>IF($C11="","",SUMIFS(TASK!$K$8:$K$127,TASK!$F$8:$F$127,$C11))</f>
        <v/>
      </c>
      <c r="J11" s="128">
        <f>IF($C11="","",SUMIFS(LOGT!$K$7:$K$406,LOGT!$B$7:$B$406,$C11)/60)</f>
        <v/>
      </c>
      <c r="K11" s="129">
        <f>IF(OR($C11="",$J$15=0),"",$J11/$J$15)</f>
        <v/>
      </c>
      <c r="L11" s="51">
        <f>IF($C11="","",IF($J11=0,"NO DATA",IF($K11&lt;0.6/MAX(1,COUNTA($C$9:$C$14)),"LOW",IF($K11&gt;1.6/MAX(1,COUNTA($C$9:$C$14)),"HIGH","OK"))))</f>
        <v/>
      </c>
    </row>
    <row r="12">
      <c r="A12" s="48" t="n">
        <v>4</v>
      </c>
      <c r="B12" s="34" t="inlineStr">
        <is>
          <t>90004</t>
        </is>
      </c>
      <c r="C12" s="34" t="inlineStr">
        <is>
          <t>Harith Bin Ismail</t>
        </is>
      </c>
      <c r="D12" s="34" t="inlineStr">
        <is>
          <t>90004@siswa.unimas.my</t>
        </is>
      </c>
      <c r="E12" s="34" t="inlineStr">
        <is>
          <t>011-2000 0004</t>
        </is>
      </c>
      <c r="F12" s="34" t="inlineStr">
        <is>
          <t>harith-i</t>
        </is>
      </c>
      <c r="G12" s="34" t="inlineStr">
        <is>
          <t>Product Owner</t>
        </is>
      </c>
      <c r="H12" s="34" t="n"/>
      <c r="I12" s="128">
        <f>IF($C12="","",SUMIFS(TASK!$K$8:$K$127,TASK!$F$8:$F$127,$C12))</f>
        <v/>
      </c>
      <c r="J12" s="128">
        <f>IF($C12="","",SUMIFS(LOGT!$K$7:$K$406,LOGT!$B$7:$B$406,$C12)/60)</f>
        <v/>
      </c>
      <c r="K12" s="129">
        <f>IF(OR($C12="",$J$15=0),"",$J12/$J$15)</f>
        <v/>
      </c>
      <c r="L12" s="51">
        <f>IF($C12="","",IF($J12=0,"NO DATA",IF($K12&lt;0.6/MAX(1,COUNTA($C$9:$C$14)),"LOW",IF($K12&gt;1.6/MAX(1,COUNTA($C$9:$C$14)),"HIGH","OK"))))</f>
        <v/>
      </c>
    </row>
    <row r="13">
      <c r="A13" s="48" t="n">
        <v>5</v>
      </c>
      <c r="B13" s="34" t="inlineStr">
        <is>
          <t>90005</t>
        </is>
      </c>
      <c r="C13" s="34" t="inlineStr">
        <is>
          <t>Priya Nair</t>
        </is>
      </c>
      <c r="D13" s="34" t="inlineStr">
        <is>
          <t>90005@siswa.unimas.my</t>
        </is>
      </c>
      <c r="E13" s="34" t="inlineStr">
        <is>
          <t>011-2000 0005</t>
        </is>
      </c>
      <c r="F13" s="34" t="inlineStr">
        <is>
          <t>priyanair</t>
        </is>
      </c>
      <c r="G13" s="34" t="inlineStr">
        <is>
          <t>Quality &amp; Test Manager</t>
        </is>
      </c>
      <c r="H13" s="34" t="n"/>
      <c r="I13" s="128">
        <f>IF($C13="","",SUMIFS(TASK!$K$8:$K$127,TASK!$F$8:$F$127,$C13))</f>
        <v/>
      </c>
      <c r="J13" s="128">
        <f>IF($C13="","",SUMIFS(LOGT!$K$7:$K$406,LOGT!$B$7:$B$406,$C13)/60)</f>
        <v/>
      </c>
      <c r="K13" s="129">
        <f>IF(OR($C13="",$J$15=0),"",$J13/$J$15)</f>
        <v/>
      </c>
      <c r="L13" s="51">
        <f>IF($C13="","",IF($J13=0,"NO DATA",IF($K13&lt;0.6/MAX(1,COUNTA($C$9:$C$14)),"LOW",IF($K13&gt;1.6/MAX(1,COUNTA($C$9:$C$14)),"HIGH","OK"))))</f>
        <v/>
      </c>
    </row>
    <row r="14">
      <c r="A14" s="48" t="n">
        <v>6</v>
      </c>
      <c r="B14" s="34" t="n"/>
      <c r="C14" s="34" t="n"/>
      <c r="D14" s="34" t="n"/>
      <c r="E14" s="34" t="n"/>
      <c r="F14" s="34" t="n"/>
      <c r="G14" s="34" t="n"/>
      <c r="H14" s="34" t="n"/>
      <c r="I14" s="128">
        <f>IF($C14="","",SUMIFS(TASK!$K$8:$K$127,TASK!$F$8:$F$127,$C14))</f>
        <v/>
      </c>
      <c r="J14" s="128">
        <f>IF($C14="","",SUMIFS(LOGT!$K$7:$K$406,LOGT!$B$7:$B$406,$C14)/60)</f>
        <v/>
      </c>
      <c r="K14" s="129">
        <f>IF(OR($C14="",$J$15=0),"",$J14/$J$15)</f>
        <v/>
      </c>
      <c r="L14" s="51">
        <f>IF($C14="","",IF($J14=0,"NO DATA",IF($K14&lt;0.6/MAX(1,COUNTA($C$9:$C$14)),"LOW",IF($K14&gt;1.6/MAX(1,COUNTA($C$9:$C$14)),"HIGH","OK"))))</f>
        <v/>
      </c>
    </row>
    <row r="15">
      <c r="A15" s="52" t="inlineStr"/>
      <c r="B15" s="52" t="n"/>
      <c r="C15" s="52" t="n"/>
      <c r="D15" s="52" t="n"/>
      <c r="E15" s="52" t="n"/>
      <c r="F15" s="52" t="n"/>
      <c r="G15" s="52" t="n"/>
      <c r="H15" s="53" t="inlineStr">
        <is>
          <t>TEAM TOTAL</t>
        </is>
      </c>
      <c r="I15" s="130">
        <f>SUM(I9:I14)</f>
        <v/>
      </c>
      <c r="J15" s="130">
        <f>SUM(J9:J14)</f>
        <v/>
      </c>
      <c r="K15" s="131">
        <f>IF($J$15=0,"",1)</f>
        <v/>
      </c>
      <c r="L15" s="52" t="n"/>
    </row>
    <row r="17" ht="19" customHeight="1">
      <c r="A17" s="5" t="inlineStr">
        <is>
          <t>Team Charter  (agree in Week 1, revisit at every launch)</t>
        </is>
      </c>
    </row>
    <row r="18" ht="26" customHeight="1">
      <c r="B18" s="23" t="inlineStr">
        <is>
          <t>Team vision</t>
        </is>
      </c>
      <c r="C18" s="34" t="inlineStr">
        <is>
          <t>Give SeaFresh's counter staff a phone app that replaces the paper order book, so an order reaches the kitchen without being re-typed.</t>
        </is>
      </c>
      <c r="D18" s="10" t="n"/>
      <c r="E18" s="10" t="n"/>
      <c r="F18" s="10" t="n"/>
      <c r="G18" s="10" t="n"/>
      <c r="H18" s="10" t="n"/>
      <c r="I18" s="10" t="n"/>
      <c r="J18" s="10" t="n"/>
      <c r="K18" s="10" t="n"/>
      <c r="L18" s="11" t="n"/>
    </row>
    <row r="19" ht="26" customHeight="1">
      <c r="B19" s="23" t="inlineStr">
        <is>
          <t>Communication norms</t>
        </is>
      </c>
      <c r="C19" s="34" t="inlineStr">
        <is>
          <t>WhatsApp group for day-to-day, GitHub Issues for anything that needs a record. Replies within 12 hours on weekdays. Stand-up every Wednesday 4pm in the lab; client meeting every second Saturday.</t>
        </is>
      </c>
      <c r="D19" s="10" t="n"/>
      <c r="E19" s="10" t="n"/>
      <c r="F19" s="10" t="n"/>
      <c r="G19" s="10" t="n"/>
      <c r="H19" s="10" t="n"/>
      <c r="I19" s="10" t="n"/>
      <c r="J19" s="10" t="n"/>
      <c r="K19" s="10" t="n"/>
      <c r="L19" s="11" t="n"/>
    </row>
    <row r="20" ht="26" customHeight="1">
      <c r="B20" s="23" t="inlineStr">
        <is>
          <t>Definition of done</t>
        </is>
      </c>
      <c r="C20" s="34" t="inlineStr">
        <is>
          <t>Merged to develop, reviewed and approved by someone other than the author, tests written and passing, CI green, and the LOGAI row filled in if a generator touched it.</t>
        </is>
      </c>
      <c r="D20" s="10" t="n"/>
      <c r="E20" s="10" t="n"/>
      <c r="F20" s="10" t="n"/>
      <c r="G20" s="10" t="n"/>
      <c r="H20" s="10" t="n"/>
      <c r="I20" s="10" t="n"/>
      <c r="J20" s="10" t="n"/>
      <c r="K20" s="10" t="n"/>
      <c r="L20" s="11" t="n"/>
    </row>
    <row r="21" ht="26" customHeight="1">
      <c r="B21" s="23" t="inlineStr">
        <is>
          <t>Conflict resolution</t>
        </is>
      </c>
      <c r="C21" s="34" t="inlineStr">
        <is>
          <t>Raise it in the Wednesday meeting first. If the team cannot settle it, the Team Leader decides and records the reason in IRTL. Nobody re-opens a settled decision without new information.</t>
        </is>
      </c>
      <c r="D21" s="10" t="n"/>
      <c r="E21" s="10" t="n"/>
      <c r="F21" s="10" t="n"/>
      <c r="G21" s="10" t="n"/>
      <c r="H21" s="10" t="n"/>
      <c r="I21" s="10" t="n"/>
      <c r="J21" s="10" t="n"/>
      <c r="K21" s="10" t="n"/>
      <c r="L21" s="11" t="n"/>
    </row>
    <row r="22" ht="26" customHeight="1">
      <c r="B22" s="23" t="inlineStr">
        <is>
          <t>Quality standards</t>
        </is>
      </c>
      <c r="C22" s="34" t="inlineStr">
        <is>
          <t>60% coverage on business logic, zero analyzer warnings on develop, code review within 24 hours, and no AI-generated code merged without a second pair of eyes.</t>
        </is>
      </c>
      <c r="D22" s="10" t="n"/>
      <c r="E22" s="10" t="n"/>
      <c r="F22" s="10" t="n"/>
      <c r="G22" s="10" t="n"/>
      <c r="H22" s="10" t="n"/>
      <c r="I22" s="10" t="n"/>
      <c r="J22" s="10" t="n"/>
      <c r="K22" s="10" t="n"/>
      <c r="L22" s="11" t="n"/>
    </row>
    <row r="23" ht="26" customHeight="1">
      <c r="B23" s="23" t="inlineStr">
        <is>
          <t>Commitment</t>
        </is>
      </c>
      <c r="C23" s="34" t="inlineStr">
        <is>
          <t>About 10 hours per person per week. Tell the team in advance if you will be away; an unexplained silent week gets raised at the next meeting.</t>
        </is>
      </c>
      <c r="D23" s="10" t="n"/>
      <c r="E23" s="10" t="n"/>
      <c r="F23" s="10" t="n"/>
      <c r="G23" s="10" t="n"/>
      <c r="H23" s="10" t="n"/>
      <c r="I23" s="10" t="n"/>
      <c r="J23" s="10" t="n"/>
      <c r="K23" s="10" t="n"/>
      <c r="L23" s="11" t="n"/>
    </row>
  </sheetData>
  <mergeCells count="10">
    <mergeCell ref="C19:L19"/>
    <mergeCell ref="A2:L2"/>
    <mergeCell ref="A7:L7"/>
    <mergeCell ref="C23:L23"/>
    <mergeCell ref="C22:L22"/>
    <mergeCell ref="C18:L18"/>
    <mergeCell ref="A1:L1"/>
    <mergeCell ref="C21:L21"/>
    <mergeCell ref="C20:L20"/>
    <mergeCell ref="A17:L17"/>
  </mergeCells>
  <conditionalFormatting sqref="L9:L14">
    <cfRule type="cellIs" priority="1" operator="equal" dxfId="0">
      <formula>"LOW"</formula>
    </cfRule>
    <cfRule type="cellIs" priority="2" operator="equal" dxfId="1">
      <formula>"HIGH"</formula>
    </cfRule>
    <cfRule type="cellIs" priority="3" operator="equal" dxfId="2">
      <formula>"OK"</formula>
    </cfRule>
  </conditionalFormatting>
  <dataValidations count="1">
    <dataValidation sqref="G9:H14" showDropDown="0" showInputMessage="0" showErrorMessage="0" allowBlank="1" error="Pick a value from the list." promptTitle="Role" type="list">
      <formula1>=LISTS!$E$5:$E$11</formula1>
    </dataValidation>
  </dataValidation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14505C"/>
    <outlinePr summaryBelow="1" summaryRight="1"/>
    <pageSetUpPr fitToPage="1"/>
  </sheetPr>
  <dimension ref="A1:F27"/>
  <sheetViews>
    <sheetView showGridLines="0" workbookViewId="0">
      <pane ySplit="6" topLeftCell="A7" activePane="bottomLeft" state="frozen"/>
      <selection pane="bottomLeft" activeCell="A1" sqref="A1"/>
    </sheetView>
  </sheetViews>
  <sheetFormatPr baseColWidth="8" defaultRowHeight="15" outlineLevelCol="0"/>
  <cols>
    <col width="26" customWidth="1" min="1" max="1"/>
    <col width="56" customWidth="1" min="2" max="2"/>
    <col width="20" customWidth="1" min="3" max="3"/>
    <col width="20" customWidth="1" min="4" max="4"/>
    <col width="20" customWidth="1" min="5" max="5"/>
    <col width="20" customWidth="1" min="6" max="6"/>
  </cols>
  <sheetData>
    <row r="1" ht="30" customHeight="1">
      <c r="A1" s="1" t="inlineStr">
        <is>
          <t>Role Assignment Matrix</t>
        </is>
      </c>
    </row>
    <row r="2" ht="16" customHeight="1">
      <c r="A2" s="2" t="inlineStr">
        <is>
          <t>Six roles, five of you. One member doubles up each cycle and the double rotates, so everyone leads something.</t>
        </is>
      </c>
    </row>
    <row r="4">
      <c r="A4" s="23" t="inlineStr">
        <is>
          <t>Team</t>
        </is>
      </c>
      <c r="B4" s="24">
        <f>SETUP!$C$10</f>
        <v/>
      </c>
    </row>
    <row r="6" ht="19" customHeight="1">
      <c r="A6" s="5" t="inlineStr">
        <is>
          <t>Roles by Milestone</t>
        </is>
      </c>
    </row>
    <row r="7" ht="28" customHeight="1">
      <c r="A7" s="6" t="inlineStr">
        <is>
          <t>Role</t>
        </is>
      </c>
      <c r="B7" s="6" t="inlineStr">
        <is>
          <t>What this role owns in TMA3084</t>
        </is>
      </c>
      <c r="C7" s="6" t="inlineStr">
        <is>
          <t>M1</t>
        </is>
      </c>
      <c r="D7" s="6" t="inlineStr">
        <is>
          <t>M2</t>
        </is>
      </c>
      <c r="E7" s="6" t="inlineStr">
        <is>
          <t>M3</t>
        </is>
      </c>
      <c r="F7" s="6" t="inlineStr">
        <is>
          <t>M4</t>
        </is>
      </c>
    </row>
    <row r="8" ht="34" customHeight="1">
      <c r="A8" s="56" t="inlineStr">
        <is>
          <t>Team Leader</t>
        </is>
      </c>
      <c r="B8" s="57" t="inlineStr">
        <is>
          <t>Runs the launch and the weekly meeting, keeps the team to its plan, owns the relationship with the instructor and demonstrator, reports status.</t>
        </is>
      </c>
      <c r="C8" s="41" t="inlineStr">
        <is>
          <t>Aisyah Binti Rahman</t>
        </is>
      </c>
      <c r="D8" s="41" t="inlineStr">
        <is>
          <t>Aisyah Binti Rahman</t>
        </is>
      </c>
      <c r="E8" s="41" t="inlineStr">
        <is>
          <t>Daniel Wong Jun Hao</t>
        </is>
      </c>
      <c r="F8" s="41" t="inlineStr">
        <is>
          <t>Mei Ling Chong</t>
        </is>
      </c>
    </row>
    <row r="9" ht="34" customHeight="1">
      <c r="A9" s="56" t="inlineStr">
        <is>
          <t>Product Owner</t>
        </is>
      </c>
      <c r="B9" s="57" t="inlineStr">
        <is>
          <t>Owns the client relationship and the backlog. Books and chairs client meetings, turns client needs into prioritised user stories, obtains sign-off.</t>
        </is>
      </c>
      <c r="C9" s="41" t="inlineStr">
        <is>
          <t>Harith Bin Ismail</t>
        </is>
      </c>
      <c r="D9" s="41" t="inlineStr">
        <is>
          <t>Harith Bin Ismail</t>
        </is>
      </c>
      <c r="E9" s="41" t="inlineStr">
        <is>
          <t>Priya Nair</t>
        </is>
      </c>
      <c r="F9" s="41" t="inlineStr">
        <is>
          <t>Aisyah Binti Rahman</t>
        </is>
      </c>
    </row>
    <row r="10" ht="34" customHeight="1">
      <c r="A10" s="56" t="inlineStr">
        <is>
          <t>Development Manager</t>
        </is>
      </c>
      <c r="B10" s="57" t="inlineStr">
        <is>
          <t>Owns the Flutter codebase and the architecture. Allocates implementation work, enforces the branching model and the pull-request review rule.</t>
        </is>
      </c>
      <c r="C10" s="41" t="inlineStr">
        <is>
          <t>Daniel Wong Jun Hao</t>
        </is>
      </c>
      <c r="D10" s="41" t="inlineStr">
        <is>
          <t>Daniel Wong Jun Hao</t>
        </is>
      </c>
      <c r="E10" s="41" t="inlineStr">
        <is>
          <t>Harith Bin Ismail</t>
        </is>
      </c>
      <c r="F10" s="41" t="inlineStr">
        <is>
          <t>Priya Nair</t>
        </is>
      </c>
    </row>
    <row r="11" ht="34" customHeight="1">
      <c r="A11" s="56" t="inlineStr">
        <is>
          <t>Planning Manager</t>
        </is>
      </c>
      <c r="B11" s="57" t="inlineStr">
        <is>
          <t>Owns TASK and SCHEDULE. Produces the plan, tracks earned value weekly, raises the alarm when the team drifts off plan.</t>
        </is>
      </c>
      <c r="C11" s="41" t="inlineStr">
        <is>
          <t>Mei Ling Chong</t>
        </is>
      </c>
      <c r="D11" s="41" t="inlineStr">
        <is>
          <t>Mei Ling Chong</t>
        </is>
      </c>
      <c r="E11" s="41" t="inlineStr">
        <is>
          <t>Aisyah Binti Rahman</t>
        </is>
      </c>
      <c r="F11" s="41" t="inlineStr">
        <is>
          <t>Harith Bin Ismail</t>
        </is>
      </c>
    </row>
    <row r="12" ht="34" customHeight="1">
      <c r="A12" s="56" t="inlineStr">
        <is>
          <t>Quality &amp; Test Manager</t>
        </is>
      </c>
      <c r="B12" s="57" t="inlineStr">
        <is>
          <t>Owns SUMQ, LOGD and LOGTEST - the review, inspection and test discipline. Tracks defect density, yield and coverage, chairs inspections, owns the AI-code review rule, and reports release readiness.</t>
        </is>
      </c>
      <c r="C12" s="41" t="inlineStr">
        <is>
          <t>Priya Nair</t>
        </is>
      </c>
      <c r="D12" s="41" t="inlineStr">
        <is>
          <t>Priya Nair</t>
        </is>
      </c>
      <c r="E12" s="41" t="inlineStr">
        <is>
          <t>Mei Ling Chong</t>
        </is>
      </c>
      <c r="F12" s="41" t="inlineStr">
        <is>
          <t>Daniel Wong Jun Hao</t>
        </is>
      </c>
    </row>
    <row r="13" ht="34" customHeight="1">
      <c r="A13" s="56" t="inlineStr">
        <is>
          <t>Support Manager</t>
        </is>
      </c>
      <c r="B13" s="57" t="inlineStr">
        <is>
          <t>Owns the repository, CI/CD, environments, builds and configuration control. Maintains LOGGIT and the CCR log.</t>
        </is>
      </c>
      <c r="C13" s="41" t="inlineStr">
        <is>
          <t>Aisyah Binti Rahman</t>
        </is>
      </c>
      <c r="D13" s="41" t="inlineStr">
        <is>
          <t>Mei Ling Chong</t>
        </is>
      </c>
      <c r="E13" s="41" t="inlineStr">
        <is>
          <t>Daniel Wong Jun Hao</t>
        </is>
      </c>
      <c r="F13" s="41" t="inlineStr">
        <is>
          <t>Priya Nair</t>
        </is>
      </c>
    </row>
    <row r="15" ht="19" customHeight="1">
      <c r="A15" s="5" t="inlineStr">
        <is>
          <t>Role Load Check  -  calculated from the matrix above, do not type here</t>
        </is>
      </c>
    </row>
    <row r="16" ht="18" customHeight="1">
      <c r="A16" s="6" t="inlineStr">
        <is>
          <t>Member</t>
        </is>
      </c>
      <c r="B16" s="6" t="inlineStr">
        <is>
          <t>Reading</t>
        </is>
      </c>
      <c r="C16" s="6" t="inlineStr">
        <is>
          <t>M1</t>
        </is>
      </c>
      <c r="D16" s="6" t="inlineStr">
        <is>
          <t>M2</t>
        </is>
      </c>
      <c r="E16" s="6" t="inlineStr">
        <is>
          <t>M3</t>
        </is>
      </c>
      <c r="F16" s="6" t="inlineStr">
        <is>
          <t>M4</t>
        </is>
      </c>
    </row>
    <row r="17">
      <c r="A17" s="24">
        <f>IF('FORM-SI'!$C$9="","",'FORM-SI'!$C$9)</f>
        <v/>
      </c>
      <c r="B17" s="24">
        <f>IF($A17="","",IF(MAX($C17:$F17)&gt;2,"Holds more than two roles in a cycle",IF(MIN($C17:$F17)=0,"Has no role in at least one cycle",IF(MAX($C17:$F17)=2,"Doubles up in at least one cycle","One role in every cycle"))))</f>
        <v/>
      </c>
      <c r="C17" s="26">
        <f>IF($A17="","",COUNTIF(C$8:C$13,$A17))</f>
        <v/>
      </c>
      <c r="D17" s="26">
        <f>IF($A17="","",COUNTIF(D$8:D$13,$A17))</f>
        <v/>
      </c>
      <c r="E17" s="26">
        <f>IF($A17="","",COUNTIF(E$8:E$13,$A17))</f>
        <v/>
      </c>
      <c r="F17" s="26">
        <f>IF($A17="","",COUNTIF(F$8:F$13,$A17))</f>
        <v/>
      </c>
    </row>
    <row r="18">
      <c r="A18" s="24">
        <f>IF('FORM-SI'!$C$10="","",'FORM-SI'!$C$10)</f>
        <v/>
      </c>
      <c r="B18" s="24">
        <f>IF($A18="","",IF(MAX($C18:$F18)&gt;2,"Holds more than two roles in a cycle",IF(MIN($C18:$F18)=0,"Has no role in at least one cycle",IF(MAX($C18:$F18)=2,"Doubles up in at least one cycle","One role in every cycle"))))</f>
        <v/>
      </c>
      <c r="C18" s="26">
        <f>IF($A18="","",COUNTIF(C$8:C$13,$A18))</f>
        <v/>
      </c>
      <c r="D18" s="26">
        <f>IF($A18="","",COUNTIF(D$8:D$13,$A18))</f>
        <v/>
      </c>
      <c r="E18" s="26">
        <f>IF($A18="","",COUNTIF(E$8:E$13,$A18))</f>
        <v/>
      </c>
      <c r="F18" s="26">
        <f>IF($A18="","",COUNTIF(F$8:F$13,$A18))</f>
        <v/>
      </c>
    </row>
    <row r="19">
      <c r="A19" s="24">
        <f>IF('FORM-SI'!$C$11="","",'FORM-SI'!$C$11)</f>
        <v/>
      </c>
      <c r="B19" s="24">
        <f>IF($A19="","",IF(MAX($C19:$F19)&gt;2,"Holds more than two roles in a cycle",IF(MIN($C19:$F19)=0,"Has no role in at least one cycle",IF(MAX($C19:$F19)=2,"Doubles up in at least one cycle","One role in every cycle"))))</f>
        <v/>
      </c>
      <c r="C19" s="26">
        <f>IF($A19="","",COUNTIF(C$8:C$13,$A19))</f>
        <v/>
      </c>
      <c r="D19" s="26">
        <f>IF($A19="","",COUNTIF(D$8:D$13,$A19))</f>
        <v/>
      </c>
      <c r="E19" s="26">
        <f>IF($A19="","",COUNTIF(E$8:E$13,$A19))</f>
        <v/>
      </c>
      <c r="F19" s="26">
        <f>IF($A19="","",COUNTIF(F$8:F$13,$A19))</f>
        <v/>
      </c>
    </row>
    <row r="20">
      <c r="A20" s="24">
        <f>IF('FORM-SI'!$C$12="","",'FORM-SI'!$C$12)</f>
        <v/>
      </c>
      <c r="B20" s="24">
        <f>IF($A20="","",IF(MAX($C20:$F20)&gt;2,"Holds more than two roles in a cycle",IF(MIN($C20:$F20)=0,"Has no role in at least one cycle",IF(MAX($C20:$F20)=2,"Doubles up in at least one cycle","One role in every cycle"))))</f>
        <v/>
      </c>
      <c r="C20" s="26">
        <f>IF($A20="","",COUNTIF(C$8:C$13,$A20))</f>
        <v/>
      </c>
      <c r="D20" s="26">
        <f>IF($A20="","",COUNTIF(D$8:D$13,$A20))</f>
        <v/>
      </c>
      <c r="E20" s="26">
        <f>IF($A20="","",COUNTIF(E$8:E$13,$A20))</f>
        <v/>
      </c>
      <c r="F20" s="26">
        <f>IF($A20="","",COUNTIF(F$8:F$13,$A20))</f>
        <v/>
      </c>
    </row>
    <row r="21">
      <c r="A21" s="24">
        <f>IF('FORM-SI'!$C$13="","",'FORM-SI'!$C$13)</f>
        <v/>
      </c>
      <c r="B21" s="24">
        <f>IF($A21="","",IF(MAX($C21:$F21)&gt;2,"Holds more than two roles in a cycle",IF(MIN($C21:$F21)=0,"Has no role in at least one cycle",IF(MAX($C21:$F21)=2,"Doubles up in at least one cycle","One role in every cycle"))))</f>
        <v/>
      </c>
      <c r="C21" s="26">
        <f>IF($A21="","",COUNTIF(C$8:C$13,$A21))</f>
        <v/>
      </c>
      <c r="D21" s="26">
        <f>IF($A21="","",COUNTIF(D$8:D$13,$A21))</f>
        <v/>
      </c>
      <c r="E21" s="26">
        <f>IF($A21="","",COUNTIF(E$8:E$13,$A21))</f>
        <v/>
      </c>
      <c r="F21" s="26">
        <f>IF($A21="","",COUNTIF(F$8:F$13,$A21))</f>
        <v/>
      </c>
    </row>
    <row r="22">
      <c r="A22" s="24">
        <f>IF('FORM-SI'!$C$14="","",'FORM-SI'!$C$14)</f>
        <v/>
      </c>
      <c r="B22" s="24">
        <f>IF($A22="","",IF(MAX($C22:$F22)&gt;2,"Holds more than two roles in a cycle",IF(MIN($C22:$F22)=0,"Has no role in at least one cycle",IF(MAX($C22:$F22)=2,"Doubles up in at least one cycle","One role in every cycle"))))</f>
        <v/>
      </c>
      <c r="C22" s="26">
        <f>IF($A22="","",COUNTIF(C$8:C$13,$A22))</f>
        <v/>
      </c>
      <c r="D22" s="26">
        <f>IF($A22="","",COUNTIF(D$8:D$13,$A22))</f>
        <v/>
      </c>
      <c r="E22" s="26">
        <f>IF($A22="","",COUNTIF(E$8:E$13,$A22))</f>
        <v/>
      </c>
      <c r="F22" s="26">
        <f>IF($A22="","",COUNTIF(F$8:F$13,$A22))</f>
        <v/>
      </c>
    </row>
    <row r="23">
      <c r="A23" s="58" t="inlineStr">
        <is>
          <t>Members holding two roles</t>
        </is>
      </c>
      <c r="B23" s="24">
        <f>IF(SETUP!$C$16="","","Should be "&amp;MAX(0,6-SETUP!$C$16)&amp;" with a team of "&amp;SETUP!$C$16)</f>
        <v/>
      </c>
      <c r="C23" s="59">
        <f>COUNTIF(C$17:C$22,2)</f>
        <v/>
      </c>
      <c r="D23" s="59">
        <f>COUNTIF(D$17:D$22,2)</f>
        <v/>
      </c>
      <c r="E23" s="59">
        <f>COUNTIF(E$17:E$22,2)</f>
        <v/>
      </c>
      <c r="F23" s="59">
        <f>COUNTIF(F$17:F$22,2)</f>
        <v/>
      </c>
    </row>
    <row r="24">
      <c r="A24" s="58" t="inlineStr">
        <is>
          <t>Roles filled</t>
        </is>
      </c>
      <c r="B24" s="24">
        <f>"All 6 roles must be held in every cycle"</f>
        <v/>
      </c>
      <c r="C24" s="59">
        <f>COUNTA(C$8:C$13)</f>
        <v/>
      </c>
      <c r="D24" s="59">
        <f>COUNTA(D$8:D$13)</f>
        <v/>
      </c>
      <c r="E24" s="59">
        <f>COUNTA(E$8:E$13)</f>
        <v/>
      </c>
      <c r="F24" s="59">
        <f>COUNTA(F$8:F$13)</f>
        <v/>
      </c>
    </row>
    <row r="26" ht="19" customHeight="1">
      <c r="A26" s="5" t="inlineStr">
        <is>
          <t>Role Rotation Rule</t>
        </is>
      </c>
    </row>
    <row r="27" ht="56" customHeight="1">
      <c r="A27" s="60" t="inlineStr">
        <is>
          <t>There are six roles and five of you, so in every cycle exactly one member holds two roles and nobody holds more than two. The double role rotates - the same member does not carry it twice in a row - and every member holds a role in every cycle. No member may hold the same role for more than two consecutive milestones. Agree the rotation at the launch meeting and record it above; a change mid-cycle goes through the CCR log with the reason stated. If your team has four members, two of you will double up; the check above works that out from the team size.</t>
        </is>
      </c>
    </row>
  </sheetData>
  <mergeCells count="6">
    <mergeCell ref="A2:F2"/>
    <mergeCell ref="A1:F1"/>
    <mergeCell ref="A27:F27"/>
    <mergeCell ref="A6:F6"/>
    <mergeCell ref="A26:F26"/>
    <mergeCell ref="A15:F15"/>
  </mergeCells>
  <conditionalFormatting sqref="C17:F17">
    <cfRule type="cellIs" priority="1" operator="greaterThan" dxfId="0">
      <formula>2</formula>
    </cfRule>
    <cfRule type="expression" priority="2" dxfId="3">
      <formula>AND($A17&lt;&gt;"",C17=0)</formula>
    </cfRule>
    <cfRule type="cellIs" priority="3" operator="equal" dxfId="4">
      <formula>2</formula>
    </cfRule>
  </conditionalFormatting>
  <conditionalFormatting sqref="C18:F18">
    <cfRule type="cellIs" priority="4" operator="greaterThan" dxfId="0">
      <formula>2</formula>
    </cfRule>
    <cfRule type="expression" priority="5" dxfId="3">
      <formula>AND($A18&lt;&gt;"",C18=0)</formula>
    </cfRule>
    <cfRule type="cellIs" priority="6" operator="equal" dxfId="4">
      <formula>2</formula>
    </cfRule>
  </conditionalFormatting>
  <conditionalFormatting sqref="C19:F19">
    <cfRule type="cellIs" priority="7" operator="greaterThan" dxfId="0">
      <formula>2</formula>
    </cfRule>
    <cfRule type="expression" priority="8" dxfId="3">
      <formula>AND($A19&lt;&gt;"",C19=0)</formula>
    </cfRule>
    <cfRule type="cellIs" priority="9" operator="equal" dxfId="4">
      <formula>2</formula>
    </cfRule>
  </conditionalFormatting>
  <conditionalFormatting sqref="C20:F20">
    <cfRule type="cellIs" priority="10" operator="greaterThan" dxfId="0">
      <formula>2</formula>
    </cfRule>
    <cfRule type="expression" priority="11" dxfId="3">
      <formula>AND($A20&lt;&gt;"",C20=0)</formula>
    </cfRule>
    <cfRule type="cellIs" priority="12" operator="equal" dxfId="4">
      <formula>2</formula>
    </cfRule>
  </conditionalFormatting>
  <conditionalFormatting sqref="C21:F21">
    <cfRule type="cellIs" priority="13" operator="greaterThan" dxfId="0">
      <formula>2</formula>
    </cfRule>
    <cfRule type="expression" priority="14" dxfId="3">
      <formula>AND($A21&lt;&gt;"",C21=0)</formula>
    </cfRule>
    <cfRule type="cellIs" priority="15" operator="equal" dxfId="4">
      <formula>2</formula>
    </cfRule>
  </conditionalFormatting>
  <conditionalFormatting sqref="C22:F22">
    <cfRule type="cellIs" priority="16" operator="greaterThan" dxfId="0">
      <formula>2</formula>
    </cfRule>
    <cfRule type="expression" priority="17" dxfId="3">
      <formula>AND($A22&lt;&gt;"",C22=0)</formula>
    </cfRule>
    <cfRule type="cellIs" priority="18" operator="equal" dxfId="4">
      <formula>2</formula>
    </cfRule>
  </conditionalFormatting>
  <conditionalFormatting sqref="C23">
    <cfRule type="expression" priority="19" dxfId="5">
      <formula>AND(SETUP!$C$16&lt;&gt;"",C23=6-SETUP!$C$16)</formula>
    </cfRule>
    <cfRule type="expression" priority="20" dxfId="0">
      <formula>AND(SETUP!$C$16&lt;&gt;"",C23&lt;&gt;6-SETUP!$C$16)</formula>
    </cfRule>
  </conditionalFormatting>
  <conditionalFormatting sqref="D23">
    <cfRule type="expression" priority="21" dxfId="5">
      <formula>AND(SETUP!$C$16&lt;&gt;"",D23=6-SETUP!$C$16)</formula>
    </cfRule>
    <cfRule type="expression" priority="22" dxfId="0">
      <formula>AND(SETUP!$C$16&lt;&gt;"",D23&lt;&gt;6-SETUP!$C$16)</formula>
    </cfRule>
  </conditionalFormatting>
  <conditionalFormatting sqref="E23">
    <cfRule type="expression" priority="23" dxfId="5">
      <formula>AND(SETUP!$C$16&lt;&gt;"",E23=6-SETUP!$C$16)</formula>
    </cfRule>
    <cfRule type="expression" priority="24" dxfId="0">
      <formula>AND(SETUP!$C$16&lt;&gt;"",E23&lt;&gt;6-SETUP!$C$16)</formula>
    </cfRule>
  </conditionalFormatting>
  <conditionalFormatting sqref="F23">
    <cfRule type="expression" priority="25" dxfId="5">
      <formula>AND(SETUP!$C$16&lt;&gt;"",F23=6-SETUP!$C$16)</formula>
    </cfRule>
    <cfRule type="expression" priority="26" dxfId="0">
      <formula>AND(SETUP!$C$16&lt;&gt;"",F23&lt;&gt;6-SETUP!$C$16)</formula>
    </cfRule>
  </conditionalFormatting>
  <conditionalFormatting sqref="C24">
    <cfRule type="cellIs" priority="27" operator="equal" dxfId="5">
      <formula>6</formula>
    </cfRule>
    <cfRule type="cellIs" priority="28" operator="notEqual" dxfId="0">
      <formula>6</formula>
    </cfRule>
  </conditionalFormatting>
  <conditionalFormatting sqref="D24">
    <cfRule type="cellIs" priority="29" operator="equal" dxfId="5">
      <formula>6</formula>
    </cfRule>
    <cfRule type="cellIs" priority="30" operator="notEqual" dxfId="0">
      <formula>6</formula>
    </cfRule>
  </conditionalFormatting>
  <conditionalFormatting sqref="E24">
    <cfRule type="cellIs" priority="31" operator="equal" dxfId="5">
      <formula>6</formula>
    </cfRule>
    <cfRule type="cellIs" priority="32" operator="notEqual" dxfId="0">
      <formula>6</formula>
    </cfRule>
  </conditionalFormatting>
  <conditionalFormatting sqref="F24">
    <cfRule type="cellIs" priority="33" operator="equal" dxfId="5">
      <formula>6</formula>
    </cfRule>
    <cfRule type="cellIs" priority="34" operator="notEqual" dxfId="0">
      <formula>6</formula>
    </cfRule>
  </conditionalFormatting>
  <dataValidations count="1">
    <dataValidation sqref="C8:F13" showDropDown="0" showInputMessage="0" showErrorMessage="0" allowBlank="1" error="Pick a value from the list." promptTitle="Team member" type="list">
      <formula1>=LISTS!$H$5:$H$10</formula1>
    </dataValidation>
  </dataValidations>
  <printOptions horizontalCentered="1"/>
  <pageMargins left="0.75" right="0.75" top="1" bottom="1" header="0.5" footer="0.5"/>
  <pageSetup orientation="portrait" paperSize="9" fitToHeight="1"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14505C"/>
    <outlinePr summaryBelow="1" summaryRight="1"/>
    <pageSetUpPr fitToPage="1"/>
  </sheetPr>
  <dimension ref="A1:H31"/>
  <sheetViews>
    <sheetView showGridLines="0" workbookViewId="0">
      <pane ySplit="7" topLeftCell="A8" activePane="bottomLeft" state="frozen"/>
      <selection pane="bottomLeft" activeCell="A1" sqref="A1"/>
    </sheetView>
  </sheetViews>
  <sheetFormatPr baseColWidth="8" defaultRowHeight="15" outlineLevelCol="0"/>
  <cols>
    <col width="5" customWidth="1" min="1" max="1"/>
    <col width="22" customWidth="1" min="2" max="2"/>
    <col width="46" customWidth="1" min="3" max="3"/>
    <col width="22" customWidth="1" min="4" max="4"/>
    <col width="14" customWidth="1" min="5" max="5"/>
    <col width="14" customWidth="1" min="6" max="6"/>
    <col width="20" customWidth="1" min="7" max="7"/>
    <col width="16" customWidth="1" min="8" max="8"/>
  </cols>
  <sheetData>
    <row r="1" ht="30" customHeight="1">
      <c r="A1" s="1" t="inlineStr">
        <is>
          <t>Team &amp; Role Goals</t>
        </is>
      </c>
    </row>
    <row r="2" ht="16" customHeight="1">
      <c r="A2" s="2" t="inlineStr">
        <is>
          <t>A goal that cannot be measured is a wish. Every goal needs a number and an owner.</t>
        </is>
      </c>
    </row>
    <row r="4">
      <c r="A4" s="23" t="inlineStr">
        <is>
          <t>Team</t>
        </is>
      </c>
      <c r="B4" s="24">
        <f>SETUP!$C$10</f>
        <v/>
      </c>
    </row>
    <row r="6" ht="19" customHeight="1">
      <c r="A6" s="5" t="inlineStr">
        <is>
          <t>Goals</t>
        </is>
      </c>
    </row>
    <row r="7" ht="28" customHeight="1">
      <c r="A7" s="6" t="inlineStr">
        <is>
          <t>#</t>
        </is>
      </c>
      <c r="B7" s="6" t="inlineStr">
        <is>
          <t>Stakeholder</t>
        </is>
      </c>
      <c r="C7" s="6" t="inlineStr">
        <is>
          <t>Goal</t>
        </is>
      </c>
      <c r="D7" s="6" t="inlineStr">
        <is>
          <t>Measure</t>
        </is>
      </c>
      <c r="E7" s="6" t="inlineStr">
        <is>
          <t>Target</t>
        </is>
      </c>
      <c r="F7" s="6" t="inlineStr">
        <is>
          <t>Actual</t>
        </is>
      </c>
      <c r="G7" s="6" t="inlineStr">
        <is>
          <t>Owner</t>
        </is>
      </c>
      <c r="H7" s="6" t="inlineStr">
        <is>
          <t>Review By</t>
        </is>
      </c>
    </row>
    <row r="8">
      <c r="A8" s="61" t="n">
        <v>1</v>
      </c>
      <c r="B8" s="34" t="inlineStr">
        <is>
          <t>Client</t>
        </is>
      </c>
      <c r="C8" s="34" t="inlineStr">
        <is>
          <t>SeaFresh accepts the app and uses it for real orders</t>
        </is>
      </c>
      <c r="D8" s="34" t="inlineStr">
        <is>
          <t>Client sign-off form signed</t>
        </is>
      </c>
      <c r="E8" s="41" t="inlineStr">
        <is>
          <t>Yes by M4</t>
        </is>
      </c>
      <c r="F8" s="41" t="inlineStr">
        <is>
          <t>Yes</t>
        </is>
      </c>
      <c r="G8" s="34" t="inlineStr">
        <is>
          <t>Harith Bin Ismail</t>
        </is>
      </c>
      <c r="H8" s="132" t="n">
        <v>46389</v>
      </c>
    </row>
    <row r="9">
      <c r="A9" s="61" t="n">
        <v>2</v>
      </c>
      <c r="B9" s="34" t="inlineStr">
        <is>
          <t>Client</t>
        </is>
      </c>
      <c r="C9" s="34" t="inlineStr">
        <is>
          <t>Counter staff can place an order without training</t>
        </is>
      </c>
      <c r="D9" s="34" t="inlineStr">
        <is>
          <t>Time to first successful order, new user</t>
        </is>
      </c>
      <c r="E9" s="41" t="inlineStr">
        <is>
          <t>&lt; 3 minutes</t>
        </is>
      </c>
      <c r="F9" s="41" t="inlineStr">
        <is>
          <t>2 min 40 s</t>
        </is>
      </c>
      <c r="G9" s="34" t="inlineStr">
        <is>
          <t>Harith Bin Ismail</t>
        </is>
      </c>
      <c r="H9" s="132" t="n">
        <v>46374</v>
      </c>
    </row>
    <row r="10">
      <c r="A10" s="61" t="n">
        <v>3</v>
      </c>
      <c r="B10" s="34" t="inlineStr">
        <is>
          <t>Team</t>
        </is>
      </c>
      <c r="C10" s="34" t="inlineStr">
        <is>
          <t>Finish inside the planned effort</t>
        </is>
      </c>
      <c r="D10" s="34" t="inlineStr">
        <is>
          <t>Actual hours / planned hours</t>
        </is>
      </c>
      <c r="E10" s="41" t="inlineStr">
        <is>
          <t>0.9 - 1.1</t>
        </is>
      </c>
      <c r="F10" s="41" t="inlineStr">
        <is>
          <t>0.75</t>
        </is>
      </c>
      <c r="G10" s="34" t="inlineStr">
        <is>
          <t>Mei Ling Chong</t>
        </is>
      </c>
      <c r="H10" s="132" t="n">
        <v>46374</v>
      </c>
    </row>
    <row r="11">
      <c r="A11" s="61" t="n">
        <v>4</v>
      </c>
      <c r="B11" s="34" t="inlineStr">
        <is>
          <t>Team</t>
        </is>
      </c>
      <c r="C11" s="34" t="inlineStr">
        <is>
          <t>Work is shared evenly across the five of us</t>
        </is>
      </c>
      <c r="D11" s="34" t="inlineStr">
        <is>
          <t>Each member's share of logged hours</t>
        </is>
      </c>
      <c r="E11" s="41" t="inlineStr">
        <is>
          <t>within +/-40% of even</t>
        </is>
      </c>
      <c r="F11" s="41" t="inlineStr">
        <is>
          <t>not met - see DASHBOARD</t>
        </is>
      </c>
      <c r="G11" s="34" t="inlineStr">
        <is>
          <t>Aisyah Binti Rahman</t>
        </is>
      </c>
      <c r="H11" s="132" t="n">
        <v>46344</v>
      </c>
    </row>
    <row r="12">
      <c r="A12" s="61" t="n">
        <v>5</v>
      </c>
      <c r="B12" s="34" t="inlineStr">
        <is>
          <t>Quality</t>
        </is>
      </c>
      <c r="C12" s="34" t="inlineStr">
        <is>
          <t>Catch defects before they reach test</t>
        </is>
      </c>
      <c r="D12" s="34" t="inlineStr">
        <is>
          <t>% of defects removed before unit test</t>
        </is>
      </c>
      <c r="E12" s="41" t="inlineStr">
        <is>
          <t>&gt;= 70%</t>
        </is>
      </c>
      <c r="F12" s="41" t="inlineStr">
        <is>
          <t>73%</t>
        </is>
      </c>
      <c r="G12" s="34" t="inlineStr">
        <is>
          <t>Priya Nair</t>
        </is>
      </c>
      <c r="H12" s="132" t="n">
        <v>46374</v>
      </c>
    </row>
    <row r="13">
      <c r="A13" s="61" t="n">
        <v>6</v>
      </c>
      <c r="B13" s="34" t="inlineStr">
        <is>
          <t>Quality</t>
        </is>
      </c>
      <c r="C13" s="34" t="inlineStr">
        <is>
          <t>Nothing critical reaches the client</t>
        </is>
      </c>
      <c r="D13" s="34" t="inlineStr">
        <is>
          <t>Critical defects found in acceptance test</t>
        </is>
      </c>
      <c r="E13" s="41" t="inlineStr">
        <is>
          <t>0</t>
        </is>
      </c>
      <c r="F13" s="41" t="inlineStr">
        <is>
          <t>0</t>
        </is>
      </c>
      <c r="G13" s="34" t="inlineStr">
        <is>
          <t>Priya Nair</t>
        </is>
      </c>
      <c r="H13" s="132" t="n">
        <v>46389</v>
      </c>
    </row>
    <row r="14">
      <c r="A14" s="61" t="n">
        <v>7</v>
      </c>
      <c r="B14" s="34" t="inlineStr">
        <is>
          <t>Process</t>
        </is>
      </c>
      <c r="C14" s="34" t="inlineStr">
        <is>
          <t>Every AI-generated change is reviewed by someone else</t>
        </is>
      </c>
      <c r="D14" s="34" t="inlineStr">
        <is>
          <t>LOGAI rows approved / total rows</t>
        </is>
      </c>
      <c r="E14" s="41" t="inlineStr">
        <is>
          <t>100%</t>
        </is>
      </c>
      <c r="F14" s="41" t="inlineStr">
        <is>
          <t>100%</t>
        </is>
      </c>
      <c r="G14" s="34" t="inlineStr">
        <is>
          <t>Priya Nair</t>
        </is>
      </c>
      <c r="H14" s="132" t="n">
        <v>46374</v>
      </c>
    </row>
    <row r="15">
      <c r="A15" s="61" t="n">
        <v>8</v>
      </c>
      <c r="B15" s="34" t="inlineStr">
        <is>
          <t>Process</t>
        </is>
      </c>
      <c r="C15" s="34" t="inlineStr">
        <is>
          <t>develop stays releasable</t>
        </is>
      </c>
      <c r="D15" s="34" t="inlineStr">
        <is>
          <t>GitHub Actions pass rate on develop</t>
        </is>
      </c>
      <c r="E15" s="41" t="inlineStr">
        <is>
          <t>&gt;= 95%</t>
        </is>
      </c>
      <c r="F15" s="41" t="inlineStr">
        <is>
          <t>96%</t>
        </is>
      </c>
      <c r="G15" s="34" t="inlineStr">
        <is>
          <t>Aisyah Binti Rahman</t>
        </is>
      </c>
      <c r="H15" s="132" t="n">
        <v>46374</v>
      </c>
    </row>
    <row r="16">
      <c r="A16" s="61" t="n">
        <v>9</v>
      </c>
      <c r="B16" s="34" t="n"/>
      <c r="C16" s="34" t="n"/>
      <c r="D16" s="34" t="n"/>
      <c r="E16" s="41" t="n"/>
      <c r="F16" s="41" t="n"/>
      <c r="G16" s="34" t="n"/>
      <c r="H16" s="132" t="n"/>
    </row>
    <row r="17">
      <c r="A17" s="61" t="n">
        <v>10</v>
      </c>
      <c r="B17" s="34" t="n"/>
      <c r="C17" s="34" t="n"/>
      <c r="D17" s="34" t="n"/>
      <c r="E17" s="41" t="n"/>
      <c r="F17" s="41" t="n"/>
      <c r="G17" s="34" t="n"/>
      <c r="H17" s="132" t="n"/>
    </row>
    <row r="18">
      <c r="A18" s="61" t="n">
        <v>11</v>
      </c>
      <c r="B18" s="34" t="n"/>
      <c r="C18" s="34" t="n"/>
      <c r="D18" s="34" t="n"/>
      <c r="E18" s="41" t="n"/>
      <c r="F18" s="41" t="n"/>
      <c r="G18" s="34" t="n"/>
      <c r="H18" s="132" t="n"/>
    </row>
    <row r="19">
      <c r="A19" s="61" t="n">
        <v>12</v>
      </c>
      <c r="B19" s="34" t="n"/>
      <c r="C19" s="34" t="n"/>
      <c r="D19" s="34" t="n"/>
      <c r="E19" s="41" t="n"/>
      <c r="F19" s="41" t="n"/>
      <c r="G19" s="34" t="n"/>
      <c r="H19" s="132" t="n"/>
    </row>
    <row r="20">
      <c r="A20" s="61" t="n">
        <v>13</v>
      </c>
      <c r="B20" s="34" t="n"/>
      <c r="C20" s="34" t="n"/>
      <c r="D20" s="34" t="n"/>
      <c r="E20" s="41" t="n"/>
      <c r="F20" s="41" t="n"/>
      <c r="G20" s="34" t="n"/>
      <c r="H20" s="132" t="n"/>
    </row>
    <row r="21">
      <c r="A21" s="61" t="n">
        <v>14</v>
      </c>
      <c r="B21" s="34" t="n"/>
      <c r="C21" s="34" t="n"/>
      <c r="D21" s="34" t="n"/>
      <c r="E21" s="41" t="n"/>
      <c r="F21" s="41" t="n"/>
      <c r="G21" s="34" t="n"/>
      <c r="H21" s="132" t="n"/>
    </row>
    <row r="23" ht="19" customHeight="1">
      <c r="A23" s="5" t="inlineStr">
        <is>
          <t>Suggested starting goals (replace with your own)</t>
        </is>
      </c>
    </row>
    <row r="24" ht="16" customHeight="1">
      <c r="A24" s="6" t="inlineStr"/>
      <c r="B24" s="6" t="inlineStr">
        <is>
          <t>Stakeholder</t>
        </is>
      </c>
      <c r="C24" s="6" t="inlineStr">
        <is>
          <t>Goal</t>
        </is>
      </c>
      <c r="D24" s="6" t="inlineStr">
        <is>
          <t>Measure</t>
        </is>
      </c>
      <c r="E24" s="6" t="inlineStr">
        <is>
          <t>Target</t>
        </is>
      </c>
      <c r="F24" s="6" t="inlineStr"/>
      <c r="G24" s="6" t="inlineStr"/>
      <c r="H24" s="6" t="inlineStr"/>
    </row>
    <row r="25">
      <c r="B25" s="63" t="inlineStr">
        <is>
          <t>Client</t>
        </is>
      </c>
      <c r="C25" s="63" t="inlineStr">
        <is>
          <t>Client accepts the delivered app</t>
        </is>
      </c>
      <c r="D25" s="63" t="inlineStr">
        <is>
          <t>Client sign-off obtained</t>
        </is>
      </c>
      <c r="E25" s="64" t="inlineStr">
        <is>
          <t>Yes by M4</t>
        </is>
      </c>
    </row>
    <row r="26">
      <c r="B26" s="63" t="inlineStr">
        <is>
          <t>Team</t>
        </is>
      </c>
      <c r="C26" s="63" t="inlineStr">
        <is>
          <t>Finish within the planned effort</t>
        </is>
      </c>
      <c r="D26" s="63" t="inlineStr">
        <is>
          <t>Actual hours / planned hours</t>
        </is>
      </c>
      <c r="E26" s="64" t="inlineStr">
        <is>
          <t>0.9 - 1.1</t>
        </is>
      </c>
    </row>
    <row r="27">
      <c r="B27" s="63" t="inlineStr">
        <is>
          <t>Quality</t>
        </is>
      </c>
      <c r="C27" s="63" t="inlineStr">
        <is>
          <t>Catch defects before test</t>
        </is>
      </c>
      <c r="D27" s="63" t="inlineStr">
        <is>
          <t>% defects removed before unit test</t>
        </is>
      </c>
      <c r="E27" s="64" t="inlineStr">
        <is>
          <t>&gt;= 70%</t>
        </is>
      </c>
    </row>
    <row r="28">
      <c r="B28" s="63" t="inlineStr">
        <is>
          <t>Quality</t>
        </is>
      </c>
      <c r="C28" s="63" t="inlineStr">
        <is>
          <t>Keep the released build clean</t>
        </is>
      </c>
      <c r="D28" s="63" t="inlineStr">
        <is>
          <t>Defects found in acceptance test</t>
        </is>
      </c>
      <c r="E28" s="64" t="inlineStr">
        <is>
          <t>0 critical</t>
        </is>
      </c>
    </row>
    <row r="29">
      <c r="B29" s="63" t="inlineStr">
        <is>
          <t>Process</t>
        </is>
      </c>
      <c r="C29" s="63" t="inlineStr">
        <is>
          <t>Every AI-generated change is reviewed</t>
        </is>
      </c>
      <c r="D29" s="63" t="inlineStr">
        <is>
          <t>LOGAI entries approved / total</t>
        </is>
      </c>
      <c r="E29" s="64" t="inlineStr">
        <is>
          <t>100%</t>
        </is>
      </c>
    </row>
    <row r="30">
      <c r="B30" s="63" t="inlineStr">
        <is>
          <t>Process</t>
        </is>
      </c>
      <c r="C30" s="63" t="inlineStr">
        <is>
          <t>Keep the main branch releasable</t>
        </is>
      </c>
      <c r="D30" s="63" t="inlineStr">
        <is>
          <t>GitHub Actions pass rate on develop</t>
        </is>
      </c>
      <c r="E30" s="64" t="inlineStr">
        <is>
          <t>&gt;= 95%</t>
        </is>
      </c>
    </row>
    <row r="31">
      <c r="B31" s="63" t="inlineStr">
        <is>
          <t>Individual</t>
        </is>
      </c>
      <c r="C31" s="63" t="inlineStr">
        <is>
          <t>Contribution is evenly shared</t>
        </is>
      </c>
      <c r="D31" s="63" t="inlineStr">
        <is>
          <t>Each member's share of team hours</t>
        </is>
      </c>
      <c r="E31" s="64" t="inlineStr">
        <is>
          <t>within +/-40% of even</t>
        </is>
      </c>
    </row>
  </sheetData>
  <mergeCells count="4">
    <mergeCell ref="A23:H23"/>
    <mergeCell ref="A2:H2"/>
    <mergeCell ref="A6:H6"/>
    <mergeCell ref="A1:H1"/>
  </mergeCells>
  <dataValidations count="1">
    <dataValidation sqref="G8:G21" showDropDown="0" showInputMessage="0" showErrorMessage="0" allowBlank="1" error="Pick a value from the list." promptTitle="Owner" type="list">
      <formula1>=LISTS!$H$5:$H$10</formula1>
    </dataValidation>
  </dataValidation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worksheet>
</file>

<file path=xl/worksheets/sheet9.xml><?xml version="1.0" encoding="utf-8"?>
<worksheet xmlns="http://schemas.openxmlformats.org/spreadsheetml/2006/main">
  <sheetPr>
    <tabColor rgb="0014505C"/>
    <outlinePr summaryBelow="1" summaryRight="1"/>
    <pageSetUpPr fitToPage="1"/>
  </sheetPr>
  <dimension ref="A1:G20"/>
  <sheetViews>
    <sheetView showGridLines="0" workbookViewId="0">
      <pane ySplit="7" topLeftCell="A8" activePane="bottomLeft" state="frozen"/>
      <selection pane="bottomLeft" activeCell="A1" sqref="A1"/>
    </sheetView>
  </sheetViews>
  <sheetFormatPr baseColWidth="8" defaultRowHeight="15" outlineLevelCol="0"/>
  <cols>
    <col width="5" customWidth="1" min="1" max="1"/>
    <col width="14" customWidth="1" min="2" max="2"/>
    <col width="40" customWidth="1" min="3" max="3"/>
    <col width="34" customWidth="1" min="4" max="4"/>
    <col width="30" customWidth="1" min="5" max="5"/>
    <col width="26" customWidth="1" min="6" max="6"/>
    <col width="22" customWidth="1" min="7" max="7"/>
  </cols>
  <sheetData>
    <row r="1" ht="30" customHeight="1">
      <c r="A1" s="1" t="inlineStr">
        <is>
          <t>Development Strategy</t>
        </is>
      </c>
    </row>
    <row r="2" ht="16" customHeight="1">
      <c r="A2" s="2" t="inlineStr">
        <is>
          <t>What gets built in each cycle, what is reused, and what could go wrong.</t>
        </is>
      </c>
    </row>
    <row r="4" ht="19" customHeight="1">
      <c r="A4" s="5" t="inlineStr">
        <is>
          <t>Cycle Strategy</t>
        </is>
      </c>
    </row>
    <row r="5" ht="30" customHeight="1">
      <c r="A5" s="6" t="inlineStr">
        <is>
          <t>#</t>
        </is>
      </c>
      <c r="B5" s="6" t="inlineStr">
        <is>
          <t>Milestone</t>
        </is>
      </c>
      <c r="C5" s="6" t="inlineStr">
        <is>
          <t>Scope delivered this cycle</t>
        </is>
      </c>
      <c r="D5" s="6" t="inlineStr">
        <is>
          <t>Build / buy / reuse decision</t>
        </is>
      </c>
      <c r="E5" s="6" t="inlineStr">
        <is>
          <t>Main technical risk</t>
        </is>
      </c>
      <c r="F5" s="6" t="inlineStr">
        <is>
          <t>Mitigation</t>
        </is>
      </c>
      <c r="G5" s="6" t="inlineStr">
        <is>
          <t>Owner</t>
        </is>
      </c>
    </row>
    <row r="6" ht="46" customHeight="1">
      <c r="A6" s="61" t="n">
        <v>1</v>
      </c>
      <c r="B6" s="65" t="inlineStr">
        <is>
          <t>M1</t>
        </is>
      </c>
      <c r="C6" s="66" t="inlineStr">
        <is>
          <t>Requirements and a clickable prototype of the order screen. No real data yet.</t>
        </is>
      </c>
      <c r="D6" s="66" t="inlineStr">
        <is>
          <t>Build the app; reuse Firebase Auth rather than writing sign-in.</t>
        </is>
      </c>
      <c r="E6" s="66" t="inlineStr">
        <is>
          <t>The client has never used a tracking app and may not recognise what we design.</t>
        </is>
      </c>
      <c r="F6" s="66" t="inlineStr">
        <is>
          <t>Show paper mock-ups at the second client meeting before writing any code.</t>
        </is>
      </c>
      <c r="G6" s="66" t="inlineStr">
        <is>
          <t>Harith Bin Ismail</t>
        </is>
      </c>
    </row>
    <row r="7" ht="46" customHeight="1">
      <c r="A7" s="61" t="n">
        <v>2</v>
      </c>
      <c r="B7" s="65" t="inlineStr">
        <is>
          <t>M2</t>
        </is>
      </c>
      <c r="C7" s="66" t="inlineStr">
        <is>
          <t>Order entry, catalogue browsing and the local database. Prototype against seeded data.</t>
        </is>
      </c>
      <c r="D7" s="66" t="inlineStr">
        <is>
          <t>Build order entry; reuse an off-the-shelf PDF package for invoices.</t>
        </is>
      </c>
      <c r="E7" s="66" t="inlineStr">
        <is>
          <t>Supplier price list changes weekly and we had assumed it was static.</t>
        </is>
      </c>
      <c r="F7" s="66" t="inlineStr">
        <is>
          <t>Model prices as dated records from the start; agreed with client at meeting 3.</t>
        </is>
      </c>
      <c r="G7" s="66" t="inlineStr">
        <is>
          <t>Daniel Wong Jun Hao</t>
        </is>
      </c>
    </row>
    <row r="8" ht="46" customHeight="1">
      <c r="A8" s="61" t="n">
        <v>3</v>
      </c>
      <c r="B8" s="65" t="inlineStr">
        <is>
          <t>M3</t>
        </is>
      </c>
      <c r="C8" s="66" t="inlineStr">
        <is>
          <t>Live catalogue sync, invoice generation, full test suite and CI.</t>
        </is>
      </c>
      <c r="D8" s="66" t="inlineStr">
        <is>
          <t>Build sync; reuse Firestore offline persistence rather than our own cache.</t>
        </is>
      </c>
      <c r="E8" s="66" t="inlineStr">
        <is>
          <t>The shop's connection drops; orders could be lost mid-entry.</t>
        </is>
      </c>
      <c r="F8" s="66" t="inlineStr">
        <is>
          <t>Offline-first write queue plus an integration test that simulates loss of connection.</t>
        </is>
      </c>
      <c r="G8" s="66" t="inlineStr">
        <is>
          <t>Harith Bin Ismail</t>
        </is>
      </c>
    </row>
    <row r="9" ht="46" customHeight="1">
      <c r="A9" s="61" t="n">
        <v>4</v>
      </c>
      <c r="B9" s="65" t="inlineStr">
        <is>
          <t>M4</t>
        </is>
      </c>
      <c r="C9" s="66" t="inlineStr">
        <is>
          <t>Release build, user manual, demo video and handover to the client.</t>
        </is>
      </c>
      <c r="D9" s="66" t="inlineStr">
        <is>
          <t>No new build; packaging and documentation only.</t>
        </is>
      </c>
      <c r="E9" s="66" t="inlineStr">
        <is>
          <t>Counter staff may not adopt it after handover.</t>
        </is>
      </c>
      <c r="F9" s="66" t="inlineStr">
        <is>
          <t>Train two staff in person at handover and leave a one-page card at the till.</t>
        </is>
      </c>
      <c r="G9" s="66" t="inlineStr">
        <is>
          <t>Aisyah Binti Rahman</t>
        </is>
      </c>
    </row>
    <row r="11" ht="19" customHeight="1">
      <c r="A11" s="5" t="inlineStr">
        <is>
          <t>Technology Stack Decisions</t>
        </is>
      </c>
    </row>
    <row r="12" ht="20" customHeight="1">
      <c r="A12" s="6" t="inlineStr">
        <is>
          <t>#</t>
        </is>
      </c>
      <c r="B12" s="6" t="inlineStr">
        <is>
          <t>Area</t>
        </is>
      </c>
      <c r="C12" s="6" t="inlineStr">
        <is>
          <t>Decision</t>
        </is>
      </c>
      <c r="D12" s="6" t="inlineStr">
        <is>
          <t>Why</t>
        </is>
      </c>
      <c r="E12" s="6" t="inlineStr">
        <is>
          <t>Alternative considered</t>
        </is>
      </c>
      <c r="F12" s="6" t="inlineStr">
        <is>
          <t>Decided</t>
        </is>
      </c>
      <c r="G12" s="6" t="inlineStr">
        <is>
          <t>Owner</t>
        </is>
      </c>
    </row>
    <row r="13" ht="30" customHeight="1">
      <c r="A13" s="61" t="n">
        <v>1</v>
      </c>
      <c r="B13" s="36" t="inlineStr">
        <is>
          <t>Mobile framework</t>
        </is>
      </c>
      <c r="C13" s="66" t="inlineStr">
        <is>
          <t>Flutter 3.x / Dart 3</t>
        </is>
      </c>
      <c r="D13" s="66" t="inlineStr">
        <is>
          <t>One codebase for Android and iOS; the course requires it.</t>
        </is>
      </c>
      <c r="E13" s="66" t="inlineStr">
        <is>
          <t>Native Kotlin - rejected, no iOS and no time for two codebases.</t>
        </is>
      </c>
      <c r="F13" s="132" t="n">
        <v>46303</v>
      </c>
      <c r="G13" s="34" t="inlineStr">
        <is>
          <t>Daniel Wong Jun Hao</t>
        </is>
      </c>
    </row>
    <row r="14" ht="30" customHeight="1">
      <c r="A14" s="61" t="n">
        <v>2</v>
      </c>
      <c r="B14" s="36" t="inlineStr">
        <is>
          <t>State management</t>
        </is>
      </c>
      <c r="C14" s="66" t="inlineStr">
        <is>
          <t>Riverpod</t>
        </is>
      </c>
      <c r="D14" s="66" t="inlineStr">
        <is>
          <t>Compile-safe, testable, and easier to reason about than InheritedWidget.</t>
        </is>
      </c>
      <c r="E14" s="66" t="inlineStr">
        <is>
          <t>Provider - simpler but we wanted the compile-time safety.</t>
        </is>
      </c>
      <c r="F14" s="132" t="n">
        <v>46303</v>
      </c>
      <c r="G14" s="34" t="inlineStr">
        <is>
          <t>Daniel Wong Jun Hao</t>
        </is>
      </c>
    </row>
    <row r="15" ht="30" customHeight="1">
      <c r="A15" s="61" t="n">
        <v>3</v>
      </c>
      <c r="B15" s="36" t="inlineStr">
        <is>
          <t>Backend / data</t>
        </is>
      </c>
      <c r="C15" s="66" t="inlineStr">
        <is>
          <t>Firebase Firestore + offline persistence</t>
        </is>
      </c>
      <c r="D15" s="66" t="inlineStr">
        <is>
          <t>The shop's connection is unreliable; offline-first is the whole point.</t>
        </is>
      </c>
      <c r="E15" s="66" t="inlineStr">
        <is>
          <t>Supabase - good, but we already had Firebase Auth.</t>
        </is>
      </c>
      <c r="F15" s="132" t="n">
        <v>46310</v>
      </c>
      <c r="G15" s="34" t="inlineStr">
        <is>
          <t>Harith Bin Ismail</t>
        </is>
      </c>
    </row>
    <row r="16" ht="30" customHeight="1">
      <c r="A16" s="61" t="n">
        <v>4</v>
      </c>
      <c r="B16" s="36" t="inlineStr">
        <is>
          <t>AI capability &amp; API</t>
        </is>
      </c>
      <c r="C16" s="66" t="inlineStr">
        <is>
          <t>Gemini API for the order-note parser</t>
        </is>
      </c>
      <c r="D16" s="66" t="inlineStr">
        <is>
          <t>Lets staff type 'two boxes tiger prawn' instead of browsing the catalogue.</t>
        </is>
      </c>
      <c r="E16" s="66" t="inlineStr">
        <is>
          <t>Rule-based parser - brittle against the way staff actually write.</t>
        </is>
      </c>
      <c r="F16" s="132" t="n">
        <v>46317</v>
      </c>
      <c r="G16" s="34" t="inlineStr">
        <is>
          <t>Priya Nair</t>
        </is>
      </c>
    </row>
    <row r="17" ht="30" customHeight="1">
      <c r="A17" s="61" t="n">
        <v>5</v>
      </c>
      <c r="B17" s="36" t="inlineStr">
        <is>
          <t>Authentication</t>
        </is>
      </c>
      <c r="C17" s="66" t="inlineStr">
        <is>
          <t>Firebase Auth (email + phone)</t>
        </is>
      </c>
      <c r="D17" s="66" t="inlineStr">
        <is>
          <t>Staff share a counter device; phone sign-in is the simplest for them.</t>
        </is>
      </c>
      <c r="E17" s="66" t="inlineStr">
        <is>
          <t>Custom JWT - more work, no benefit here.</t>
        </is>
      </c>
      <c r="F17" s="132" t="n">
        <v>46310</v>
      </c>
      <c r="G17" s="34" t="inlineStr">
        <is>
          <t>Aisyah Binti Rahman</t>
        </is>
      </c>
    </row>
    <row r="18" ht="30" customHeight="1">
      <c r="A18" s="61" t="n">
        <v>6</v>
      </c>
      <c r="B18" s="36" t="inlineStr">
        <is>
          <t>Testing framework</t>
        </is>
      </c>
      <c r="C18" s="66" t="inlineStr">
        <is>
          <t>flutter_test + mockito + integration_test</t>
        </is>
      </c>
      <c r="D18" s="66" t="inlineStr">
        <is>
          <t>Standard toolchain, works in CI without extra setup.</t>
        </is>
      </c>
      <c r="E18" s="66" t="inlineStr">
        <is>
          <t>None seriously considered.</t>
        </is>
      </c>
      <c r="F18" s="132" t="n">
        <v>46324</v>
      </c>
      <c r="G18" s="34" t="inlineStr">
        <is>
          <t>Mei Ling Chong</t>
        </is>
      </c>
    </row>
    <row r="19" ht="30" customHeight="1">
      <c r="A19" s="61" t="n">
        <v>7</v>
      </c>
      <c r="B19" s="36" t="inlineStr">
        <is>
          <t>CI/CD</t>
        </is>
      </c>
      <c r="C19" s="66" t="inlineStr">
        <is>
          <t>GitHub Actions</t>
        </is>
      </c>
      <c r="D19" s="66" t="inlineStr">
        <is>
          <t>Free for the repo, runs analyze + test + coverage on every PR.</t>
        </is>
      </c>
      <c r="E19" s="66" t="inlineStr">
        <is>
          <t>Codemagic - nicer mobile builds, but needed a paid tier for our frequency.</t>
        </is>
      </c>
      <c r="F19" s="132" t="n">
        <v>46324</v>
      </c>
      <c r="G19" s="34" t="inlineStr">
        <is>
          <t>Aisyah Binti Rahman</t>
        </is>
      </c>
    </row>
    <row r="20" ht="30" customHeight="1">
      <c r="A20" s="61" t="n">
        <v>8</v>
      </c>
      <c r="B20" s="36" t="inlineStr">
        <is>
          <t>Release channel</t>
        </is>
      </c>
      <c r="C20" s="66" t="inlineStr">
        <is>
          <t>Internal APK via GitHub Releases</t>
        </is>
      </c>
      <c r="D20" s="66" t="inlineStr">
        <is>
          <t>The client has two Android devices; no store listing needed for the pilot.</t>
        </is>
      </c>
      <c r="E20" s="66" t="inlineStr">
        <is>
          <t>Play Store internal testing - rejected, review delay would hit M4.</t>
        </is>
      </c>
      <c r="F20" s="132" t="n">
        <v>46366</v>
      </c>
      <c r="G20" s="34" t="inlineStr">
        <is>
          <t>Aisyah Binti Rahman</t>
        </is>
      </c>
    </row>
  </sheetData>
  <mergeCells count="4">
    <mergeCell ref="A11:G11"/>
    <mergeCell ref="A2:G2"/>
    <mergeCell ref="A1:G1"/>
    <mergeCell ref="A4:G4"/>
  </mergeCells>
  <dataValidations count="2">
    <dataValidation sqref="G6:G9" showDropDown="0" showInputMessage="0" showErrorMessage="0" allowBlank="1" error="Pick a value from the list." promptTitle="Owner" type="list">
      <formula1>=LISTS!$H$5:$H$10</formula1>
    </dataValidation>
    <dataValidation sqref="G13:G20" showDropDown="0" showInputMessage="0" showErrorMessage="0" allowBlank="1" error="Pick a value from the list." promptTitle="Owner" type="list">
      <formula1>=LISTS!$H$5:$H$10</formula1>
    </dataValidation>
  </dataValidations>
  <printOptions horizontalCentered="1"/>
  <pageMargins left="0.75" right="0.75" top="1" bottom="1" header="0.5" footer="0.5"/>
  <pageSetup orientation="portrait" paperSize="9" fitToHeight="1" fitToWidth="1"/>
  <headerFooter>
    <oddHeader/>
    <oddFooter>&amp;R&amp;8 TMA3084 TSPi Workbook v3.0  -  &amp;P of &amp;N</oddFooter>
    <evenHeader/>
    <evenFooter/>
    <firstHeader/>
    <firstFooter/>
  </headerFooter>
</worksheet>
</file>

<file path=xl/worksheets/sheet10.xml><?xml version="1.0" encoding="utf-8"?>
<worksheet xmlns="http://schemas.openxmlformats.org/spreadsheetml/2006/main">
  <sheetPr>
    <tabColor rgb="0014505C"/>
    <outlinePr summaryBelow="1" summaryRight="1"/>
    <pageSetUpPr fitToPage="1"/>
  </sheetPr>
  <dimension ref="A1:S127"/>
  <sheetViews>
    <sheetView showGridLines="0"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outlineLevelCol="0"/>
  <cols>
    <col width="9" customWidth="1" min="1" max="1"/>
    <col width="9" customWidth="1" min="2" max="2"/>
    <col width="11" customWidth="1" min="3" max="3"/>
    <col width="22" customWidth="1" min="4" max="4"/>
    <col width="40" customWidth="1" min="5" max="5"/>
    <col width="19" customWidth="1" min="6" max="6"/>
    <col width="9" customWidth="1" min="7" max="7"/>
    <col width="13" customWidth="1" min="8" max="8"/>
    <col width="8" customWidth="1" min="9" max="9"/>
    <col width="9" customWidth="1" min="10" max="10"/>
    <col width="10" customWidth="1" min="11" max="11"/>
    <col width="8" customWidth="1" min="12" max="12"/>
    <col width="10" customWidth="1" min="13" max="13"/>
    <col width="9" customWidth="1" min="14" max="14"/>
    <col width="13" customWidth="1" min="15" max="15"/>
    <col width="10" customWidth="1" min="16" max="16"/>
    <col width="10" customWidth="1" min="17" max="17"/>
    <col width="10" customWidth="1" min="18" max="18"/>
    <col width="10" customWidth="1" min="19" max="19"/>
  </cols>
  <sheetData>
    <row r="1" ht="30" customHeight="1">
      <c r="A1" s="1" t="inlineStr">
        <is>
          <t>Form TASK  -  Task Plan &amp; Earned Value</t>
        </is>
      </c>
    </row>
    <row r="2" ht="16" customHeight="1">
      <c r="A2" s="2" t="inlineStr">
        <is>
          <t>Break the cycle into tasks of roughly 2-10 hours. A task is done or it is not - no part marks.</t>
        </is>
      </c>
    </row>
    <row r="4">
      <c r="A4" s="23" t="inlineStr">
        <is>
          <t>Team</t>
        </is>
      </c>
      <c r="B4" s="24">
        <f>SETUP!$C$10</f>
        <v/>
      </c>
      <c r="E4" s="23" t="inlineStr">
        <is>
          <t>Tasks</t>
        </is>
      </c>
      <c r="F4" s="67">
        <f>COUNTA(TASK!$A$8:$A$127)</f>
        <v/>
      </c>
      <c r="G4" s="23" t="inlineStr">
        <is>
          <t>Plan hrs</t>
        </is>
      </c>
      <c r="H4" s="130">
        <f>SUM(TASK!$K$8:$K$127)</f>
        <v/>
      </c>
      <c r="I4" s="23" t="inlineStr">
        <is>
          <t>Actual hrs</t>
        </is>
      </c>
      <c r="J4" s="130">
        <f>SUM(TASK!$M$8:$M$127)</f>
        <v/>
      </c>
      <c r="L4" s="23" t="inlineStr">
        <is>
          <t>Complete</t>
        </is>
      </c>
      <c r="N4" s="67">
        <f>COUNTIF(TASK!$O$8:$O$127,"Complete")</f>
        <v/>
      </c>
      <c r="O4" s="23" t="inlineStr">
        <is>
          <t>Earned value</t>
        </is>
      </c>
      <c r="Q4" s="131">
        <f>SUM(TASK!$Q$8:$Q$127)</f>
        <v/>
      </c>
    </row>
    <row r="7" ht="34" customHeight="1">
      <c r="A7" s="6" t="inlineStr">
        <is>
          <t>Task ID</t>
        </is>
      </c>
      <c r="B7" s="6" t="inlineStr">
        <is>
          <t>M/stone</t>
        </is>
      </c>
      <c r="C7" s="6" t="inlineStr">
        <is>
          <t>Phase</t>
        </is>
      </c>
      <c r="D7" s="6" t="inlineStr">
        <is>
          <t>Component</t>
        </is>
      </c>
      <c r="E7" s="6" t="inlineStr">
        <is>
          <t>Task</t>
        </is>
      </c>
      <c r="F7" s="6" t="inlineStr">
        <is>
          <t>Owner</t>
        </is>
      </c>
      <c r="G7" s="6" t="inlineStr">
        <is>
          <t>Est. size</t>
        </is>
      </c>
      <c r="H7" s="6" t="inlineStr">
        <is>
          <t>Size measure</t>
        </is>
      </c>
      <c r="I7" s="6" t="inlineStr">
        <is>
          <t>Rate /hr</t>
        </is>
      </c>
      <c r="J7" s="6" t="inlineStr">
        <is>
          <t>Est. hrs</t>
        </is>
      </c>
      <c r="K7" s="6" t="inlineStr">
        <is>
          <t>Plan hrs</t>
        </is>
      </c>
      <c r="L7" s="6" t="inlineStr">
        <is>
          <t>Plan wk</t>
        </is>
      </c>
      <c r="M7" s="6" t="inlineStr">
        <is>
          <t>Actual hrs</t>
        </is>
      </c>
      <c r="N7" s="6" t="inlineStr">
        <is>
          <t>Act. wk</t>
        </is>
      </c>
      <c r="O7" s="6" t="inlineStr">
        <is>
          <t>Status</t>
        </is>
      </c>
      <c r="P7" s="6" t="inlineStr">
        <is>
          <t>Plan value</t>
        </is>
      </c>
      <c r="Q7" s="6" t="inlineStr">
        <is>
          <t>Earned value</t>
        </is>
      </c>
      <c r="R7" s="6" t="inlineStr">
        <is>
          <t>Cum PV</t>
        </is>
      </c>
      <c r="S7" s="6" t="inlineStr">
        <is>
          <t>Cum EV</t>
        </is>
      </c>
    </row>
    <row r="8">
      <c r="A8" s="41" t="inlineStr">
        <is>
          <t>T01</t>
        </is>
      </c>
      <c r="B8" s="41" t="inlineStr">
        <is>
          <t>M1</t>
        </is>
      </c>
      <c r="C8" s="41" t="inlineStr">
        <is>
          <t>MGMT</t>
        </is>
      </c>
      <c r="D8" s="34" t="inlineStr">
        <is>
          <t>SYSTEM</t>
        </is>
      </c>
      <c r="E8" s="34" t="inlineStr">
        <is>
          <t>Team admin, lab attendance, instructor check-ins</t>
        </is>
      </c>
      <c r="F8" s="34" t="inlineStr">
        <is>
          <t>Aisyah Binti Rahman</t>
        </is>
      </c>
      <c r="G8" s="44" t="n"/>
      <c r="H8" s="41" t="n"/>
      <c r="I8" s="133" t="n"/>
      <c r="J8" s="134">
        <f>IF(OR(N($G8)=0,N($I8)=0),"",$G8/$I8)</f>
        <v/>
      </c>
      <c r="K8" s="133" t="n">
        <v>7</v>
      </c>
      <c r="L8" s="44" t="n">
        <v>3</v>
      </c>
      <c r="M8" s="134">
        <f>IF($A8="","",SUMIFS(LOGT!$K$7:$K$406,LOGT!$F$7:$F$406,$A8)/60)</f>
        <v/>
      </c>
      <c r="N8" s="26">
        <f>IFERROR(IF(N($M8)=0,"",3+INT((SUMPRODUCT(MAX((LOGT!$F$7:$F$406=$A8)*LOGT!$A$7:$A$406))-DATE(2026,10,5))/7)),"")</f>
        <v/>
      </c>
      <c r="O8" s="41" t="inlineStr">
        <is>
          <t>Complete</t>
        </is>
      </c>
      <c r="P8" s="135">
        <f>IF(OR($A8="",SUM(TASK!$K$8:$K$127)=0),"",$K8/SUM(TASK!$K$8:$K$127))</f>
        <v/>
      </c>
      <c r="Q8" s="135">
        <f>IF($A8="","",IF($O8="Complete",$P8,0))</f>
        <v/>
      </c>
      <c r="R8" s="135">
        <f>IF($A8="","",SUM($P$8:$P8))</f>
        <v/>
      </c>
      <c r="S8" s="135">
        <f>IF($A8="","",SUM($Q$8:$Q8))</f>
        <v/>
      </c>
    </row>
    <row r="9">
      <c r="A9" s="41" t="inlineStr">
        <is>
          <t>T02</t>
        </is>
      </c>
      <c r="B9" s="41" t="inlineStr">
        <is>
          <t>M1</t>
        </is>
      </c>
      <c r="C9" s="41" t="inlineStr">
        <is>
          <t>STRAT</t>
        </is>
      </c>
      <c r="D9" s="34" t="inlineStr">
        <is>
          <t>SYSTEM</t>
        </is>
      </c>
      <c r="E9" s="34" t="inlineStr">
        <is>
          <t>Launch meeting, cycle strategy and stack decisions</t>
        </is>
      </c>
      <c r="F9" s="34" t="inlineStr">
        <is>
          <t>Aisyah Binti Rahman</t>
        </is>
      </c>
      <c r="G9" s="44" t="n"/>
      <c r="H9" s="41" t="n"/>
      <c r="I9" s="133" t="n"/>
      <c r="J9" s="134">
        <f>IF(OR(N($G9)=0,N($I9)=0),"",$G9/$I9)</f>
        <v/>
      </c>
      <c r="K9" s="133" t="n">
        <v>11</v>
      </c>
      <c r="L9" s="44" t="n">
        <v>3</v>
      </c>
      <c r="M9" s="134">
        <f>IF($A9="","",SUMIFS(LOGT!$K$7:$K$406,LOGT!$F$7:$F$406,$A9)/60)</f>
        <v/>
      </c>
      <c r="N9" s="26">
        <f>IFERROR(IF(N($M9)=0,"",3+INT((SUMPRODUCT(MAX((LOGT!$F$7:$F$406=$A9)*LOGT!$A$7:$A$406))-DATE(2026,10,5))/7)),"")</f>
        <v/>
      </c>
      <c r="O9" s="41" t="inlineStr">
        <is>
          <t>Complete</t>
        </is>
      </c>
      <c r="P9" s="135">
        <f>IF(OR($A9="",SUM(TASK!$K$8:$K$127)=0),"",$K9/SUM(TASK!$K$8:$K$127))</f>
        <v/>
      </c>
      <c r="Q9" s="135">
        <f>IF($A9="","",IF($O9="Complete",$P9,0))</f>
        <v/>
      </c>
      <c r="R9" s="135">
        <f>IF($A9="","",SUM($P$8:$P9))</f>
        <v/>
      </c>
      <c r="S9" s="135">
        <f>IF($A9="","",SUM($Q$8:$Q9))</f>
        <v/>
      </c>
    </row>
    <row r="10">
      <c r="A10" s="41" t="inlineStr">
        <is>
          <t>T03</t>
        </is>
      </c>
      <c r="B10" s="41" t="inlineStr">
        <is>
          <t>M1</t>
        </is>
      </c>
      <c r="C10" s="41" t="inlineStr">
        <is>
          <t>PLAN</t>
        </is>
      </c>
      <c r="D10" s="34" t="inlineStr">
        <is>
          <t>SYSTEM</t>
        </is>
      </c>
      <c r="E10" s="34" t="inlineStr">
        <is>
          <t>Task and schedule plan for the cycle</t>
        </is>
      </c>
      <c r="F10" s="34" t="inlineStr">
        <is>
          <t>Mei Ling Chong</t>
        </is>
      </c>
      <c r="G10" s="44" t="n"/>
      <c r="H10" s="41" t="n"/>
      <c r="I10" s="133" t="n"/>
      <c r="J10" s="134">
        <f>IF(OR(N($G10)=0,N($I10)=0),"",$G10/$I10)</f>
        <v/>
      </c>
      <c r="K10" s="133" t="n">
        <v>10.5</v>
      </c>
      <c r="L10" s="44" t="n">
        <v>3</v>
      </c>
      <c r="M10" s="134">
        <f>IF($A10="","",SUMIFS(LOGT!$K$7:$K$406,LOGT!$F$7:$F$406,$A10)/60)</f>
        <v/>
      </c>
      <c r="N10" s="26">
        <f>IFERROR(IF(N($M10)=0,"",3+INT((SUMPRODUCT(MAX((LOGT!$F$7:$F$406=$A10)*LOGT!$A$7:$A$406))-DATE(2026,10,5))/7)),"")</f>
        <v/>
      </c>
      <c r="O10" s="41" t="inlineStr">
        <is>
          <t>Complete</t>
        </is>
      </c>
      <c r="P10" s="135">
        <f>IF(OR($A10="",SUM(TASK!$K$8:$K$127)=0),"",$K10/SUM(TASK!$K$8:$K$127))</f>
        <v/>
      </c>
      <c r="Q10" s="135">
        <f>IF($A10="","",IF($O10="Complete",$P10,0))</f>
        <v/>
      </c>
      <c r="R10" s="135">
        <f>IF($A10="","",SUM($P$8:$P10))</f>
        <v/>
      </c>
      <c r="S10" s="135">
        <f>IF($A10="","",SUM($Q$8:$Q10))</f>
        <v/>
      </c>
    </row>
    <row r="11">
      <c r="A11" s="41" t="inlineStr">
        <is>
          <t>T04</t>
        </is>
      </c>
      <c r="B11" s="41" t="inlineStr">
        <is>
          <t>M1</t>
        </is>
      </c>
      <c r="C11" s="41" t="inlineStr">
        <is>
          <t>REQ</t>
        </is>
      </c>
      <c r="D11" s="34" t="inlineStr">
        <is>
          <t>SYSTEM</t>
        </is>
      </c>
      <c r="E11" s="34" t="inlineStr">
        <is>
          <t>Elicit requirements from SeaFresh and write the SRS</t>
        </is>
      </c>
      <c r="F11" s="34" t="inlineStr">
        <is>
          <t>Harith Bin Ismail</t>
        </is>
      </c>
      <c r="G11" s="44" t="n"/>
      <c r="H11" s="41" t="n"/>
      <c r="I11" s="133" t="n"/>
      <c r="J11" s="134">
        <f>IF(OR(N($G11)=0,N($I11)=0),"",$G11/$I11)</f>
        <v/>
      </c>
      <c r="K11" s="133" t="n">
        <v>7</v>
      </c>
      <c r="L11" s="44" t="n">
        <v>4</v>
      </c>
      <c r="M11" s="134">
        <f>IF($A11="","",SUMIFS(LOGT!$K$7:$K$406,LOGT!$F$7:$F$406,$A11)/60)</f>
        <v/>
      </c>
      <c r="N11" s="26">
        <f>IFERROR(IF(N($M11)=0,"",3+INT((SUMPRODUCT(MAX((LOGT!$F$7:$F$406=$A11)*LOGT!$A$7:$A$406))-DATE(2026,10,5))/7)),"")</f>
        <v/>
      </c>
      <c r="O11" s="41" t="inlineStr">
        <is>
          <t>Complete</t>
        </is>
      </c>
      <c r="P11" s="135">
        <f>IF(OR($A11="",SUM(TASK!$K$8:$K$127)=0),"",$K11/SUM(TASK!$K$8:$K$127))</f>
        <v/>
      </c>
      <c r="Q11" s="135">
        <f>IF($A11="","",IF($O11="Complete",$P11,0))</f>
        <v/>
      </c>
      <c r="R11" s="135">
        <f>IF($A11="","",SUM($P$8:$P11))</f>
        <v/>
      </c>
      <c r="S11" s="135">
        <f>IF($A11="","",SUM($Q$8:$Q11))</f>
        <v/>
      </c>
    </row>
    <row r="12">
      <c r="A12" s="41" t="inlineStr">
        <is>
          <t>T05</t>
        </is>
      </c>
      <c r="B12" s="41" t="inlineStr">
        <is>
          <t>M1</t>
        </is>
      </c>
      <c r="C12" s="41" t="inlineStr">
        <is>
          <t>STP</t>
        </is>
      </c>
      <c r="D12" s="34" t="inlineStr">
        <is>
          <t>SYSTEM</t>
        </is>
      </c>
      <c r="E12" s="34" t="inlineStr">
        <is>
          <t>System test plan</t>
        </is>
      </c>
      <c r="F12" s="34" t="inlineStr">
        <is>
          <t>Mei Ling Chong</t>
        </is>
      </c>
      <c r="G12" s="44" t="n"/>
      <c r="H12" s="41" t="n"/>
      <c r="I12" s="133" t="n"/>
      <c r="J12" s="134">
        <f>IF(OR(N($G12)=0,N($I12)=0),"",$G12/$I12)</f>
        <v/>
      </c>
      <c r="K12" s="133" t="n">
        <v>6</v>
      </c>
      <c r="L12" s="44" t="n">
        <v>4</v>
      </c>
      <c r="M12" s="134">
        <f>IF($A12="","",SUMIFS(LOGT!$K$7:$K$406,LOGT!$F$7:$F$406,$A12)/60)</f>
        <v/>
      </c>
      <c r="N12" s="26">
        <f>IFERROR(IF(N($M12)=0,"",3+INT((SUMPRODUCT(MAX((LOGT!$F$7:$F$406=$A12)*LOGT!$A$7:$A$406))-DATE(2026,10,5))/7)),"")</f>
        <v/>
      </c>
      <c r="O12" s="41" t="inlineStr">
        <is>
          <t>Complete</t>
        </is>
      </c>
      <c r="P12" s="135">
        <f>IF(OR($A12="",SUM(TASK!$K$8:$K$127)=0),"",$K12/SUM(TASK!$K$8:$K$127))</f>
        <v/>
      </c>
      <c r="Q12" s="135">
        <f>IF($A12="","",IF($O12="Complete",$P12,0))</f>
        <v/>
      </c>
      <c r="R12" s="135">
        <f>IF($A12="","",SUM($P$8:$P12))</f>
        <v/>
      </c>
      <c r="S12" s="135">
        <f>IF($A12="","",SUM($Q$8:$Q12))</f>
        <v/>
      </c>
    </row>
    <row r="13">
      <c r="A13" s="41" t="inlineStr">
        <is>
          <t>T06</t>
        </is>
      </c>
      <c r="B13" s="41" t="inlineStr">
        <is>
          <t>M1</t>
        </is>
      </c>
      <c r="C13" s="41" t="inlineStr">
        <is>
          <t>REQINSP</t>
        </is>
      </c>
      <c r="D13" s="34" t="inlineStr">
        <is>
          <t>SYSTEM</t>
        </is>
      </c>
      <c r="E13" s="34" t="inlineStr">
        <is>
          <t>Team inspection of the SRS</t>
        </is>
      </c>
      <c r="F13" s="34" t="inlineStr">
        <is>
          <t>Harith Bin Ismail</t>
        </is>
      </c>
      <c r="G13" s="44" t="n"/>
      <c r="H13" s="41" t="n"/>
      <c r="I13" s="133" t="n"/>
      <c r="J13" s="134">
        <f>IF(OR(N($G13)=0,N($I13)=0),"",$G13/$I13)</f>
        <v/>
      </c>
      <c r="K13" s="133" t="n">
        <v>11</v>
      </c>
      <c r="L13" s="44" t="n">
        <v>4</v>
      </c>
      <c r="M13" s="134">
        <f>IF($A13="","",SUMIFS(LOGT!$K$7:$K$406,LOGT!$F$7:$F$406,$A13)/60)</f>
        <v/>
      </c>
      <c r="N13" s="26">
        <f>IFERROR(IF(N($M13)=0,"",3+INT((SUMPRODUCT(MAX((LOGT!$F$7:$F$406=$A13)*LOGT!$A$7:$A$406))-DATE(2026,10,5))/7)),"")</f>
        <v/>
      </c>
      <c r="O13" s="41" t="inlineStr">
        <is>
          <t>Complete</t>
        </is>
      </c>
      <c r="P13" s="135">
        <f>IF(OR($A13="",SUM(TASK!$K$8:$K$127)=0),"",$K13/SUM(TASK!$K$8:$K$127))</f>
        <v/>
      </c>
      <c r="Q13" s="135">
        <f>IF($A13="","",IF($O13="Complete",$P13,0))</f>
        <v/>
      </c>
      <c r="R13" s="135">
        <f>IF($A13="","",SUM($P$8:$P13))</f>
        <v/>
      </c>
      <c r="S13" s="135">
        <f>IF($A13="","",SUM($Q$8:$Q13))</f>
        <v/>
      </c>
    </row>
    <row r="14">
      <c r="A14" s="41" t="inlineStr">
        <is>
          <t>T07</t>
        </is>
      </c>
      <c r="B14" s="41" t="inlineStr">
        <is>
          <t>M1</t>
        </is>
      </c>
      <c r="C14" s="41" t="inlineStr">
        <is>
          <t>HLD</t>
        </is>
      </c>
      <c r="D14" s="34" t="inlineStr">
        <is>
          <t>SYSTEM</t>
        </is>
      </c>
      <c r="E14" s="34" t="inlineStr">
        <is>
          <t>Architecture and SDD</t>
        </is>
      </c>
      <c r="F14" s="34" t="inlineStr">
        <is>
          <t>Daniel Wong Jun Hao</t>
        </is>
      </c>
      <c r="G14" s="44" t="n"/>
      <c r="H14" s="41" t="n"/>
      <c r="I14" s="133" t="n"/>
      <c r="J14" s="134">
        <f>IF(OR(N($G14)=0,N($I14)=0),"",$G14/$I14)</f>
        <v/>
      </c>
      <c r="K14" s="133" t="n">
        <v>9.5</v>
      </c>
      <c r="L14" s="44" t="n">
        <v>4</v>
      </c>
      <c r="M14" s="134">
        <f>IF($A14="","",SUMIFS(LOGT!$K$7:$K$406,LOGT!$F$7:$F$406,$A14)/60)</f>
        <v/>
      </c>
      <c r="N14" s="26">
        <f>IFERROR(IF(N($M14)=0,"",3+INT((SUMPRODUCT(MAX((LOGT!$F$7:$F$406=$A14)*LOGT!$A$7:$A$406))-DATE(2026,10,5))/7)),"")</f>
        <v/>
      </c>
      <c r="O14" s="41" t="inlineStr">
        <is>
          <t>Complete</t>
        </is>
      </c>
      <c r="P14" s="135">
        <f>IF(OR($A14="",SUM(TASK!$K$8:$K$127)=0),"",$K14/SUM(TASK!$K$8:$K$127))</f>
        <v/>
      </c>
      <c r="Q14" s="135">
        <f>IF($A14="","",IF($O14="Complete",$P14,0))</f>
        <v/>
      </c>
      <c r="R14" s="135">
        <f>IF($A14="","",SUM($P$8:$P14))</f>
        <v/>
      </c>
      <c r="S14" s="135">
        <f>IF($A14="","",SUM($Q$8:$Q14))</f>
        <v/>
      </c>
    </row>
    <row r="15">
      <c r="A15" s="41" t="inlineStr">
        <is>
          <t>T08</t>
        </is>
      </c>
      <c r="B15" s="41" t="inlineStr">
        <is>
          <t>M1</t>
        </is>
      </c>
      <c r="C15" s="41" t="inlineStr">
        <is>
          <t>ITP</t>
        </is>
      </c>
      <c r="D15" s="34" t="inlineStr">
        <is>
          <t>SYSTEM</t>
        </is>
      </c>
      <c r="E15" s="34" t="inlineStr">
        <is>
          <t>Integration test plan</t>
        </is>
      </c>
      <c r="F15" s="34" t="inlineStr">
        <is>
          <t>Mei Ling Chong</t>
        </is>
      </c>
      <c r="G15" s="44" t="n"/>
      <c r="H15" s="41" t="n"/>
      <c r="I15" s="133" t="n"/>
      <c r="J15" s="134">
        <f>IF(OR(N($G15)=0,N($I15)=0),"",$G15/$I15)</f>
        <v/>
      </c>
      <c r="K15" s="133" t="n">
        <v>6</v>
      </c>
      <c r="L15" s="44" t="n">
        <v>4</v>
      </c>
      <c r="M15" s="134">
        <f>IF($A15="","",SUMIFS(LOGT!$K$7:$K$406,LOGT!$F$7:$F$406,$A15)/60)</f>
        <v/>
      </c>
      <c r="N15" s="26">
        <f>IFERROR(IF(N($M15)=0,"",3+INT((SUMPRODUCT(MAX((LOGT!$F$7:$F$406=$A15)*LOGT!$A$7:$A$406))-DATE(2026,10,5))/7)),"")</f>
        <v/>
      </c>
      <c r="O15" s="41" t="inlineStr">
        <is>
          <t>Complete</t>
        </is>
      </c>
      <c r="P15" s="135">
        <f>IF(OR($A15="",SUM(TASK!$K$8:$K$127)=0),"",$K15/SUM(TASK!$K$8:$K$127))</f>
        <v/>
      </c>
      <c r="Q15" s="135">
        <f>IF($A15="","",IF($O15="Complete",$P15,0))</f>
        <v/>
      </c>
      <c r="R15" s="135">
        <f>IF($A15="","",SUM($P$8:$P15))</f>
        <v/>
      </c>
      <c r="S15" s="135">
        <f>IF($A15="","",SUM($Q$8:$Q15))</f>
        <v/>
      </c>
    </row>
    <row r="16">
      <c r="A16" s="41" t="inlineStr">
        <is>
          <t>T09</t>
        </is>
      </c>
      <c r="B16" s="41" t="inlineStr">
        <is>
          <t>M1</t>
        </is>
      </c>
      <c r="C16" s="41" t="inlineStr">
        <is>
          <t>HLDINSP</t>
        </is>
      </c>
      <c r="D16" s="34" t="inlineStr">
        <is>
          <t>SYSTEM</t>
        </is>
      </c>
      <c r="E16" s="34" t="inlineStr">
        <is>
          <t>Team inspection of the SDD</t>
        </is>
      </c>
      <c r="F16" s="34" t="inlineStr">
        <is>
          <t>Daniel Wong Jun Hao</t>
        </is>
      </c>
      <c r="G16" s="44" t="n"/>
      <c r="H16" s="41" t="n"/>
      <c r="I16" s="133" t="n"/>
      <c r="J16" s="134">
        <f>IF(OR(N($G16)=0,N($I16)=0),"",$G16/$I16)</f>
        <v/>
      </c>
      <c r="K16" s="133" t="n">
        <v>6</v>
      </c>
      <c r="L16" s="44" t="n">
        <v>4</v>
      </c>
      <c r="M16" s="134">
        <f>IF($A16="","",SUMIFS(LOGT!$K$7:$K$406,LOGT!$F$7:$F$406,$A16)/60)</f>
        <v/>
      </c>
      <c r="N16" s="26">
        <f>IFERROR(IF(N($M16)=0,"",3+INT((SUMPRODUCT(MAX((LOGT!$F$7:$F$406=$A16)*LOGT!$A$7:$A$406))-DATE(2026,10,5))/7)),"")</f>
        <v/>
      </c>
      <c r="O16" s="41" t="inlineStr">
        <is>
          <t>Complete</t>
        </is>
      </c>
      <c r="P16" s="135">
        <f>IF(OR($A16="",SUM(TASK!$K$8:$K$127)=0),"",$K16/SUM(TASK!$K$8:$K$127))</f>
        <v/>
      </c>
      <c r="Q16" s="135">
        <f>IF($A16="","",IF($O16="Complete",$P16,0))</f>
        <v/>
      </c>
      <c r="R16" s="135">
        <f>IF($A16="","",SUM($P$8:$P16))</f>
        <v/>
      </c>
      <c r="S16" s="135">
        <f>IF($A16="","",SUM($Q$8:$Q16))</f>
        <v/>
      </c>
    </row>
    <row r="17">
      <c r="A17" s="41" t="inlineStr">
        <is>
          <t>T10</t>
        </is>
      </c>
      <c r="B17" s="41" t="inlineStr">
        <is>
          <t>M1</t>
        </is>
      </c>
      <c r="C17" s="41" t="inlineStr">
        <is>
          <t>DLD</t>
        </is>
      </c>
      <c r="D17" s="34" t="inlineStr">
        <is>
          <t>UI / screens</t>
        </is>
      </c>
      <c r="E17" s="34" t="inlineStr">
        <is>
          <t>Detailed design of screens, widgets and models</t>
        </is>
      </c>
      <c r="F17" s="34" t="inlineStr">
        <is>
          <t>Priya Nair</t>
        </is>
      </c>
      <c r="G17" s="44" t="n"/>
      <c r="H17" s="41" t="n"/>
      <c r="I17" s="133" t="n"/>
      <c r="J17" s="134">
        <f>IF(OR(N($G17)=0,N($I17)=0),"",$G17/$I17)</f>
        <v/>
      </c>
      <c r="K17" s="133" t="n">
        <v>10.5</v>
      </c>
      <c r="L17" s="44" t="n">
        <v>5</v>
      </c>
      <c r="M17" s="134">
        <f>IF($A17="","",SUMIFS(LOGT!$K$7:$K$406,LOGT!$F$7:$F$406,$A17)/60)</f>
        <v/>
      </c>
      <c r="N17" s="26">
        <f>IFERROR(IF(N($M17)=0,"",3+INT((SUMPRODUCT(MAX((LOGT!$F$7:$F$406=$A17)*LOGT!$A$7:$A$406))-DATE(2026,10,5))/7)),"")</f>
        <v/>
      </c>
      <c r="O17" s="41" t="inlineStr">
        <is>
          <t>Complete</t>
        </is>
      </c>
      <c r="P17" s="135">
        <f>IF(OR($A17="",SUM(TASK!$K$8:$K$127)=0),"",$K17/SUM(TASK!$K$8:$K$127))</f>
        <v/>
      </c>
      <c r="Q17" s="135">
        <f>IF($A17="","",IF($O17="Complete",$P17,0))</f>
        <v/>
      </c>
      <c r="R17" s="135">
        <f>IF($A17="","",SUM($P$8:$P17))</f>
        <v/>
      </c>
      <c r="S17" s="135">
        <f>IF($A17="","",SUM($Q$8:$Q17))</f>
        <v/>
      </c>
    </row>
    <row r="18">
      <c r="A18" s="41" t="inlineStr">
        <is>
          <t>T11</t>
        </is>
      </c>
      <c r="B18" s="41" t="inlineStr">
        <is>
          <t>M1</t>
        </is>
      </c>
      <c r="C18" s="41" t="inlineStr">
        <is>
          <t>DLDR</t>
        </is>
      </c>
      <c r="D18" s="34" t="inlineStr">
        <is>
          <t>UI / screens</t>
        </is>
      </c>
      <c r="E18" s="34" t="inlineStr">
        <is>
          <t>Personal review of the detailed design</t>
        </is>
      </c>
      <c r="F18" s="34" t="inlineStr">
        <is>
          <t>Priya Nair</t>
        </is>
      </c>
      <c r="G18" s="44" t="n"/>
      <c r="H18" s="41" t="n"/>
      <c r="I18" s="133" t="n"/>
      <c r="J18" s="134">
        <f>IF(OR(N($G18)=0,N($I18)=0),"",$G18/$I18)</f>
        <v/>
      </c>
      <c r="K18" s="133" t="n">
        <v>12.5</v>
      </c>
      <c r="L18" s="44" t="n">
        <v>5</v>
      </c>
      <c r="M18" s="134">
        <f>IF($A18="","",SUMIFS(LOGT!$K$7:$K$406,LOGT!$F$7:$F$406,$A18)/60)</f>
        <v/>
      </c>
      <c r="N18" s="26">
        <f>IFERROR(IF(N($M18)=0,"",3+INT((SUMPRODUCT(MAX((LOGT!$F$7:$F$406=$A18)*LOGT!$A$7:$A$406))-DATE(2026,10,5))/7)),"")</f>
        <v/>
      </c>
      <c r="O18" s="41" t="inlineStr">
        <is>
          <t>Complete</t>
        </is>
      </c>
      <c r="P18" s="135">
        <f>IF(OR($A18="",SUM(TASK!$K$8:$K$127)=0),"",$K18/SUM(TASK!$K$8:$K$127))</f>
        <v/>
      </c>
      <c r="Q18" s="135">
        <f>IF($A18="","",IF($O18="Complete",$P18,0))</f>
        <v/>
      </c>
      <c r="R18" s="135">
        <f>IF($A18="","",SUM($P$8:$P18))</f>
        <v/>
      </c>
      <c r="S18" s="135">
        <f>IF($A18="","",SUM($Q$8:$Q18))</f>
        <v/>
      </c>
    </row>
    <row r="19">
      <c r="A19" s="41" t="inlineStr">
        <is>
          <t>T12</t>
        </is>
      </c>
      <c r="B19" s="41" t="inlineStr">
        <is>
          <t>M1</t>
        </is>
      </c>
      <c r="C19" s="41" t="inlineStr">
        <is>
          <t>TD</t>
        </is>
      </c>
      <c r="D19" s="34" t="inlineStr">
        <is>
          <t>UI / screens</t>
        </is>
      </c>
      <c r="E19" s="34" t="inlineStr">
        <is>
          <t>Write the test cases for this component</t>
        </is>
      </c>
      <c r="F19" s="34" t="inlineStr">
        <is>
          <t>Priya Nair</t>
        </is>
      </c>
      <c r="G19" s="44" t="n"/>
      <c r="H19" s="41" t="n"/>
      <c r="I19" s="133" t="n"/>
      <c r="J19" s="134">
        <f>IF(OR(N($G19)=0,N($I19)=0),"",$G19/$I19)</f>
        <v/>
      </c>
      <c r="K19" s="133" t="n">
        <v>17</v>
      </c>
      <c r="L19" s="44" t="n">
        <v>5</v>
      </c>
      <c r="M19" s="134">
        <f>IF($A19="","",SUMIFS(LOGT!$K$7:$K$406,LOGT!$F$7:$F$406,$A19)/60)</f>
        <v/>
      </c>
      <c r="N19" s="26">
        <f>IFERROR(IF(N($M19)=0,"",3+INT((SUMPRODUCT(MAX((LOGT!$F$7:$F$406=$A19)*LOGT!$A$7:$A$406))-DATE(2026,10,5))/7)),"")</f>
        <v/>
      </c>
      <c r="O19" s="41" t="inlineStr">
        <is>
          <t>Complete</t>
        </is>
      </c>
      <c r="P19" s="135">
        <f>IF(OR($A19="",SUM(TASK!$K$8:$K$127)=0),"",$K19/SUM(TASK!$K$8:$K$127))</f>
        <v/>
      </c>
      <c r="Q19" s="135">
        <f>IF($A19="","",IF($O19="Complete",$P19,0))</f>
        <v/>
      </c>
      <c r="R19" s="135">
        <f>IF($A19="","",SUM($P$8:$P19))</f>
        <v/>
      </c>
      <c r="S19" s="135">
        <f>IF($A19="","",SUM($Q$8:$Q19))</f>
        <v/>
      </c>
    </row>
    <row r="20">
      <c r="A20" s="41" t="inlineStr">
        <is>
          <t>T13</t>
        </is>
      </c>
      <c r="B20" s="41" t="inlineStr">
        <is>
          <t>M1</t>
        </is>
      </c>
      <c r="C20" s="41" t="inlineStr">
        <is>
          <t>DLDINSP</t>
        </is>
      </c>
      <c r="D20" s="34" t="inlineStr">
        <is>
          <t>UI / screens</t>
        </is>
      </c>
      <c r="E20" s="34" t="inlineStr">
        <is>
          <t>Team inspection of the detailed design</t>
        </is>
      </c>
      <c r="F20" s="34" t="inlineStr">
        <is>
          <t>Priya Nair</t>
        </is>
      </c>
      <c r="G20" s="44" t="n"/>
      <c r="H20" s="41" t="n"/>
      <c r="I20" s="133" t="n"/>
      <c r="J20" s="134">
        <f>IF(OR(N($G20)=0,N($I20)=0),"",$G20/$I20)</f>
        <v/>
      </c>
      <c r="K20" s="133" t="n">
        <v>11.5</v>
      </c>
      <c r="L20" s="44" t="n">
        <v>5</v>
      </c>
      <c r="M20" s="134">
        <f>IF($A20="","",SUMIFS(LOGT!$K$7:$K$406,LOGT!$F$7:$F$406,$A20)/60)</f>
        <v/>
      </c>
      <c r="N20" s="26">
        <f>IFERROR(IF(N($M20)=0,"",3+INT((SUMPRODUCT(MAX((LOGT!$F$7:$F$406=$A20)*LOGT!$A$7:$A$406))-DATE(2026,10,5))/7)),"")</f>
        <v/>
      </c>
      <c r="O20" s="41" t="inlineStr">
        <is>
          <t>Complete</t>
        </is>
      </c>
      <c r="P20" s="135">
        <f>IF(OR($A20="",SUM(TASK!$K$8:$K$127)=0),"",$K20/SUM(TASK!$K$8:$K$127))</f>
        <v/>
      </c>
      <c r="Q20" s="135">
        <f>IF($A20="","",IF($O20="Complete",$P20,0))</f>
        <v/>
      </c>
      <c r="R20" s="135">
        <f>IF($A20="","",SUM($P$8:$P20))</f>
        <v/>
      </c>
      <c r="S20" s="135">
        <f>IF($A20="","",SUM($Q$8:$Q20))</f>
        <v/>
      </c>
    </row>
    <row r="21">
      <c r="A21" s="41" t="inlineStr">
        <is>
          <t>T14</t>
        </is>
      </c>
      <c r="B21" s="41" t="inlineStr">
        <is>
          <t>M2</t>
        </is>
      </c>
      <c r="C21" s="41" t="inlineStr">
        <is>
          <t>CODE</t>
        </is>
      </c>
      <c r="D21" s="34" t="inlineStr">
        <is>
          <t>UI / screens</t>
        </is>
      </c>
      <c r="E21" s="34" t="inlineStr">
        <is>
          <t>Implement in Dart / Flutter</t>
        </is>
      </c>
      <c r="F21" s="34" t="inlineStr">
        <is>
          <t>Priya Nair</t>
        </is>
      </c>
      <c r="G21" s="44" t="n"/>
      <c r="H21" s="41" t="n"/>
      <c r="I21" s="133" t="n"/>
      <c r="J21" s="134">
        <f>IF(OR(N($G21)=0,N($I21)=0),"",$G21/$I21)</f>
        <v/>
      </c>
      <c r="K21" s="133" t="n">
        <v>24</v>
      </c>
      <c r="L21" s="44" t="n">
        <v>6</v>
      </c>
      <c r="M21" s="134">
        <f>IF($A21="","",SUMIFS(LOGT!$K$7:$K$406,LOGT!$F$7:$F$406,$A21)/60)</f>
        <v/>
      </c>
      <c r="N21" s="26">
        <f>IFERROR(IF(N($M21)=0,"",3+INT((SUMPRODUCT(MAX((LOGT!$F$7:$F$406=$A21)*LOGT!$A$7:$A$406))-DATE(2026,10,5))/7)),"")</f>
        <v/>
      </c>
      <c r="O21" s="41" t="inlineStr">
        <is>
          <t>Complete</t>
        </is>
      </c>
      <c r="P21" s="135">
        <f>IF(OR($A21="",SUM(TASK!$K$8:$K$127)=0),"",$K21/SUM(TASK!$K$8:$K$127))</f>
        <v/>
      </c>
      <c r="Q21" s="135">
        <f>IF($A21="","",IF($O21="Complete",$P21,0))</f>
        <v/>
      </c>
      <c r="R21" s="135">
        <f>IF($A21="","",SUM($P$8:$P21))</f>
        <v/>
      </c>
      <c r="S21" s="135">
        <f>IF($A21="","",SUM($Q$8:$Q21))</f>
        <v/>
      </c>
    </row>
    <row r="22">
      <c r="A22" s="41" t="inlineStr">
        <is>
          <t>T15</t>
        </is>
      </c>
      <c r="B22" s="41" t="inlineStr">
        <is>
          <t>M2</t>
        </is>
      </c>
      <c r="C22" s="41" t="inlineStr">
        <is>
          <t>CR</t>
        </is>
      </c>
      <c r="D22" s="34" t="inlineStr">
        <is>
          <t>UI / screens</t>
        </is>
      </c>
      <c r="E22" s="34" t="inlineStr">
        <is>
          <t>Pull-request review by a teammate</t>
        </is>
      </c>
      <c r="F22" s="34" t="inlineStr">
        <is>
          <t>Priya Nair</t>
        </is>
      </c>
      <c r="G22" s="44" t="n"/>
      <c r="H22" s="41" t="n"/>
      <c r="I22" s="133" t="n"/>
      <c r="J22" s="134">
        <f>IF(OR(N($G22)=0,N($I22)=0),"",$G22/$I22)</f>
        <v/>
      </c>
      <c r="K22" s="133" t="n">
        <v>14</v>
      </c>
      <c r="L22" s="44" t="n">
        <v>6</v>
      </c>
      <c r="M22" s="134">
        <f>IF($A22="","",SUMIFS(LOGT!$K$7:$K$406,LOGT!$F$7:$F$406,$A22)/60)</f>
        <v/>
      </c>
      <c r="N22" s="26">
        <f>IFERROR(IF(N($M22)=0,"",3+INT((SUMPRODUCT(MAX((LOGT!$F$7:$F$406=$A22)*LOGT!$A$7:$A$406))-DATE(2026,10,5))/7)),"")</f>
        <v/>
      </c>
      <c r="O22" s="41" t="inlineStr">
        <is>
          <t>Complete</t>
        </is>
      </c>
      <c r="P22" s="135">
        <f>IF(OR($A22="",SUM(TASK!$K$8:$K$127)=0),"",$K22/SUM(TASK!$K$8:$K$127))</f>
        <v/>
      </c>
      <c r="Q22" s="135">
        <f>IF($A22="","",IF($O22="Complete",$P22,0))</f>
        <v/>
      </c>
      <c r="R22" s="135">
        <f>IF($A22="","",SUM($P$8:$P22))</f>
        <v/>
      </c>
      <c r="S22" s="135">
        <f>IF($A22="","",SUM($Q$8:$Q22))</f>
        <v/>
      </c>
    </row>
    <row r="23">
      <c r="A23" s="41" t="inlineStr">
        <is>
          <t>T16</t>
        </is>
      </c>
      <c r="B23" s="41" t="inlineStr">
        <is>
          <t>M2</t>
        </is>
      </c>
      <c r="C23" s="41" t="inlineStr">
        <is>
          <t>BUILD</t>
        </is>
      </c>
      <c r="D23" s="34" t="inlineStr">
        <is>
          <t>UI / screens</t>
        </is>
      </c>
      <c r="E23" s="34" t="inlineStr">
        <is>
          <t>flutter analyze and build, fix what it reports</t>
        </is>
      </c>
      <c r="F23" s="34" t="inlineStr">
        <is>
          <t>Priya Nair</t>
        </is>
      </c>
      <c r="G23" s="44" t="n"/>
      <c r="H23" s="41" t="n"/>
      <c r="I23" s="133" t="n"/>
      <c r="J23" s="134">
        <f>IF(OR(N($G23)=0,N($I23)=0),"",$G23/$I23)</f>
        <v/>
      </c>
      <c r="K23" s="133" t="n">
        <v>10</v>
      </c>
      <c r="L23" s="44" t="n">
        <v>6</v>
      </c>
      <c r="M23" s="134">
        <f>IF($A23="","",SUMIFS(LOGT!$K$7:$K$406,LOGT!$F$7:$F$406,$A23)/60)</f>
        <v/>
      </c>
      <c r="N23" s="26">
        <f>IFERROR(IF(N($M23)=0,"",3+INT((SUMPRODUCT(MAX((LOGT!$F$7:$F$406=$A23)*LOGT!$A$7:$A$406))-DATE(2026,10,5))/7)),"")</f>
        <v/>
      </c>
      <c r="O23" s="41" t="inlineStr">
        <is>
          <t>Complete</t>
        </is>
      </c>
      <c r="P23" s="135">
        <f>IF(OR($A23="",SUM(TASK!$K$8:$K$127)=0),"",$K23/SUM(TASK!$K$8:$K$127))</f>
        <v/>
      </c>
      <c r="Q23" s="135">
        <f>IF($A23="","",IF($O23="Complete",$P23,0))</f>
        <v/>
      </c>
      <c r="R23" s="135">
        <f>IF($A23="","",SUM($P$8:$P23))</f>
        <v/>
      </c>
      <c r="S23" s="135">
        <f>IF($A23="","",SUM($Q$8:$Q23))</f>
        <v/>
      </c>
    </row>
    <row r="24">
      <c r="A24" s="41" t="inlineStr">
        <is>
          <t>T17</t>
        </is>
      </c>
      <c r="B24" s="41" t="inlineStr">
        <is>
          <t>M2</t>
        </is>
      </c>
      <c r="C24" s="41" t="inlineStr">
        <is>
          <t>CODEINSP</t>
        </is>
      </c>
      <c r="D24" s="34" t="inlineStr">
        <is>
          <t>UI / screens</t>
        </is>
      </c>
      <c r="E24" s="34" t="inlineStr">
        <is>
          <t>Team code inspection</t>
        </is>
      </c>
      <c r="F24" s="34" t="inlineStr">
        <is>
          <t>Priya Nair</t>
        </is>
      </c>
      <c r="G24" s="44" t="n"/>
      <c r="H24" s="41" t="n"/>
      <c r="I24" s="133" t="n"/>
      <c r="J24" s="134">
        <f>IF(OR(N($G24)=0,N($I24)=0),"",$G24/$I24)</f>
        <v/>
      </c>
      <c r="K24" s="133" t="n">
        <v>12</v>
      </c>
      <c r="L24" s="44" t="n">
        <v>6</v>
      </c>
      <c r="M24" s="134">
        <f>IF($A24="","",SUMIFS(LOGT!$K$7:$K$406,LOGT!$F$7:$F$406,$A24)/60)</f>
        <v/>
      </c>
      <c r="N24" s="26">
        <f>IFERROR(IF(N($M24)=0,"",3+INT((SUMPRODUCT(MAX((LOGT!$F$7:$F$406=$A24)*LOGT!$A$7:$A$406))-DATE(2026,10,5))/7)),"")</f>
        <v/>
      </c>
      <c r="O24" s="41" t="inlineStr">
        <is>
          <t>Complete</t>
        </is>
      </c>
      <c r="P24" s="135">
        <f>IF(OR($A24="",SUM(TASK!$K$8:$K$127)=0),"",$K24/SUM(TASK!$K$8:$K$127))</f>
        <v/>
      </c>
      <c r="Q24" s="135">
        <f>IF($A24="","",IF($O24="Complete",$P24,0))</f>
        <v/>
      </c>
      <c r="R24" s="135">
        <f>IF($A24="","",SUM($P$8:$P24))</f>
        <v/>
      </c>
      <c r="S24" s="135">
        <f>IF($A24="","",SUM($Q$8:$Q24))</f>
        <v/>
      </c>
    </row>
    <row r="25">
      <c r="A25" s="41" t="inlineStr">
        <is>
          <t>T18</t>
        </is>
      </c>
      <c r="B25" s="41" t="inlineStr">
        <is>
          <t>M2</t>
        </is>
      </c>
      <c r="C25" s="41" t="inlineStr">
        <is>
          <t>UT</t>
        </is>
      </c>
      <c r="D25" s="34" t="inlineStr">
        <is>
          <t>UI / screens</t>
        </is>
      </c>
      <c r="E25" s="34" t="inlineStr">
        <is>
          <t>Unit tests for this component</t>
        </is>
      </c>
      <c r="F25" s="34" t="inlineStr">
        <is>
          <t>Priya Nair</t>
        </is>
      </c>
      <c r="G25" s="44" t="n"/>
      <c r="H25" s="41" t="n"/>
      <c r="I25" s="133" t="n"/>
      <c r="J25" s="134">
        <f>IF(OR(N($G25)=0,N($I25)=0),"",$G25/$I25)</f>
        <v/>
      </c>
      <c r="K25" s="133" t="n">
        <v>15</v>
      </c>
      <c r="L25" s="44" t="n">
        <v>7</v>
      </c>
      <c r="M25" s="134">
        <f>IF($A25="","",SUMIFS(LOGT!$K$7:$K$406,LOGT!$F$7:$F$406,$A25)/60)</f>
        <v/>
      </c>
      <c r="N25" s="26">
        <f>IFERROR(IF(N($M25)=0,"",3+INT((SUMPRODUCT(MAX((LOGT!$F$7:$F$406=$A25)*LOGT!$A$7:$A$406))-DATE(2026,10,5))/7)),"")</f>
        <v/>
      </c>
      <c r="O25" s="41" t="inlineStr">
        <is>
          <t>Complete</t>
        </is>
      </c>
      <c r="P25" s="135">
        <f>IF(OR($A25="",SUM(TASK!$K$8:$K$127)=0),"",$K25/SUM(TASK!$K$8:$K$127))</f>
        <v/>
      </c>
      <c r="Q25" s="135">
        <f>IF($A25="","",IF($O25="Complete",$P25,0))</f>
        <v/>
      </c>
      <c r="R25" s="135">
        <f>IF($A25="","",SUM($P$8:$P25))</f>
        <v/>
      </c>
      <c r="S25" s="135">
        <f>IF($A25="","",SUM($Q$8:$Q25))</f>
        <v/>
      </c>
    </row>
    <row r="26">
      <c r="A26" s="41" t="inlineStr">
        <is>
          <t>T19</t>
        </is>
      </c>
      <c r="B26" s="41" t="inlineStr">
        <is>
          <t>M2</t>
        </is>
      </c>
      <c r="C26" s="41" t="inlineStr">
        <is>
          <t>DLD</t>
        </is>
      </c>
      <c r="D26" s="34" t="inlineStr">
        <is>
          <t>Order &amp; catalogue service</t>
        </is>
      </c>
      <c r="E26" s="34" t="inlineStr">
        <is>
          <t>Detailed design of screens, widgets and models</t>
        </is>
      </c>
      <c r="F26" s="34" t="inlineStr">
        <is>
          <t>Daniel Wong Jun Hao</t>
        </is>
      </c>
      <c r="G26" s="44" t="n"/>
      <c r="H26" s="41" t="n"/>
      <c r="I26" s="133" t="n"/>
      <c r="J26" s="134">
        <f>IF(OR(N($G26)=0,N($I26)=0),"",$G26/$I26)</f>
        <v/>
      </c>
      <c r="K26" s="133" t="n">
        <v>8</v>
      </c>
      <c r="L26" s="44" t="n">
        <v>7</v>
      </c>
      <c r="M26" s="134">
        <f>IF($A26="","",SUMIFS(LOGT!$K$7:$K$406,LOGT!$F$7:$F$406,$A26)/60)</f>
        <v/>
      </c>
      <c r="N26" s="26">
        <f>IFERROR(IF(N($M26)=0,"",3+INT((SUMPRODUCT(MAX((LOGT!$F$7:$F$406=$A26)*LOGT!$A$7:$A$406))-DATE(2026,10,5))/7)),"")</f>
        <v/>
      </c>
      <c r="O26" s="41" t="inlineStr">
        <is>
          <t>Complete</t>
        </is>
      </c>
      <c r="P26" s="135">
        <f>IF(OR($A26="",SUM(TASK!$K$8:$K$127)=0),"",$K26/SUM(TASK!$K$8:$K$127))</f>
        <v/>
      </c>
      <c r="Q26" s="135">
        <f>IF($A26="","",IF($O26="Complete",$P26,0))</f>
        <v/>
      </c>
      <c r="R26" s="135">
        <f>IF($A26="","",SUM($P$8:$P26))</f>
        <v/>
      </c>
      <c r="S26" s="135">
        <f>IF($A26="","",SUM($Q$8:$Q26))</f>
        <v/>
      </c>
    </row>
    <row r="27">
      <c r="A27" s="41" t="inlineStr">
        <is>
          <t>T20</t>
        </is>
      </c>
      <c r="B27" s="41" t="inlineStr">
        <is>
          <t>M2</t>
        </is>
      </c>
      <c r="C27" s="41" t="inlineStr">
        <is>
          <t>DLDR</t>
        </is>
      </c>
      <c r="D27" s="34" t="inlineStr">
        <is>
          <t>Order &amp; catalogue service</t>
        </is>
      </c>
      <c r="E27" s="34" t="inlineStr">
        <is>
          <t>Personal review of the detailed design</t>
        </is>
      </c>
      <c r="F27" s="34" t="inlineStr">
        <is>
          <t>Daniel Wong Jun Hao</t>
        </is>
      </c>
      <c r="G27" s="44" t="n"/>
      <c r="H27" s="41" t="n"/>
      <c r="I27" s="133" t="n"/>
      <c r="J27" s="134">
        <f>IF(OR(N($G27)=0,N($I27)=0),"",$G27/$I27)</f>
        <v/>
      </c>
      <c r="K27" s="133" t="n">
        <v>14</v>
      </c>
      <c r="L27" s="44" t="n">
        <v>7</v>
      </c>
      <c r="M27" s="134">
        <f>IF($A27="","",SUMIFS(LOGT!$K$7:$K$406,LOGT!$F$7:$F$406,$A27)/60)</f>
        <v/>
      </c>
      <c r="N27" s="26">
        <f>IFERROR(IF(N($M27)=0,"",3+INT((SUMPRODUCT(MAX((LOGT!$F$7:$F$406=$A27)*LOGT!$A$7:$A$406))-DATE(2026,10,5))/7)),"")</f>
        <v/>
      </c>
      <c r="O27" s="41" t="inlineStr">
        <is>
          <t>Complete</t>
        </is>
      </c>
      <c r="P27" s="135">
        <f>IF(OR($A27="",SUM(TASK!$K$8:$K$127)=0),"",$K27/SUM(TASK!$K$8:$K$127))</f>
        <v/>
      </c>
      <c r="Q27" s="135">
        <f>IF($A27="","",IF($O27="Complete",$P27,0))</f>
        <v/>
      </c>
      <c r="R27" s="135">
        <f>IF($A27="","",SUM($P$8:$P27))</f>
        <v/>
      </c>
      <c r="S27" s="135">
        <f>IF($A27="","",SUM($Q$8:$Q27))</f>
        <v/>
      </c>
    </row>
    <row r="28">
      <c r="A28" s="41" t="inlineStr">
        <is>
          <t>T21</t>
        </is>
      </c>
      <c r="B28" s="41" t="inlineStr">
        <is>
          <t>M2</t>
        </is>
      </c>
      <c r="C28" s="41" t="inlineStr">
        <is>
          <t>TD</t>
        </is>
      </c>
      <c r="D28" s="34" t="inlineStr">
        <is>
          <t>Order &amp; catalogue service</t>
        </is>
      </c>
      <c r="E28" s="34" t="inlineStr">
        <is>
          <t>Write the test cases for this component</t>
        </is>
      </c>
      <c r="F28" s="34" t="inlineStr">
        <is>
          <t>Daniel Wong Jun Hao</t>
        </is>
      </c>
      <c r="G28" s="44" t="n"/>
      <c r="H28" s="41" t="n"/>
      <c r="I28" s="133" t="n"/>
      <c r="J28" s="134">
        <f>IF(OR(N($G28)=0,N($I28)=0),"",$G28/$I28)</f>
        <v/>
      </c>
      <c r="K28" s="133" t="n">
        <v>10</v>
      </c>
      <c r="L28" s="44" t="n">
        <v>7</v>
      </c>
      <c r="M28" s="134">
        <f>IF($A28="","",SUMIFS(LOGT!$K$7:$K$406,LOGT!$F$7:$F$406,$A28)/60)</f>
        <v/>
      </c>
      <c r="N28" s="26">
        <f>IFERROR(IF(N($M28)=0,"",3+INT((SUMPRODUCT(MAX((LOGT!$F$7:$F$406=$A28)*LOGT!$A$7:$A$406))-DATE(2026,10,5))/7)),"")</f>
        <v/>
      </c>
      <c r="O28" s="41" t="inlineStr">
        <is>
          <t>Complete</t>
        </is>
      </c>
      <c r="P28" s="135">
        <f>IF(OR($A28="",SUM(TASK!$K$8:$K$127)=0),"",$K28/SUM(TASK!$K$8:$K$127))</f>
        <v/>
      </c>
      <c r="Q28" s="135">
        <f>IF($A28="","",IF($O28="Complete",$P28,0))</f>
        <v/>
      </c>
      <c r="R28" s="135">
        <f>IF($A28="","",SUM($P$8:$P28))</f>
        <v/>
      </c>
      <c r="S28" s="135">
        <f>IF($A28="","",SUM($Q$8:$Q28))</f>
        <v/>
      </c>
    </row>
    <row r="29">
      <c r="A29" s="41" t="inlineStr">
        <is>
          <t>T22</t>
        </is>
      </c>
      <c r="B29" s="41" t="inlineStr">
        <is>
          <t>M2</t>
        </is>
      </c>
      <c r="C29" s="41" t="inlineStr">
        <is>
          <t>DLDINSP</t>
        </is>
      </c>
      <c r="D29" s="34" t="inlineStr">
        <is>
          <t>Order &amp; catalogue service</t>
        </is>
      </c>
      <c r="E29" s="34" t="inlineStr">
        <is>
          <t>Team inspection of the detailed design</t>
        </is>
      </c>
      <c r="F29" s="34" t="inlineStr">
        <is>
          <t>Daniel Wong Jun Hao</t>
        </is>
      </c>
      <c r="G29" s="44" t="n"/>
      <c r="H29" s="41" t="n"/>
      <c r="I29" s="133" t="n"/>
      <c r="J29" s="134">
        <f>IF(OR(N($G29)=0,N($I29)=0),"",$G29/$I29)</f>
        <v/>
      </c>
      <c r="K29" s="133" t="n">
        <v>14</v>
      </c>
      <c r="L29" s="44" t="n">
        <v>7</v>
      </c>
      <c r="M29" s="134">
        <f>IF($A29="","",SUMIFS(LOGT!$K$7:$K$406,LOGT!$F$7:$F$406,$A29)/60)</f>
        <v/>
      </c>
      <c r="N29" s="26">
        <f>IFERROR(IF(N($M29)=0,"",3+INT((SUMPRODUCT(MAX((LOGT!$F$7:$F$406=$A29)*LOGT!$A$7:$A$406))-DATE(2026,10,5))/7)),"")</f>
        <v/>
      </c>
      <c r="O29" s="41" t="inlineStr">
        <is>
          <t>Complete</t>
        </is>
      </c>
      <c r="P29" s="135">
        <f>IF(OR($A29="",SUM(TASK!$K$8:$K$127)=0),"",$K29/SUM(TASK!$K$8:$K$127))</f>
        <v/>
      </c>
      <c r="Q29" s="135">
        <f>IF($A29="","",IF($O29="Complete",$P29,0))</f>
        <v/>
      </c>
      <c r="R29" s="135">
        <f>IF($A29="","",SUM($P$8:$P29))</f>
        <v/>
      </c>
      <c r="S29" s="135">
        <f>IF($A29="","",SUM($Q$8:$Q29))</f>
        <v/>
      </c>
    </row>
    <row r="30">
      <c r="A30" s="41" t="inlineStr">
        <is>
          <t>T23</t>
        </is>
      </c>
      <c r="B30" s="41" t="inlineStr">
        <is>
          <t>M2</t>
        </is>
      </c>
      <c r="C30" s="41" t="inlineStr">
        <is>
          <t>CODE</t>
        </is>
      </c>
      <c r="D30" s="34" t="inlineStr">
        <is>
          <t>Order &amp; catalogue service</t>
        </is>
      </c>
      <c r="E30" s="34" t="inlineStr">
        <is>
          <t>Implement in Dart / Flutter</t>
        </is>
      </c>
      <c r="F30" s="34" t="inlineStr">
        <is>
          <t>Daniel Wong Jun Hao</t>
        </is>
      </c>
      <c r="G30" s="44" t="n"/>
      <c r="H30" s="41" t="n"/>
      <c r="I30" s="133" t="n"/>
      <c r="J30" s="134">
        <f>IF(OR(N($G30)=0,N($I30)=0),"",$G30/$I30)</f>
        <v/>
      </c>
      <c r="K30" s="133" t="n">
        <v>18</v>
      </c>
      <c r="L30" s="44" t="n">
        <v>7</v>
      </c>
      <c r="M30" s="134">
        <f>IF($A30="","",SUMIFS(LOGT!$K$7:$K$406,LOGT!$F$7:$F$406,$A30)/60)</f>
        <v/>
      </c>
      <c r="N30" s="26">
        <f>IFERROR(IF(N($M30)=0,"",3+INT((SUMPRODUCT(MAX((LOGT!$F$7:$F$406=$A30)*LOGT!$A$7:$A$406))-DATE(2026,10,5))/7)),"")</f>
        <v/>
      </c>
      <c r="O30" s="41" t="inlineStr">
        <is>
          <t>Complete</t>
        </is>
      </c>
      <c r="P30" s="135">
        <f>IF(OR($A30="",SUM(TASK!$K$8:$K$127)=0),"",$K30/SUM(TASK!$K$8:$K$127))</f>
        <v/>
      </c>
      <c r="Q30" s="135">
        <f>IF($A30="","",IF($O30="Complete",$P30,0))</f>
        <v/>
      </c>
      <c r="R30" s="135">
        <f>IF($A30="","",SUM($P$8:$P30))</f>
        <v/>
      </c>
      <c r="S30" s="135">
        <f>IF($A30="","",SUM($Q$8:$Q30))</f>
        <v/>
      </c>
    </row>
    <row r="31">
      <c r="A31" s="41" t="inlineStr">
        <is>
          <t>T24</t>
        </is>
      </c>
      <c r="B31" s="41" t="inlineStr">
        <is>
          <t>M2</t>
        </is>
      </c>
      <c r="C31" s="41" t="inlineStr">
        <is>
          <t>CR</t>
        </is>
      </c>
      <c r="D31" s="34" t="inlineStr">
        <is>
          <t>Order &amp; catalogue service</t>
        </is>
      </c>
      <c r="E31" s="34" t="inlineStr">
        <is>
          <t>Pull-request review by a teammate</t>
        </is>
      </c>
      <c r="F31" s="34" t="inlineStr">
        <is>
          <t>Daniel Wong Jun Hao</t>
        </is>
      </c>
      <c r="G31" s="44" t="n"/>
      <c r="H31" s="41" t="n"/>
      <c r="I31" s="133" t="n"/>
      <c r="J31" s="134">
        <f>IF(OR(N($G31)=0,N($I31)=0),"",$G31/$I31)</f>
        <v/>
      </c>
      <c r="K31" s="133" t="n">
        <v>15</v>
      </c>
      <c r="L31" s="44" t="n">
        <v>9</v>
      </c>
      <c r="M31" s="134">
        <f>IF($A31="","",SUMIFS(LOGT!$K$7:$K$406,LOGT!$F$7:$F$406,$A31)/60)</f>
        <v/>
      </c>
      <c r="N31" s="26">
        <f>IFERROR(IF(N($M31)=0,"",3+INT((SUMPRODUCT(MAX((LOGT!$F$7:$F$406=$A31)*LOGT!$A$7:$A$406))-DATE(2026,10,5))/7)),"")</f>
        <v/>
      </c>
      <c r="O31" s="41" t="inlineStr">
        <is>
          <t>Complete</t>
        </is>
      </c>
      <c r="P31" s="135">
        <f>IF(OR($A31="",SUM(TASK!$K$8:$K$127)=0),"",$K31/SUM(TASK!$K$8:$K$127))</f>
        <v/>
      </c>
      <c r="Q31" s="135">
        <f>IF($A31="","",IF($O31="Complete",$P31,0))</f>
        <v/>
      </c>
      <c r="R31" s="135">
        <f>IF($A31="","",SUM($P$8:$P31))</f>
        <v/>
      </c>
      <c r="S31" s="135">
        <f>IF($A31="","",SUM($Q$8:$Q31))</f>
        <v/>
      </c>
    </row>
    <row r="32">
      <c r="A32" s="41" t="inlineStr">
        <is>
          <t>T25</t>
        </is>
      </c>
      <c r="B32" s="41" t="inlineStr">
        <is>
          <t>M2</t>
        </is>
      </c>
      <c r="C32" s="41" t="inlineStr">
        <is>
          <t>BUILD</t>
        </is>
      </c>
      <c r="D32" s="34" t="inlineStr">
        <is>
          <t>Order &amp; catalogue service</t>
        </is>
      </c>
      <c r="E32" s="34" t="inlineStr">
        <is>
          <t>flutter analyze and build, fix what it reports</t>
        </is>
      </c>
      <c r="F32" s="34" t="inlineStr">
        <is>
          <t>Daniel Wong Jun Hao</t>
        </is>
      </c>
      <c r="G32" s="44" t="n"/>
      <c r="H32" s="41" t="n"/>
      <c r="I32" s="133" t="n"/>
      <c r="J32" s="134">
        <f>IF(OR(N($G32)=0,N($I32)=0),"",$G32/$I32)</f>
        <v/>
      </c>
      <c r="K32" s="133" t="n">
        <v>12</v>
      </c>
      <c r="L32" s="44" t="n">
        <v>9</v>
      </c>
      <c r="M32" s="134">
        <f>IF($A32="","",SUMIFS(LOGT!$K$7:$K$406,LOGT!$F$7:$F$406,$A32)/60)</f>
        <v/>
      </c>
      <c r="N32" s="26">
        <f>IFERROR(IF(N($M32)=0,"",3+INT((SUMPRODUCT(MAX((LOGT!$F$7:$F$406=$A32)*LOGT!$A$7:$A$406))-DATE(2026,10,5))/7)),"")</f>
        <v/>
      </c>
      <c r="O32" s="41" t="inlineStr">
        <is>
          <t>Complete</t>
        </is>
      </c>
      <c r="P32" s="135">
        <f>IF(OR($A32="",SUM(TASK!$K$8:$K$127)=0),"",$K32/SUM(TASK!$K$8:$K$127))</f>
        <v/>
      </c>
      <c r="Q32" s="135">
        <f>IF($A32="","",IF($O32="Complete",$P32,0))</f>
        <v/>
      </c>
      <c r="R32" s="135">
        <f>IF($A32="","",SUM($P$8:$P32))</f>
        <v/>
      </c>
      <c r="S32" s="135">
        <f>IF($A32="","",SUM($Q$8:$Q32))</f>
        <v/>
      </c>
    </row>
    <row r="33">
      <c r="A33" s="41" t="inlineStr">
        <is>
          <t>T26</t>
        </is>
      </c>
      <c r="B33" s="41" t="inlineStr">
        <is>
          <t>M2</t>
        </is>
      </c>
      <c r="C33" s="41" t="inlineStr">
        <is>
          <t>CODEINSP</t>
        </is>
      </c>
      <c r="D33" s="34" t="inlineStr">
        <is>
          <t>Order &amp; catalogue service</t>
        </is>
      </c>
      <c r="E33" s="34" t="inlineStr">
        <is>
          <t>Team code inspection</t>
        </is>
      </c>
      <c r="F33" s="34" t="inlineStr">
        <is>
          <t>Daniel Wong Jun Hao</t>
        </is>
      </c>
      <c r="G33" s="44" t="n"/>
      <c r="H33" s="41" t="n"/>
      <c r="I33" s="133" t="n"/>
      <c r="J33" s="134">
        <f>IF(OR(N($G33)=0,N($I33)=0),"",$G33/$I33)</f>
        <v/>
      </c>
      <c r="K33" s="133" t="n">
        <v>14</v>
      </c>
      <c r="L33" s="44" t="n">
        <v>9</v>
      </c>
      <c r="M33" s="134">
        <f>IF($A33="","",SUMIFS(LOGT!$K$7:$K$406,LOGT!$F$7:$F$406,$A33)/60)</f>
        <v/>
      </c>
      <c r="N33" s="26">
        <f>IFERROR(IF(N($M33)=0,"",3+INT((SUMPRODUCT(MAX((LOGT!$F$7:$F$406=$A33)*LOGT!$A$7:$A$406))-DATE(2026,10,5))/7)),"")</f>
        <v/>
      </c>
      <c r="O33" s="41" t="inlineStr">
        <is>
          <t>Complete</t>
        </is>
      </c>
      <c r="P33" s="135">
        <f>IF(OR($A33="",SUM(TASK!$K$8:$K$127)=0),"",$K33/SUM(TASK!$K$8:$K$127))</f>
        <v/>
      </c>
      <c r="Q33" s="135">
        <f>IF($A33="","",IF($O33="Complete",$P33,0))</f>
        <v/>
      </c>
      <c r="R33" s="135">
        <f>IF($A33="","",SUM($P$8:$P33))</f>
        <v/>
      </c>
      <c r="S33" s="135">
        <f>IF($A33="","",SUM($Q$8:$Q33))</f>
        <v/>
      </c>
    </row>
    <row r="34">
      <c r="A34" s="41" t="inlineStr">
        <is>
          <t>T27</t>
        </is>
      </c>
      <c r="B34" s="41" t="inlineStr">
        <is>
          <t>M2</t>
        </is>
      </c>
      <c r="C34" s="41" t="inlineStr">
        <is>
          <t>UT</t>
        </is>
      </c>
      <c r="D34" s="34" t="inlineStr">
        <is>
          <t>Order &amp; catalogue service</t>
        </is>
      </c>
      <c r="E34" s="34" t="inlineStr">
        <is>
          <t>Unit tests for this component</t>
        </is>
      </c>
      <c r="F34" s="34" t="inlineStr">
        <is>
          <t>Daniel Wong Jun Hao</t>
        </is>
      </c>
      <c r="G34" s="44" t="n"/>
      <c r="H34" s="41" t="n"/>
      <c r="I34" s="133" t="n"/>
      <c r="J34" s="134">
        <f>IF(OR(N($G34)=0,N($I34)=0),"",$G34/$I34)</f>
        <v/>
      </c>
      <c r="K34" s="133" t="n">
        <v>9</v>
      </c>
      <c r="L34" s="44" t="n">
        <v>9</v>
      </c>
      <c r="M34" s="134">
        <f>IF($A34="","",SUMIFS(LOGT!$K$7:$K$406,LOGT!$F$7:$F$406,$A34)/60)</f>
        <v/>
      </c>
      <c r="N34" s="26">
        <f>IFERROR(IF(N($M34)=0,"",3+INT((SUMPRODUCT(MAX((LOGT!$F$7:$F$406=$A34)*LOGT!$A$7:$A$406))-DATE(2026,10,5))/7)),"")</f>
        <v/>
      </c>
      <c r="O34" s="41" t="inlineStr">
        <is>
          <t>Complete</t>
        </is>
      </c>
      <c r="P34" s="135">
        <f>IF(OR($A34="",SUM(TASK!$K$8:$K$127)=0),"",$K34/SUM(TASK!$K$8:$K$127))</f>
        <v/>
      </c>
      <c r="Q34" s="135">
        <f>IF($A34="","",IF($O34="Complete",$P34,0))</f>
        <v/>
      </c>
      <c r="R34" s="135">
        <f>IF($A34="","",SUM($P$8:$P34))</f>
        <v/>
      </c>
      <c r="S34" s="135">
        <f>IF($A34="","",SUM($Q$8:$Q34))</f>
        <v/>
      </c>
    </row>
    <row r="35">
      <c r="A35" s="41" t="inlineStr">
        <is>
          <t>T28</t>
        </is>
      </c>
      <c r="B35" s="41" t="inlineStr">
        <is>
          <t>M2</t>
        </is>
      </c>
      <c r="C35" s="41" t="inlineStr">
        <is>
          <t>DLD</t>
        </is>
      </c>
      <c r="D35" s="34" t="inlineStr">
        <is>
          <t>Local store &amp; sync</t>
        </is>
      </c>
      <c r="E35" s="34" t="inlineStr">
        <is>
          <t>Detailed design of screens, widgets and models</t>
        </is>
      </c>
      <c r="F35" s="34" t="inlineStr">
        <is>
          <t>Mei Ling Chong</t>
        </is>
      </c>
      <c r="G35" s="44" t="n"/>
      <c r="H35" s="41" t="n"/>
      <c r="I35" s="133" t="n"/>
      <c r="J35" s="134">
        <f>IF(OR(N($G35)=0,N($I35)=0),"",$G35/$I35)</f>
        <v/>
      </c>
      <c r="K35" s="133" t="n">
        <v>9</v>
      </c>
      <c r="L35" s="44" t="n">
        <v>9</v>
      </c>
      <c r="M35" s="134">
        <f>IF($A35="","",SUMIFS(LOGT!$K$7:$K$406,LOGT!$F$7:$F$406,$A35)/60)</f>
        <v/>
      </c>
      <c r="N35" s="26">
        <f>IFERROR(IF(N($M35)=0,"",3+INT((SUMPRODUCT(MAX((LOGT!$F$7:$F$406=$A35)*LOGT!$A$7:$A$406))-DATE(2026,10,5))/7)),"")</f>
        <v/>
      </c>
      <c r="O35" s="41" t="inlineStr">
        <is>
          <t>Complete</t>
        </is>
      </c>
      <c r="P35" s="135">
        <f>IF(OR($A35="",SUM(TASK!$K$8:$K$127)=0),"",$K35/SUM(TASK!$K$8:$K$127))</f>
        <v/>
      </c>
      <c r="Q35" s="135">
        <f>IF($A35="","",IF($O35="Complete",$P35,0))</f>
        <v/>
      </c>
      <c r="R35" s="135">
        <f>IF($A35="","",SUM($P$8:$P35))</f>
        <v/>
      </c>
      <c r="S35" s="135">
        <f>IF($A35="","",SUM($Q$8:$Q35))</f>
        <v/>
      </c>
    </row>
    <row r="36">
      <c r="A36" s="41" t="inlineStr">
        <is>
          <t>T29</t>
        </is>
      </c>
      <c r="B36" s="41" t="inlineStr">
        <is>
          <t>M2</t>
        </is>
      </c>
      <c r="C36" s="41" t="inlineStr">
        <is>
          <t>DLDR</t>
        </is>
      </c>
      <c r="D36" s="34" t="inlineStr">
        <is>
          <t>Local store &amp; sync</t>
        </is>
      </c>
      <c r="E36" s="34" t="inlineStr">
        <is>
          <t>Personal review of the detailed design</t>
        </is>
      </c>
      <c r="F36" s="34" t="inlineStr">
        <is>
          <t>Mei Ling Chong</t>
        </is>
      </c>
      <c r="G36" s="44" t="n"/>
      <c r="H36" s="41" t="n"/>
      <c r="I36" s="133" t="n"/>
      <c r="J36" s="134">
        <f>IF(OR(N($G36)=0,N($I36)=0),"",$G36/$I36)</f>
        <v/>
      </c>
      <c r="K36" s="133" t="n">
        <v>14</v>
      </c>
      <c r="L36" s="44" t="n">
        <v>9</v>
      </c>
      <c r="M36" s="134">
        <f>IF($A36="","",SUMIFS(LOGT!$K$7:$K$406,LOGT!$F$7:$F$406,$A36)/60)</f>
        <v/>
      </c>
      <c r="N36" s="26">
        <f>IFERROR(IF(N($M36)=0,"",3+INT((SUMPRODUCT(MAX((LOGT!$F$7:$F$406=$A36)*LOGT!$A$7:$A$406))-DATE(2026,10,5))/7)),"")</f>
        <v/>
      </c>
      <c r="O36" s="41" t="inlineStr">
        <is>
          <t>Complete</t>
        </is>
      </c>
      <c r="P36" s="135">
        <f>IF(OR($A36="",SUM(TASK!$K$8:$K$127)=0),"",$K36/SUM(TASK!$K$8:$K$127))</f>
        <v/>
      </c>
      <c r="Q36" s="135">
        <f>IF($A36="","",IF($O36="Complete",$P36,0))</f>
        <v/>
      </c>
      <c r="R36" s="135">
        <f>IF($A36="","",SUM($P$8:$P36))</f>
        <v/>
      </c>
      <c r="S36" s="135">
        <f>IF($A36="","",SUM($Q$8:$Q36))</f>
        <v/>
      </c>
    </row>
    <row r="37">
      <c r="A37" s="41" t="inlineStr">
        <is>
          <t>T30</t>
        </is>
      </c>
      <c r="B37" s="41" t="inlineStr">
        <is>
          <t>M3</t>
        </is>
      </c>
      <c r="C37" s="41" t="inlineStr">
        <is>
          <t>TD</t>
        </is>
      </c>
      <c r="D37" s="34" t="inlineStr">
        <is>
          <t>Local store &amp; sync</t>
        </is>
      </c>
      <c r="E37" s="34" t="inlineStr">
        <is>
          <t>Write the test cases for this component</t>
        </is>
      </c>
      <c r="F37" s="34" t="inlineStr">
        <is>
          <t>Mei Ling Chong</t>
        </is>
      </c>
      <c r="G37" s="44" t="n"/>
      <c r="H37" s="41" t="n"/>
      <c r="I37" s="133" t="n"/>
      <c r="J37" s="134">
        <f>IF(OR(N($G37)=0,N($I37)=0),"",$G37/$I37)</f>
        <v/>
      </c>
      <c r="K37" s="133" t="n">
        <v>10</v>
      </c>
      <c r="L37" s="44" t="n">
        <v>10</v>
      </c>
      <c r="M37" s="134">
        <f>IF($A37="","",SUMIFS(LOGT!$K$7:$K$406,LOGT!$F$7:$F$406,$A37)/60)</f>
        <v/>
      </c>
      <c r="N37" s="26">
        <f>IFERROR(IF(N($M37)=0,"",3+INT((SUMPRODUCT(MAX((LOGT!$F$7:$F$406=$A37)*LOGT!$A$7:$A$406))-DATE(2026,10,5))/7)),"")</f>
        <v/>
      </c>
      <c r="O37" s="41" t="inlineStr">
        <is>
          <t>Complete</t>
        </is>
      </c>
      <c r="P37" s="135">
        <f>IF(OR($A37="",SUM(TASK!$K$8:$K$127)=0),"",$K37/SUM(TASK!$K$8:$K$127))</f>
        <v/>
      </c>
      <c r="Q37" s="135">
        <f>IF($A37="","",IF($O37="Complete",$P37,0))</f>
        <v/>
      </c>
      <c r="R37" s="135">
        <f>IF($A37="","",SUM($P$8:$P37))</f>
        <v/>
      </c>
      <c r="S37" s="135">
        <f>IF($A37="","",SUM($Q$8:$Q37))</f>
        <v/>
      </c>
    </row>
    <row r="38">
      <c r="A38" s="41" t="inlineStr">
        <is>
          <t>T31</t>
        </is>
      </c>
      <c r="B38" s="41" t="inlineStr">
        <is>
          <t>M3</t>
        </is>
      </c>
      <c r="C38" s="41" t="inlineStr">
        <is>
          <t>DLDINSP</t>
        </is>
      </c>
      <c r="D38" s="34" t="inlineStr">
        <is>
          <t>Local store &amp; sync</t>
        </is>
      </c>
      <c r="E38" s="34" t="inlineStr">
        <is>
          <t>Team inspection of the detailed design</t>
        </is>
      </c>
      <c r="F38" s="34" t="inlineStr">
        <is>
          <t>Mei Ling Chong</t>
        </is>
      </c>
      <c r="G38" s="44" t="n"/>
      <c r="H38" s="41" t="n"/>
      <c r="I38" s="133" t="n"/>
      <c r="J38" s="134">
        <f>IF(OR(N($G38)=0,N($I38)=0),"",$G38/$I38)</f>
        <v/>
      </c>
      <c r="K38" s="133" t="n">
        <v>0</v>
      </c>
      <c r="L38" s="44" t="n">
        <v>10</v>
      </c>
      <c r="M38" s="134">
        <f>IF($A38="","",SUMIFS(LOGT!$K$7:$K$406,LOGT!$F$7:$F$406,$A38)/60)</f>
        <v/>
      </c>
      <c r="N38" s="26">
        <f>IFERROR(IF(N($M38)=0,"",3+INT((SUMPRODUCT(MAX((LOGT!$F$7:$F$406=$A38)*LOGT!$A$7:$A$406))-DATE(2026,10,5))/7)),"")</f>
        <v/>
      </c>
      <c r="O38" s="41" t="inlineStr">
        <is>
          <t>Complete</t>
        </is>
      </c>
      <c r="P38" s="135">
        <f>IF(OR($A38="",SUM(TASK!$K$8:$K$127)=0),"",$K38/SUM(TASK!$K$8:$K$127))</f>
        <v/>
      </c>
      <c r="Q38" s="135">
        <f>IF($A38="","",IF($O38="Complete",$P38,0))</f>
        <v/>
      </c>
      <c r="R38" s="135">
        <f>IF($A38="","",SUM($P$8:$P38))</f>
        <v/>
      </c>
      <c r="S38" s="135">
        <f>IF($A38="","",SUM($Q$8:$Q38))</f>
        <v/>
      </c>
    </row>
    <row r="39">
      <c r="A39" s="41" t="inlineStr">
        <is>
          <t>T32</t>
        </is>
      </c>
      <c r="B39" s="41" t="inlineStr">
        <is>
          <t>M3</t>
        </is>
      </c>
      <c r="C39" s="41" t="inlineStr">
        <is>
          <t>CODE</t>
        </is>
      </c>
      <c r="D39" s="34" t="inlineStr">
        <is>
          <t>Local store &amp; sync</t>
        </is>
      </c>
      <c r="E39" s="34" t="inlineStr">
        <is>
          <t>Implement in Dart / Flutter</t>
        </is>
      </c>
      <c r="F39" s="34" t="inlineStr">
        <is>
          <t>Mei Ling Chong</t>
        </is>
      </c>
      <c r="G39" s="44" t="n"/>
      <c r="H39" s="41" t="n"/>
      <c r="I39" s="133" t="n"/>
      <c r="J39" s="134">
        <f>IF(OR(N($G39)=0,N($I39)=0),"",$G39/$I39)</f>
        <v/>
      </c>
      <c r="K39" s="133" t="n">
        <v>24</v>
      </c>
      <c r="L39" s="44" t="n">
        <v>10</v>
      </c>
      <c r="M39" s="134">
        <f>IF($A39="","",SUMIFS(LOGT!$K$7:$K$406,LOGT!$F$7:$F$406,$A39)/60)</f>
        <v/>
      </c>
      <c r="N39" s="26">
        <f>IFERROR(IF(N($M39)=0,"",3+INT((SUMPRODUCT(MAX((LOGT!$F$7:$F$406=$A39)*LOGT!$A$7:$A$406))-DATE(2026,10,5))/7)),"")</f>
        <v/>
      </c>
      <c r="O39" s="41" t="inlineStr">
        <is>
          <t>Complete</t>
        </is>
      </c>
      <c r="P39" s="135">
        <f>IF(OR($A39="",SUM(TASK!$K$8:$K$127)=0),"",$K39/SUM(TASK!$K$8:$K$127))</f>
        <v/>
      </c>
      <c r="Q39" s="135">
        <f>IF($A39="","",IF($O39="Complete",$P39,0))</f>
        <v/>
      </c>
      <c r="R39" s="135">
        <f>IF($A39="","",SUM($P$8:$P39))</f>
        <v/>
      </c>
      <c r="S39" s="135">
        <f>IF($A39="","",SUM($Q$8:$Q39))</f>
        <v/>
      </c>
    </row>
    <row r="40">
      <c r="A40" s="41" t="inlineStr">
        <is>
          <t>T33</t>
        </is>
      </c>
      <c r="B40" s="41" t="inlineStr">
        <is>
          <t>M3</t>
        </is>
      </c>
      <c r="C40" s="41" t="inlineStr">
        <is>
          <t>CR</t>
        </is>
      </c>
      <c r="D40" s="34" t="inlineStr">
        <is>
          <t>Local store &amp; sync</t>
        </is>
      </c>
      <c r="E40" s="34" t="inlineStr">
        <is>
          <t>Pull-request review by a teammate</t>
        </is>
      </c>
      <c r="F40" s="34" t="inlineStr">
        <is>
          <t>Mei Ling Chong</t>
        </is>
      </c>
      <c r="G40" s="44" t="n"/>
      <c r="H40" s="41" t="n"/>
      <c r="I40" s="133" t="n"/>
      <c r="J40" s="134">
        <f>IF(OR(N($G40)=0,N($I40)=0),"",$G40/$I40)</f>
        <v/>
      </c>
      <c r="K40" s="133" t="n">
        <v>8</v>
      </c>
      <c r="L40" s="44" t="n">
        <v>10</v>
      </c>
      <c r="M40" s="134">
        <f>IF($A40="","",SUMIFS(LOGT!$K$7:$K$406,LOGT!$F$7:$F$406,$A40)/60)</f>
        <v/>
      </c>
      <c r="N40" s="26">
        <f>IFERROR(IF(N($M40)=0,"",3+INT((SUMPRODUCT(MAX((LOGT!$F$7:$F$406=$A40)*LOGT!$A$7:$A$406))-DATE(2026,10,5))/7)),"")</f>
        <v/>
      </c>
      <c r="O40" s="41" t="inlineStr">
        <is>
          <t>Complete</t>
        </is>
      </c>
      <c r="P40" s="135">
        <f>IF(OR($A40="",SUM(TASK!$K$8:$K$127)=0),"",$K40/SUM(TASK!$K$8:$K$127))</f>
        <v/>
      </c>
      <c r="Q40" s="135">
        <f>IF($A40="","",IF($O40="Complete",$P40,0))</f>
        <v/>
      </c>
      <c r="R40" s="135">
        <f>IF($A40="","",SUM($P$8:$P40))</f>
        <v/>
      </c>
      <c r="S40" s="135">
        <f>IF($A40="","",SUM($Q$8:$Q40))</f>
        <v/>
      </c>
    </row>
    <row r="41">
      <c r="A41" s="41" t="inlineStr">
        <is>
          <t>T34</t>
        </is>
      </c>
      <c r="B41" s="41" t="inlineStr">
        <is>
          <t>M3</t>
        </is>
      </c>
      <c r="C41" s="41" t="inlineStr">
        <is>
          <t>BUILD</t>
        </is>
      </c>
      <c r="D41" s="34" t="inlineStr">
        <is>
          <t>Local store &amp; sync</t>
        </is>
      </c>
      <c r="E41" s="34" t="inlineStr">
        <is>
          <t>flutter analyze and build, fix what it reports</t>
        </is>
      </c>
      <c r="F41" s="34" t="inlineStr">
        <is>
          <t>Mei Ling Chong</t>
        </is>
      </c>
      <c r="G41" s="44" t="n"/>
      <c r="H41" s="41" t="n"/>
      <c r="I41" s="133" t="n"/>
      <c r="J41" s="134">
        <f>IF(OR(N($G41)=0,N($I41)=0),"",$G41/$I41)</f>
        <v/>
      </c>
      <c r="K41" s="133" t="n">
        <v>12.5</v>
      </c>
      <c r="L41" s="44" t="n">
        <v>10</v>
      </c>
      <c r="M41" s="134">
        <f>IF($A41="","",SUMIFS(LOGT!$K$7:$K$406,LOGT!$F$7:$F$406,$A41)/60)</f>
        <v/>
      </c>
      <c r="N41" s="26">
        <f>IFERROR(IF(N($M41)=0,"",3+INT((SUMPRODUCT(MAX((LOGT!$F$7:$F$406=$A41)*LOGT!$A$7:$A$406))-DATE(2026,10,5))/7)),"")</f>
        <v/>
      </c>
      <c r="O41" s="41" t="inlineStr">
        <is>
          <t>Complete</t>
        </is>
      </c>
      <c r="P41" s="135">
        <f>IF(OR($A41="",SUM(TASK!$K$8:$K$127)=0),"",$K41/SUM(TASK!$K$8:$K$127))</f>
        <v/>
      </c>
      <c r="Q41" s="135">
        <f>IF($A41="","",IF($O41="Complete",$P41,0))</f>
        <v/>
      </c>
      <c r="R41" s="135">
        <f>IF($A41="","",SUM($P$8:$P41))</f>
        <v/>
      </c>
      <c r="S41" s="135">
        <f>IF($A41="","",SUM($Q$8:$Q41))</f>
        <v/>
      </c>
    </row>
    <row r="42">
      <c r="A42" s="41" t="inlineStr">
        <is>
          <t>T35</t>
        </is>
      </c>
      <c r="B42" s="41" t="inlineStr">
        <is>
          <t>M3</t>
        </is>
      </c>
      <c r="C42" s="41" t="inlineStr">
        <is>
          <t>CODEINSP</t>
        </is>
      </c>
      <c r="D42" s="34" t="inlineStr">
        <is>
          <t>Local store &amp; sync</t>
        </is>
      </c>
      <c r="E42" s="34" t="inlineStr">
        <is>
          <t>Team code inspection</t>
        </is>
      </c>
      <c r="F42" s="34" t="inlineStr">
        <is>
          <t>Mei Ling Chong</t>
        </is>
      </c>
      <c r="G42" s="44" t="n"/>
      <c r="H42" s="41" t="n"/>
      <c r="I42" s="133" t="n"/>
      <c r="J42" s="134">
        <f>IF(OR(N($G42)=0,N($I42)=0),"",$G42/$I42)</f>
        <v/>
      </c>
      <c r="K42" s="133" t="n">
        <v>10</v>
      </c>
      <c r="L42" s="44" t="n">
        <v>11</v>
      </c>
      <c r="M42" s="134">
        <f>IF($A42="","",SUMIFS(LOGT!$K$7:$K$406,LOGT!$F$7:$F$406,$A42)/60)</f>
        <v/>
      </c>
      <c r="N42" s="26">
        <f>IFERROR(IF(N($M42)=0,"",3+INT((SUMPRODUCT(MAX((LOGT!$F$7:$F$406=$A42)*LOGT!$A$7:$A$406))-DATE(2026,10,5))/7)),"")</f>
        <v/>
      </c>
      <c r="O42" s="41" t="inlineStr">
        <is>
          <t>Complete</t>
        </is>
      </c>
      <c r="P42" s="135">
        <f>IF(OR($A42="",SUM(TASK!$K$8:$K$127)=0),"",$K42/SUM(TASK!$K$8:$K$127))</f>
        <v/>
      </c>
      <c r="Q42" s="135">
        <f>IF($A42="","",IF($O42="Complete",$P42,0))</f>
        <v/>
      </c>
      <c r="R42" s="135">
        <f>IF($A42="","",SUM($P$8:$P42))</f>
        <v/>
      </c>
      <c r="S42" s="135">
        <f>IF($A42="","",SUM($Q$8:$Q42))</f>
        <v/>
      </c>
    </row>
    <row r="43">
      <c r="A43" s="41" t="inlineStr">
        <is>
          <t>T36</t>
        </is>
      </c>
      <c r="B43" s="41" t="inlineStr">
        <is>
          <t>M3</t>
        </is>
      </c>
      <c r="C43" s="41" t="inlineStr">
        <is>
          <t>UT</t>
        </is>
      </c>
      <c r="D43" s="34" t="inlineStr">
        <is>
          <t>Local store &amp; sync</t>
        </is>
      </c>
      <c r="E43" s="34" t="inlineStr">
        <is>
          <t>Unit tests for this component</t>
        </is>
      </c>
      <c r="F43" s="34" t="inlineStr">
        <is>
          <t>Mei Ling Chong</t>
        </is>
      </c>
      <c r="G43" s="44" t="n"/>
      <c r="H43" s="41" t="n"/>
      <c r="I43" s="133" t="n"/>
      <c r="J43" s="134">
        <f>IF(OR(N($G43)=0,N($I43)=0),"",$G43/$I43)</f>
        <v/>
      </c>
      <c r="K43" s="133" t="n">
        <v>11</v>
      </c>
      <c r="L43" s="44" t="n">
        <v>11</v>
      </c>
      <c r="M43" s="134">
        <f>IF($A43="","",SUMIFS(LOGT!$K$7:$K$406,LOGT!$F$7:$F$406,$A43)/60)</f>
        <v/>
      </c>
      <c r="N43" s="26">
        <f>IFERROR(IF(N($M43)=0,"",3+INT((SUMPRODUCT(MAX((LOGT!$F$7:$F$406=$A43)*LOGT!$A$7:$A$406))-DATE(2026,10,5))/7)),"")</f>
        <v/>
      </c>
      <c r="O43" s="41" t="inlineStr">
        <is>
          <t>Complete</t>
        </is>
      </c>
      <c r="P43" s="135">
        <f>IF(OR($A43="",SUM(TASK!$K$8:$K$127)=0),"",$K43/SUM(TASK!$K$8:$K$127))</f>
        <v/>
      </c>
      <c r="Q43" s="135">
        <f>IF($A43="","",IF($O43="Complete",$P43,0))</f>
        <v/>
      </c>
      <c r="R43" s="135">
        <f>IF($A43="","",SUM($P$8:$P43))</f>
        <v/>
      </c>
      <c r="S43" s="135">
        <f>IF($A43="","",SUM($Q$8:$Q43))</f>
        <v/>
      </c>
    </row>
    <row r="44">
      <c r="A44" s="41" t="inlineStr">
        <is>
          <t>T37</t>
        </is>
      </c>
      <c r="B44" s="41" t="inlineStr">
        <is>
          <t>M3</t>
        </is>
      </c>
      <c r="C44" s="41" t="inlineStr">
        <is>
          <t>IT</t>
        </is>
      </c>
      <c r="D44" s="34" t="inlineStr">
        <is>
          <t>SYSTEM</t>
        </is>
      </c>
      <c r="E44" s="34" t="inlineStr">
        <is>
          <t>Build and integration test across components</t>
        </is>
      </c>
      <c r="F44" s="34" t="inlineStr">
        <is>
          <t>Daniel Wong Jun Hao</t>
        </is>
      </c>
      <c r="G44" s="44" t="n"/>
      <c r="H44" s="41" t="n"/>
      <c r="I44" s="133" t="n"/>
      <c r="J44" s="134">
        <f>IF(OR(N($G44)=0,N($I44)=0),"",$G44/$I44)</f>
        <v/>
      </c>
      <c r="K44" s="133" t="n">
        <v>17</v>
      </c>
      <c r="L44" s="44" t="n">
        <v>11</v>
      </c>
      <c r="M44" s="134">
        <f>IF($A44="","",SUMIFS(LOGT!$K$7:$K$406,LOGT!$F$7:$F$406,$A44)/60)</f>
        <v/>
      </c>
      <c r="N44" s="26">
        <f>IFERROR(IF(N($M44)=0,"",3+INT((SUMPRODUCT(MAX((LOGT!$F$7:$F$406=$A44)*LOGT!$A$7:$A$406))-DATE(2026,10,5))/7)),"")</f>
        <v/>
      </c>
      <c r="O44" s="41" t="inlineStr">
        <is>
          <t>Complete</t>
        </is>
      </c>
      <c r="P44" s="135">
        <f>IF(OR($A44="",SUM(TASK!$K$8:$K$127)=0),"",$K44/SUM(TASK!$K$8:$K$127))</f>
        <v/>
      </c>
      <c r="Q44" s="135">
        <f>IF($A44="","",IF($O44="Complete",$P44,0))</f>
        <v/>
      </c>
      <c r="R44" s="135">
        <f>IF($A44="","",SUM($P$8:$P44))</f>
        <v/>
      </c>
      <c r="S44" s="135">
        <f>IF($A44="","",SUM($Q$8:$Q44))</f>
        <v/>
      </c>
    </row>
    <row r="45">
      <c r="A45" s="41" t="inlineStr">
        <is>
          <t>T38</t>
        </is>
      </c>
      <c r="B45" s="41" t="inlineStr">
        <is>
          <t>M3</t>
        </is>
      </c>
      <c r="C45" s="41" t="inlineStr">
        <is>
          <t>ST</t>
        </is>
      </c>
      <c r="D45" s="34" t="inlineStr">
        <is>
          <t>SYSTEM</t>
        </is>
      </c>
      <c r="E45" s="34" t="inlineStr">
        <is>
          <t>System test against the SRS</t>
        </is>
      </c>
      <c r="F45" s="34" t="inlineStr">
        <is>
          <t>Mei Ling Chong</t>
        </is>
      </c>
      <c r="G45" s="44" t="n"/>
      <c r="H45" s="41" t="n"/>
      <c r="I45" s="133" t="n"/>
      <c r="J45" s="134">
        <f>IF(OR(N($G45)=0,N($I45)=0),"",$G45/$I45)</f>
        <v/>
      </c>
      <c r="K45" s="133" t="n">
        <v>20</v>
      </c>
      <c r="L45" s="44" t="n">
        <v>12</v>
      </c>
      <c r="M45" s="134">
        <f>IF($A45="","",SUMIFS(LOGT!$K$7:$K$406,LOGT!$F$7:$F$406,$A45)/60)</f>
        <v/>
      </c>
      <c r="N45" s="26">
        <f>IFERROR(IF(N($M45)=0,"",3+INT((SUMPRODUCT(MAX((LOGT!$F$7:$F$406=$A45)*LOGT!$A$7:$A$406))-DATE(2026,10,5))/7)),"")</f>
        <v/>
      </c>
      <c r="O45" s="41" t="inlineStr">
        <is>
          <t>In progress</t>
        </is>
      </c>
      <c r="P45" s="135">
        <f>IF(OR($A45="",SUM(TASK!$K$8:$K$127)=0),"",$K45/SUM(TASK!$K$8:$K$127))</f>
        <v/>
      </c>
      <c r="Q45" s="135">
        <f>IF($A45="","",IF($O45="Complete",$P45,0))</f>
        <v/>
      </c>
      <c r="R45" s="135">
        <f>IF($A45="","",SUM($P$8:$P45))</f>
        <v/>
      </c>
      <c r="S45" s="135">
        <f>IF($A45="","",SUM($Q$8:$Q45))</f>
        <v/>
      </c>
    </row>
    <row r="46">
      <c r="A46" s="41" t="inlineStr">
        <is>
          <t>T39</t>
        </is>
      </c>
      <c r="B46" s="41" t="inlineStr">
        <is>
          <t>M3</t>
        </is>
      </c>
      <c r="C46" s="41" t="inlineStr">
        <is>
          <t>DOC</t>
        </is>
      </c>
      <c r="D46" s="34" t="inlineStr">
        <is>
          <t>SYSTEM</t>
        </is>
      </c>
      <c r="E46" s="34" t="inlineStr">
        <is>
          <t>User manual and final report</t>
        </is>
      </c>
      <c r="F46" s="34" t="inlineStr">
        <is>
          <t>Harith Bin Ismail</t>
        </is>
      </c>
      <c r="G46" s="44" t="n"/>
      <c r="H46" s="41" t="n"/>
      <c r="I46" s="133" t="n"/>
      <c r="J46" s="134">
        <f>IF(OR(N($G46)=0,N($I46)=0),"",$G46/$I46)</f>
        <v/>
      </c>
      <c r="K46" s="133" t="n">
        <v>16</v>
      </c>
      <c r="L46" s="44" t="n">
        <v>12</v>
      </c>
      <c r="M46" s="134">
        <f>IF($A46="","",SUMIFS(LOGT!$K$7:$K$406,LOGT!$F$7:$F$406,$A46)/60)</f>
        <v/>
      </c>
      <c r="N46" s="26">
        <f>IFERROR(IF(N($M46)=0,"",3+INT((SUMPRODUCT(MAX((LOGT!$F$7:$F$406=$A46)*LOGT!$A$7:$A$406))-DATE(2026,10,5))/7)),"")</f>
        <v/>
      </c>
      <c r="O46" s="41" t="inlineStr">
        <is>
          <t>Complete</t>
        </is>
      </c>
      <c r="P46" s="135">
        <f>IF(OR($A46="",SUM(TASK!$K$8:$K$127)=0),"",$K46/SUM(TASK!$K$8:$K$127))</f>
        <v/>
      </c>
      <c r="Q46" s="135">
        <f>IF($A46="","",IF($O46="Complete",$P46,0))</f>
        <v/>
      </c>
      <c r="R46" s="135">
        <f>IF($A46="","",SUM($P$8:$P46))</f>
        <v/>
      </c>
      <c r="S46" s="135">
        <f>IF($A46="","",SUM($Q$8:$Q46))</f>
        <v/>
      </c>
    </row>
    <row r="47">
      <c r="A47" s="41" t="inlineStr">
        <is>
          <t>T40</t>
        </is>
      </c>
      <c r="B47" s="41" t="inlineStr">
        <is>
          <t>M3</t>
        </is>
      </c>
      <c r="C47" s="41" t="inlineStr">
        <is>
          <t>PM</t>
        </is>
      </c>
      <c r="D47" s="34" t="inlineStr">
        <is>
          <t>SYSTEM</t>
        </is>
      </c>
      <c r="E47" s="34" t="inlineStr">
        <is>
          <t>Postmortem: review the data and agree three changes</t>
        </is>
      </c>
      <c r="F47" s="34" t="inlineStr">
        <is>
          <t>Aisyah Binti Rahman</t>
        </is>
      </c>
      <c r="G47" s="44" t="n"/>
      <c r="H47" s="41" t="n"/>
      <c r="I47" s="133" t="n"/>
      <c r="J47" s="134">
        <f>IF(OR(N($G47)=0,N($I47)=0),"",$G47/$I47)</f>
        <v/>
      </c>
      <c r="K47" s="133" t="n">
        <v>12</v>
      </c>
      <c r="L47" s="44" t="n">
        <v>12</v>
      </c>
      <c r="M47" s="134">
        <f>IF($A47="","",SUMIFS(LOGT!$K$7:$K$406,LOGT!$F$7:$F$406,$A47)/60)</f>
        <v/>
      </c>
      <c r="N47" s="26">
        <f>IFERROR(IF(N($M47)=0,"",3+INT((SUMPRODUCT(MAX((LOGT!$F$7:$F$406=$A47)*LOGT!$A$7:$A$406))-DATE(2026,10,5))/7)),"")</f>
        <v/>
      </c>
      <c r="O47" s="41" t="inlineStr">
        <is>
          <t>Complete</t>
        </is>
      </c>
      <c r="P47" s="135">
        <f>IF(OR($A47="",SUM(TASK!$K$8:$K$127)=0),"",$K47/SUM(TASK!$K$8:$K$127))</f>
        <v/>
      </c>
      <c r="Q47" s="135">
        <f>IF($A47="","",IF($O47="Complete",$P47,0))</f>
        <v/>
      </c>
      <c r="R47" s="135">
        <f>IF($A47="","",SUM($P$8:$P47))</f>
        <v/>
      </c>
      <c r="S47" s="135">
        <f>IF($A47="","",SUM($Q$8:$Q47))</f>
        <v/>
      </c>
    </row>
    <row r="48">
      <c r="A48" s="41" t="inlineStr">
        <is>
          <t>T41</t>
        </is>
      </c>
      <c r="B48" s="41" t="inlineStr">
        <is>
          <t>M2</t>
        </is>
      </c>
      <c r="C48" s="41" t="inlineStr">
        <is>
          <t>AIGEN</t>
        </is>
      </c>
      <c r="D48" s="34" t="inlineStr">
        <is>
          <t>UI / screens</t>
        </is>
      </c>
      <c r="E48" s="34" t="inlineStr">
        <is>
          <t>Generate form validation and list builders with Copilot</t>
        </is>
      </c>
      <c r="F48" s="34" t="inlineStr">
        <is>
          <t>Priya Nair</t>
        </is>
      </c>
      <c r="G48" s="44" t="n"/>
      <c r="H48" s="41" t="n"/>
      <c r="I48" s="133" t="n"/>
      <c r="J48" s="134">
        <f>IF(OR(N($G48)=0,N($I48)=0),"",$G48/$I48)</f>
        <v/>
      </c>
      <c r="K48" s="133" t="n">
        <v>12</v>
      </c>
      <c r="L48" s="44" t="n">
        <v>7</v>
      </c>
      <c r="M48" s="134">
        <f>IF($A48="","",SUMIFS(LOGT!$K$7:$K$406,LOGT!$F$7:$F$406,$A48)/60)</f>
        <v/>
      </c>
      <c r="N48" s="26">
        <f>IFERROR(IF(N($M48)=0,"",3+INT((SUMPRODUCT(MAX((LOGT!$F$7:$F$406=$A48)*LOGT!$A$7:$A$406))-DATE(2026,10,5))/7)),"")</f>
        <v/>
      </c>
      <c r="O48" s="41" t="inlineStr">
        <is>
          <t>Complete</t>
        </is>
      </c>
      <c r="P48" s="135">
        <f>IF(OR($A48="",SUM(TASK!$K$8:$K$127)=0),"",$K48/SUM(TASK!$K$8:$K$127))</f>
        <v/>
      </c>
      <c r="Q48" s="135">
        <f>IF($A48="","",IF($O48="Complete",$P48,0))</f>
        <v/>
      </c>
      <c r="R48" s="135">
        <f>IF($A48="","",SUM($P$8:$P48))</f>
        <v/>
      </c>
      <c r="S48" s="135">
        <f>IF($A48="","",SUM($Q$8:$Q48))</f>
        <v/>
      </c>
    </row>
    <row r="49">
      <c r="A49" s="41" t="inlineStr">
        <is>
          <t>T42</t>
        </is>
      </c>
      <c r="B49" s="41" t="inlineStr">
        <is>
          <t>M2</t>
        </is>
      </c>
      <c r="C49" s="41" t="inlineStr">
        <is>
          <t>AIGEN</t>
        </is>
      </c>
      <c r="D49" s="34" t="inlineStr">
        <is>
          <t>Order &amp; catalogue service</t>
        </is>
      </c>
      <c r="E49" s="34" t="inlineStr">
        <is>
          <t>Generate the Gemini order-note parser wrapper</t>
        </is>
      </c>
      <c r="F49" s="34" t="inlineStr">
        <is>
          <t>Daniel Wong Jun Hao</t>
        </is>
      </c>
      <c r="G49" s="44" t="n"/>
      <c r="H49" s="41" t="n"/>
      <c r="I49" s="133" t="n"/>
      <c r="J49" s="134">
        <f>IF(OR(N($G49)=0,N($I49)=0),"",$G49/$I49)</f>
        <v/>
      </c>
      <c r="K49" s="133" t="n">
        <v>10</v>
      </c>
      <c r="L49" s="44" t="n">
        <v>9</v>
      </c>
      <c r="M49" s="134">
        <f>IF($A49="","",SUMIFS(LOGT!$K$7:$K$406,LOGT!$F$7:$F$406,$A49)/60)</f>
        <v/>
      </c>
      <c r="N49" s="26">
        <f>IFERROR(IF(N($M49)=0,"",3+INT((SUMPRODUCT(MAX((LOGT!$F$7:$F$406=$A49)*LOGT!$A$7:$A$406))-DATE(2026,10,5))/7)),"")</f>
        <v/>
      </c>
      <c r="O49" s="41" t="inlineStr">
        <is>
          <t>Complete</t>
        </is>
      </c>
      <c r="P49" s="135">
        <f>IF(OR($A49="",SUM(TASK!$K$8:$K$127)=0),"",$K49/SUM(TASK!$K$8:$K$127))</f>
        <v/>
      </c>
      <c r="Q49" s="135">
        <f>IF($A49="","",IF($O49="Complete",$P49,0))</f>
        <v/>
      </c>
      <c r="R49" s="135">
        <f>IF($A49="","",SUM($P$8:$P49))</f>
        <v/>
      </c>
      <c r="S49" s="135">
        <f>IF($A49="","",SUM($Q$8:$Q49))</f>
        <v/>
      </c>
    </row>
    <row r="50">
      <c r="A50" s="41" t="inlineStr">
        <is>
          <t>T43</t>
        </is>
      </c>
      <c r="B50" s="41" t="inlineStr">
        <is>
          <t>M3</t>
        </is>
      </c>
      <c r="C50" s="41" t="inlineStr">
        <is>
          <t>WT</t>
        </is>
      </c>
      <c r="D50" s="34" t="inlineStr">
        <is>
          <t>UI / screens</t>
        </is>
      </c>
      <c r="E50" s="34" t="inlineStr">
        <is>
          <t>Widget tests for order entry and catalogue screens</t>
        </is>
      </c>
      <c r="F50" s="34" t="inlineStr">
        <is>
          <t>Mei Ling Chong</t>
        </is>
      </c>
      <c r="G50" s="44" t="n"/>
      <c r="H50" s="41" t="n"/>
      <c r="I50" s="133" t="n"/>
      <c r="J50" s="134">
        <f>IF(OR(N($G50)=0,N($I50)=0),"",$G50/$I50)</f>
        <v/>
      </c>
      <c r="K50" s="133" t="n">
        <v>14</v>
      </c>
      <c r="L50" s="44" t="n">
        <v>10</v>
      </c>
      <c r="M50" s="134">
        <f>IF($A50="","",SUMIFS(LOGT!$K$7:$K$406,LOGT!$F$7:$F$406,$A50)/60)</f>
        <v/>
      </c>
      <c r="N50" s="26">
        <f>IFERROR(IF(N($M50)=0,"",3+INT((SUMPRODUCT(MAX((LOGT!$F$7:$F$406=$A50)*LOGT!$A$7:$A$406))-DATE(2026,10,5))/7)),"")</f>
        <v/>
      </c>
      <c r="O50" s="41" t="inlineStr">
        <is>
          <t>Complete</t>
        </is>
      </c>
      <c r="P50" s="135">
        <f>IF(OR($A50="",SUM(TASK!$K$8:$K$127)=0),"",$K50/SUM(TASK!$K$8:$K$127))</f>
        <v/>
      </c>
      <c r="Q50" s="135">
        <f>IF($A50="","",IF($O50="Complete",$P50,0))</f>
        <v/>
      </c>
      <c r="R50" s="135">
        <f>IF($A50="","",SUM($P$8:$P50))</f>
        <v/>
      </c>
      <c r="S50" s="135">
        <f>IF($A50="","",SUM($Q$8:$Q50))</f>
        <v/>
      </c>
    </row>
    <row r="51">
      <c r="A51" s="41" t="inlineStr">
        <is>
          <t>T44</t>
        </is>
      </c>
      <c r="B51" s="41" t="inlineStr">
        <is>
          <t>M2</t>
        </is>
      </c>
      <c r="C51" s="41" t="inlineStr">
        <is>
          <t>CICD</t>
        </is>
      </c>
      <c r="D51" s="34" t="inlineStr">
        <is>
          <t>SYSTEM</t>
        </is>
      </c>
      <c r="E51" s="34" t="inlineStr">
        <is>
          <t>GitHub Actions: analyze, test, coverage on every PR</t>
        </is>
      </c>
      <c r="F51" s="34" t="inlineStr">
        <is>
          <t>Aisyah Binti Rahman</t>
        </is>
      </c>
      <c r="G51" s="44" t="n"/>
      <c r="H51" s="41" t="n"/>
      <c r="I51" s="133" t="n"/>
      <c r="J51" s="134">
        <f>IF(OR(N($G51)=0,N($I51)=0),"",$G51/$I51)</f>
        <v/>
      </c>
      <c r="K51" s="133" t="n">
        <v>10</v>
      </c>
      <c r="L51" s="44" t="n">
        <v>9</v>
      </c>
      <c r="M51" s="134">
        <f>IF($A51="","",SUMIFS(LOGT!$K$7:$K$406,LOGT!$F$7:$F$406,$A51)/60)</f>
        <v/>
      </c>
      <c r="N51" s="26">
        <f>IFERROR(IF(N($M51)=0,"",3+INT((SUMPRODUCT(MAX((LOGT!$F$7:$F$406=$A51)*LOGT!$A$7:$A$406))-DATE(2026,10,5))/7)),"")</f>
        <v/>
      </c>
      <c r="O51" s="41" t="inlineStr">
        <is>
          <t>Complete</t>
        </is>
      </c>
      <c r="P51" s="135">
        <f>IF(OR($A51="",SUM(TASK!$K$8:$K$127)=0),"",$K51/SUM(TASK!$K$8:$K$127))</f>
        <v/>
      </c>
      <c r="Q51" s="135">
        <f>IF($A51="","",IF($O51="Complete",$P51,0))</f>
        <v/>
      </c>
      <c r="R51" s="135">
        <f>IF($A51="","",SUM($P$8:$P51))</f>
        <v/>
      </c>
      <c r="S51" s="135">
        <f>IF($A51="","",SUM($Q$8:$Q51))</f>
        <v/>
      </c>
    </row>
    <row r="52">
      <c r="A52" s="41" t="inlineStr">
        <is>
          <t>T45</t>
        </is>
      </c>
      <c r="B52" s="41" t="inlineStr">
        <is>
          <t>M3</t>
        </is>
      </c>
      <c r="C52" s="41" t="inlineStr">
        <is>
          <t>UAT</t>
        </is>
      </c>
      <c r="D52" s="34" t="inlineStr">
        <is>
          <t>SYSTEM</t>
        </is>
      </c>
      <c r="E52" s="34" t="inlineStr">
        <is>
          <t>Acceptance test with counter staff at the shop</t>
        </is>
      </c>
      <c r="F52" s="34" t="inlineStr">
        <is>
          <t>Harith Bin Ismail</t>
        </is>
      </c>
      <c r="G52" s="44" t="n"/>
      <c r="H52" s="41" t="n"/>
      <c r="I52" s="133" t="n"/>
      <c r="J52" s="134">
        <f>IF(OR(N($G52)=0,N($I52)=0),"",$G52/$I52)</f>
        <v/>
      </c>
      <c r="K52" s="133" t="n">
        <v>8</v>
      </c>
      <c r="L52" s="44" t="n">
        <v>12</v>
      </c>
      <c r="M52" s="134">
        <f>IF($A52="","",SUMIFS(LOGT!$K$7:$K$406,LOGT!$F$7:$F$406,$A52)/60)</f>
        <v/>
      </c>
      <c r="N52" s="26">
        <f>IFERROR(IF(N($M52)=0,"",3+INT((SUMPRODUCT(MAX((LOGT!$F$7:$F$406=$A52)*LOGT!$A$7:$A$406))-DATE(2026,10,5))/7)),"")</f>
        <v/>
      </c>
      <c r="O52" s="41" t="inlineStr">
        <is>
          <t>Complete</t>
        </is>
      </c>
      <c r="P52" s="135">
        <f>IF(OR($A52="",SUM(TASK!$K$8:$K$127)=0),"",$K52/SUM(TASK!$K$8:$K$127))</f>
        <v/>
      </c>
      <c r="Q52" s="135">
        <f>IF($A52="","",IF($O52="Complete",$P52,0))</f>
        <v/>
      </c>
      <c r="R52" s="135">
        <f>IF($A52="","",SUM($P$8:$P52))</f>
        <v/>
      </c>
      <c r="S52" s="135">
        <f>IF($A52="","",SUM($Q$8:$Q52))</f>
        <v/>
      </c>
    </row>
    <row r="53">
      <c r="A53" s="41" t="inlineStr">
        <is>
          <t>T46</t>
        </is>
      </c>
      <c r="B53" s="41" t="inlineStr">
        <is>
          <t>M3</t>
        </is>
      </c>
      <c r="C53" s="41" t="inlineStr">
        <is>
          <t>AIGEN</t>
        </is>
      </c>
      <c r="D53" s="34" t="inlineStr">
        <is>
          <t>Local store &amp; sync</t>
        </is>
      </c>
      <c r="E53" s="34" t="inlineStr">
        <is>
          <t>Generate the offline write-queue scaffolding</t>
        </is>
      </c>
      <c r="F53" s="34" t="inlineStr">
        <is>
          <t>Mei Ling Chong</t>
        </is>
      </c>
      <c r="G53" s="44" t="n"/>
      <c r="H53" s="41" t="n"/>
      <c r="I53" s="133" t="n"/>
      <c r="J53" s="134">
        <f>IF(OR(N($G53)=0,N($I53)=0),"",$G53/$I53)</f>
        <v/>
      </c>
      <c r="K53" s="133" t="n">
        <v>8</v>
      </c>
      <c r="L53" s="44" t="n">
        <v>10</v>
      </c>
      <c r="M53" s="134">
        <f>IF($A53="","",SUMIFS(LOGT!$K$7:$K$406,LOGT!$F$7:$F$406,$A53)/60)</f>
        <v/>
      </c>
      <c r="N53" s="26">
        <f>IFERROR(IF(N($M53)=0,"",3+INT((SUMPRODUCT(MAX((LOGT!$F$7:$F$406=$A53)*LOGT!$A$7:$A$406))-DATE(2026,10,5))/7)),"")</f>
        <v/>
      </c>
      <c r="O53" s="41" t="inlineStr">
        <is>
          <t>Complete</t>
        </is>
      </c>
      <c r="P53" s="135">
        <f>IF(OR($A53="",SUM(TASK!$K$8:$K$127)=0),"",$K53/SUM(TASK!$K$8:$K$127))</f>
        <v/>
      </c>
      <c r="Q53" s="135">
        <f>IF($A53="","",IF($O53="Complete",$P53,0))</f>
        <v/>
      </c>
      <c r="R53" s="135">
        <f>IF($A53="","",SUM($P$8:$P53))</f>
        <v/>
      </c>
      <c r="S53" s="135">
        <f>IF($A53="","",SUM($Q$8:$Q53))</f>
        <v/>
      </c>
    </row>
    <row r="54">
      <c r="A54" s="41" t="n"/>
      <c r="B54" s="41" t="n"/>
      <c r="C54" s="41" t="n"/>
      <c r="D54" s="34" t="n"/>
      <c r="E54" s="34" t="n"/>
      <c r="F54" s="34" t="n"/>
      <c r="G54" s="44" t="n"/>
      <c r="H54" s="41" t="n"/>
      <c r="I54" s="133" t="n"/>
      <c r="J54" s="134">
        <f>IF(OR(N($G54)=0,N($I54)=0),"",$G54/$I54)</f>
        <v/>
      </c>
      <c r="K54" s="133" t="n"/>
      <c r="L54" s="44" t="n"/>
      <c r="M54" s="134">
        <f>IF($A54="","",SUMIFS(LOGT!$K$7:$K$406,LOGT!$F$7:$F$406,$A54)/60)</f>
        <v/>
      </c>
      <c r="N54" s="26">
        <f>IFERROR(IF(N($M54)=0,"",3+INT((SUMPRODUCT(MAX((LOGT!$F$7:$F$406=$A54)*LOGT!$A$7:$A$406))-DATE(2026,10,5))/7)),"")</f>
        <v/>
      </c>
      <c r="O54" s="41" t="n"/>
      <c r="P54" s="135">
        <f>IF(OR($A54="",SUM(TASK!$K$8:$K$127)=0),"",$K54/SUM(TASK!$K$8:$K$127))</f>
        <v/>
      </c>
      <c r="Q54" s="135">
        <f>IF($A54="","",IF($O54="Complete",$P54,0))</f>
        <v/>
      </c>
      <c r="R54" s="135">
        <f>IF($A54="","",SUM($P$8:$P54))</f>
        <v/>
      </c>
      <c r="S54" s="135">
        <f>IF($A54="","",SUM($Q$8:$Q54))</f>
        <v/>
      </c>
    </row>
    <row r="55">
      <c r="A55" s="41" t="n"/>
      <c r="B55" s="41" t="n"/>
      <c r="C55" s="41" t="n"/>
      <c r="D55" s="34" t="n"/>
      <c r="E55" s="34" t="n"/>
      <c r="F55" s="34" t="n"/>
      <c r="G55" s="44" t="n"/>
      <c r="H55" s="41" t="n"/>
      <c r="I55" s="133" t="n"/>
      <c r="J55" s="134">
        <f>IF(OR(N($G55)=0,N($I55)=0),"",$G55/$I55)</f>
        <v/>
      </c>
      <c r="K55" s="133" t="n"/>
      <c r="L55" s="44" t="n"/>
      <c r="M55" s="134">
        <f>IF($A55="","",SUMIFS(LOGT!$K$7:$K$406,LOGT!$F$7:$F$406,$A55)/60)</f>
        <v/>
      </c>
      <c r="N55" s="26">
        <f>IFERROR(IF(N($M55)=0,"",3+INT((SUMPRODUCT(MAX((LOGT!$F$7:$F$406=$A55)*LOGT!$A$7:$A$406))-DATE(2026,10,5))/7)),"")</f>
        <v/>
      </c>
      <c r="O55" s="41" t="n"/>
      <c r="P55" s="135">
        <f>IF(OR($A55="",SUM(TASK!$K$8:$K$127)=0),"",$K55/SUM(TASK!$K$8:$K$127))</f>
        <v/>
      </c>
      <c r="Q55" s="135">
        <f>IF($A55="","",IF($O55="Complete",$P55,0))</f>
        <v/>
      </c>
      <c r="R55" s="135">
        <f>IF($A55="","",SUM($P$8:$P55))</f>
        <v/>
      </c>
      <c r="S55" s="135">
        <f>IF($A55="","",SUM($Q$8:$Q55))</f>
        <v/>
      </c>
    </row>
    <row r="56">
      <c r="A56" s="41" t="n"/>
      <c r="B56" s="41" t="n"/>
      <c r="C56" s="41" t="n"/>
      <c r="D56" s="34" t="n"/>
      <c r="E56" s="34" t="n"/>
      <c r="F56" s="34" t="n"/>
      <c r="G56" s="44" t="n"/>
      <c r="H56" s="41" t="n"/>
      <c r="I56" s="133" t="n"/>
      <c r="J56" s="134">
        <f>IF(OR(N($G56)=0,N($I56)=0),"",$G56/$I56)</f>
        <v/>
      </c>
      <c r="K56" s="133" t="n"/>
      <c r="L56" s="44" t="n"/>
      <c r="M56" s="134">
        <f>IF($A56="","",SUMIFS(LOGT!$K$7:$K$406,LOGT!$F$7:$F$406,$A56)/60)</f>
        <v/>
      </c>
      <c r="N56" s="26">
        <f>IFERROR(IF(N($M56)=0,"",3+INT((SUMPRODUCT(MAX((LOGT!$F$7:$F$406=$A56)*LOGT!$A$7:$A$406))-DATE(2026,10,5))/7)),"")</f>
        <v/>
      </c>
      <c r="O56" s="41" t="n"/>
      <c r="P56" s="135">
        <f>IF(OR($A56="",SUM(TASK!$K$8:$K$127)=0),"",$K56/SUM(TASK!$K$8:$K$127))</f>
        <v/>
      </c>
      <c r="Q56" s="135">
        <f>IF($A56="","",IF($O56="Complete",$P56,0))</f>
        <v/>
      </c>
      <c r="R56" s="135">
        <f>IF($A56="","",SUM($P$8:$P56))</f>
        <v/>
      </c>
      <c r="S56" s="135">
        <f>IF($A56="","",SUM($Q$8:$Q56))</f>
        <v/>
      </c>
    </row>
    <row r="57">
      <c r="A57" s="41" t="n"/>
      <c r="B57" s="41" t="n"/>
      <c r="C57" s="41" t="n"/>
      <c r="D57" s="34" t="n"/>
      <c r="E57" s="34" t="n"/>
      <c r="F57" s="34" t="n"/>
      <c r="G57" s="44" t="n"/>
      <c r="H57" s="41" t="n"/>
      <c r="I57" s="133" t="n"/>
      <c r="J57" s="134">
        <f>IF(OR(N($G57)=0,N($I57)=0),"",$G57/$I57)</f>
        <v/>
      </c>
      <c r="K57" s="133" t="n"/>
      <c r="L57" s="44" t="n"/>
      <c r="M57" s="134">
        <f>IF($A57="","",SUMIFS(LOGT!$K$7:$K$406,LOGT!$F$7:$F$406,$A57)/60)</f>
        <v/>
      </c>
      <c r="N57" s="26">
        <f>IFERROR(IF(N($M57)=0,"",3+INT((SUMPRODUCT(MAX((LOGT!$F$7:$F$406=$A57)*LOGT!$A$7:$A$406))-DATE(2026,10,5))/7)),"")</f>
        <v/>
      </c>
      <c r="O57" s="41" t="n"/>
      <c r="P57" s="135">
        <f>IF(OR($A57="",SUM(TASK!$K$8:$K$127)=0),"",$K57/SUM(TASK!$K$8:$K$127))</f>
        <v/>
      </c>
      <c r="Q57" s="135">
        <f>IF($A57="","",IF($O57="Complete",$P57,0))</f>
        <v/>
      </c>
      <c r="R57" s="135">
        <f>IF($A57="","",SUM($P$8:$P57))</f>
        <v/>
      </c>
      <c r="S57" s="135">
        <f>IF($A57="","",SUM($Q$8:$Q57))</f>
        <v/>
      </c>
    </row>
    <row r="58">
      <c r="A58" s="41" t="n"/>
      <c r="B58" s="41" t="n"/>
      <c r="C58" s="41" t="n"/>
      <c r="D58" s="34" t="n"/>
      <c r="E58" s="34" t="n"/>
      <c r="F58" s="34" t="n"/>
      <c r="G58" s="44" t="n"/>
      <c r="H58" s="41" t="n"/>
      <c r="I58" s="133" t="n"/>
      <c r="J58" s="134">
        <f>IF(OR(N($G58)=0,N($I58)=0),"",$G58/$I58)</f>
        <v/>
      </c>
      <c r="K58" s="133" t="n"/>
      <c r="L58" s="44" t="n"/>
      <c r="M58" s="134">
        <f>IF($A58="","",SUMIFS(LOGT!$K$7:$K$406,LOGT!$F$7:$F$406,$A58)/60)</f>
        <v/>
      </c>
      <c r="N58" s="26">
        <f>IFERROR(IF(N($M58)=0,"",3+INT((SUMPRODUCT(MAX((LOGT!$F$7:$F$406=$A58)*LOGT!$A$7:$A$406))-DATE(2026,10,5))/7)),"")</f>
        <v/>
      </c>
      <c r="O58" s="41" t="n"/>
      <c r="P58" s="135">
        <f>IF(OR($A58="",SUM(TASK!$K$8:$K$127)=0),"",$K58/SUM(TASK!$K$8:$K$127))</f>
        <v/>
      </c>
      <c r="Q58" s="135">
        <f>IF($A58="","",IF($O58="Complete",$P58,0))</f>
        <v/>
      </c>
      <c r="R58" s="135">
        <f>IF($A58="","",SUM($P$8:$P58))</f>
        <v/>
      </c>
      <c r="S58" s="135">
        <f>IF($A58="","",SUM($Q$8:$Q58))</f>
        <v/>
      </c>
    </row>
    <row r="59">
      <c r="A59" s="41" t="n"/>
      <c r="B59" s="41" t="n"/>
      <c r="C59" s="41" t="n"/>
      <c r="D59" s="34" t="n"/>
      <c r="E59" s="34" t="n"/>
      <c r="F59" s="34" t="n"/>
      <c r="G59" s="44" t="n"/>
      <c r="H59" s="41" t="n"/>
      <c r="I59" s="133" t="n"/>
      <c r="J59" s="134">
        <f>IF(OR(N($G59)=0,N($I59)=0),"",$G59/$I59)</f>
        <v/>
      </c>
      <c r="K59" s="133" t="n"/>
      <c r="L59" s="44" t="n"/>
      <c r="M59" s="134">
        <f>IF($A59="","",SUMIFS(LOGT!$K$7:$K$406,LOGT!$F$7:$F$406,$A59)/60)</f>
        <v/>
      </c>
      <c r="N59" s="26">
        <f>IFERROR(IF(N($M59)=0,"",3+INT((SUMPRODUCT(MAX((LOGT!$F$7:$F$406=$A59)*LOGT!$A$7:$A$406))-DATE(2026,10,5))/7)),"")</f>
        <v/>
      </c>
      <c r="O59" s="41" t="n"/>
      <c r="P59" s="135">
        <f>IF(OR($A59="",SUM(TASK!$K$8:$K$127)=0),"",$K59/SUM(TASK!$K$8:$K$127))</f>
        <v/>
      </c>
      <c r="Q59" s="135">
        <f>IF($A59="","",IF($O59="Complete",$P59,0))</f>
        <v/>
      </c>
      <c r="R59" s="135">
        <f>IF($A59="","",SUM($P$8:$P59))</f>
        <v/>
      </c>
      <c r="S59" s="135">
        <f>IF($A59="","",SUM($Q$8:$Q59))</f>
        <v/>
      </c>
    </row>
    <row r="60">
      <c r="A60" s="41" t="n"/>
      <c r="B60" s="41" t="n"/>
      <c r="C60" s="41" t="n"/>
      <c r="D60" s="34" t="n"/>
      <c r="E60" s="34" t="n"/>
      <c r="F60" s="34" t="n"/>
      <c r="G60" s="44" t="n"/>
      <c r="H60" s="41" t="n"/>
      <c r="I60" s="133" t="n"/>
      <c r="J60" s="134">
        <f>IF(OR(N($G60)=0,N($I60)=0),"",$G60/$I60)</f>
        <v/>
      </c>
      <c r="K60" s="133" t="n"/>
      <c r="L60" s="44" t="n"/>
      <c r="M60" s="134">
        <f>IF($A60="","",SUMIFS(LOGT!$K$7:$K$406,LOGT!$F$7:$F$406,$A60)/60)</f>
        <v/>
      </c>
      <c r="N60" s="26">
        <f>IFERROR(IF(N($M60)=0,"",3+INT((SUMPRODUCT(MAX((LOGT!$F$7:$F$406=$A60)*LOGT!$A$7:$A$406))-DATE(2026,10,5))/7)),"")</f>
        <v/>
      </c>
      <c r="O60" s="41" t="n"/>
      <c r="P60" s="135">
        <f>IF(OR($A60="",SUM(TASK!$K$8:$K$127)=0),"",$K60/SUM(TASK!$K$8:$K$127))</f>
        <v/>
      </c>
      <c r="Q60" s="135">
        <f>IF($A60="","",IF($O60="Complete",$P60,0))</f>
        <v/>
      </c>
      <c r="R60" s="135">
        <f>IF($A60="","",SUM($P$8:$P60))</f>
        <v/>
      </c>
      <c r="S60" s="135">
        <f>IF($A60="","",SUM($Q$8:$Q60))</f>
        <v/>
      </c>
    </row>
    <row r="61">
      <c r="A61" s="41" t="n"/>
      <c r="B61" s="41" t="n"/>
      <c r="C61" s="41" t="n"/>
      <c r="D61" s="34" t="n"/>
      <c r="E61" s="34" t="n"/>
      <c r="F61" s="34" t="n"/>
      <c r="G61" s="44" t="n"/>
      <c r="H61" s="41" t="n"/>
      <c r="I61" s="133" t="n"/>
      <c r="J61" s="134">
        <f>IF(OR(N($G61)=0,N($I61)=0),"",$G61/$I61)</f>
        <v/>
      </c>
      <c r="K61" s="133" t="n"/>
      <c r="L61" s="44" t="n"/>
      <c r="M61" s="134">
        <f>IF($A61="","",SUMIFS(LOGT!$K$7:$K$406,LOGT!$F$7:$F$406,$A61)/60)</f>
        <v/>
      </c>
      <c r="N61" s="26">
        <f>IFERROR(IF(N($M61)=0,"",3+INT((SUMPRODUCT(MAX((LOGT!$F$7:$F$406=$A61)*LOGT!$A$7:$A$406))-DATE(2026,10,5))/7)),"")</f>
        <v/>
      </c>
      <c r="O61" s="41" t="n"/>
      <c r="P61" s="135">
        <f>IF(OR($A61="",SUM(TASK!$K$8:$K$127)=0),"",$K61/SUM(TASK!$K$8:$K$127))</f>
        <v/>
      </c>
      <c r="Q61" s="135">
        <f>IF($A61="","",IF($O61="Complete",$P61,0))</f>
        <v/>
      </c>
      <c r="R61" s="135">
        <f>IF($A61="","",SUM($P$8:$P61))</f>
        <v/>
      </c>
      <c r="S61" s="135">
        <f>IF($A61="","",SUM($Q$8:$Q61))</f>
        <v/>
      </c>
    </row>
    <row r="62">
      <c r="A62" s="41" t="n"/>
      <c r="B62" s="41" t="n"/>
      <c r="C62" s="41" t="n"/>
      <c r="D62" s="34" t="n"/>
      <c r="E62" s="34" t="n"/>
      <c r="F62" s="34" t="n"/>
      <c r="G62" s="44" t="n"/>
      <c r="H62" s="41" t="n"/>
      <c r="I62" s="133" t="n"/>
      <c r="J62" s="134">
        <f>IF(OR(N($G62)=0,N($I62)=0),"",$G62/$I62)</f>
        <v/>
      </c>
      <c r="K62" s="133" t="n"/>
      <c r="L62" s="44" t="n"/>
      <c r="M62" s="134">
        <f>IF($A62="","",SUMIFS(LOGT!$K$7:$K$406,LOGT!$F$7:$F$406,$A62)/60)</f>
        <v/>
      </c>
      <c r="N62" s="26">
        <f>IFERROR(IF(N($M62)=0,"",3+INT((SUMPRODUCT(MAX((LOGT!$F$7:$F$406=$A62)*LOGT!$A$7:$A$406))-DATE(2026,10,5))/7)),"")</f>
        <v/>
      </c>
      <c r="O62" s="41" t="n"/>
      <c r="P62" s="135">
        <f>IF(OR($A62="",SUM(TASK!$K$8:$K$127)=0),"",$K62/SUM(TASK!$K$8:$K$127))</f>
        <v/>
      </c>
      <c r="Q62" s="135">
        <f>IF($A62="","",IF($O62="Complete",$P62,0))</f>
        <v/>
      </c>
      <c r="R62" s="135">
        <f>IF($A62="","",SUM($P$8:$P62))</f>
        <v/>
      </c>
      <c r="S62" s="135">
        <f>IF($A62="","",SUM($Q$8:$Q62))</f>
        <v/>
      </c>
    </row>
    <row r="63">
      <c r="A63" s="41" t="n"/>
      <c r="B63" s="41" t="n"/>
      <c r="C63" s="41" t="n"/>
      <c r="D63" s="34" t="n"/>
      <c r="E63" s="34" t="n"/>
      <c r="F63" s="34" t="n"/>
      <c r="G63" s="44" t="n"/>
      <c r="H63" s="41" t="n"/>
      <c r="I63" s="133" t="n"/>
      <c r="J63" s="134">
        <f>IF(OR(N($G63)=0,N($I63)=0),"",$G63/$I63)</f>
        <v/>
      </c>
      <c r="K63" s="133" t="n"/>
      <c r="L63" s="44" t="n"/>
      <c r="M63" s="134">
        <f>IF($A63="","",SUMIFS(LOGT!$K$7:$K$406,LOGT!$F$7:$F$406,$A63)/60)</f>
        <v/>
      </c>
      <c r="N63" s="26">
        <f>IFERROR(IF(N($M63)=0,"",3+INT((SUMPRODUCT(MAX((LOGT!$F$7:$F$406=$A63)*LOGT!$A$7:$A$406))-DATE(2026,10,5))/7)),"")</f>
        <v/>
      </c>
      <c r="O63" s="41" t="n"/>
      <c r="P63" s="135">
        <f>IF(OR($A63="",SUM(TASK!$K$8:$K$127)=0),"",$K63/SUM(TASK!$K$8:$K$127))</f>
        <v/>
      </c>
      <c r="Q63" s="135">
        <f>IF($A63="","",IF($O63="Complete",$P63,0))</f>
        <v/>
      </c>
      <c r="R63" s="135">
        <f>IF($A63="","",SUM($P$8:$P63))</f>
        <v/>
      </c>
      <c r="S63" s="135">
        <f>IF($A63="","",SUM($Q$8:$Q63))</f>
        <v/>
      </c>
    </row>
    <row r="64">
      <c r="A64" s="41" t="n"/>
      <c r="B64" s="41" t="n"/>
      <c r="C64" s="41" t="n"/>
      <c r="D64" s="34" t="n"/>
      <c r="E64" s="34" t="n"/>
      <c r="F64" s="34" t="n"/>
      <c r="G64" s="44" t="n"/>
      <c r="H64" s="41" t="n"/>
      <c r="I64" s="133" t="n"/>
      <c r="J64" s="134">
        <f>IF(OR(N($G64)=0,N($I64)=0),"",$G64/$I64)</f>
        <v/>
      </c>
      <c r="K64" s="133" t="n"/>
      <c r="L64" s="44" t="n"/>
      <c r="M64" s="134">
        <f>IF($A64="","",SUMIFS(LOGT!$K$7:$K$406,LOGT!$F$7:$F$406,$A64)/60)</f>
        <v/>
      </c>
      <c r="N64" s="26">
        <f>IFERROR(IF(N($M64)=0,"",3+INT((SUMPRODUCT(MAX((LOGT!$F$7:$F$406=$A64)*LOGT!$A$7:$A$406))-DATE(2026,10,5))/7)),"")</f>
        <v/>
      </c>
      <c r="O64" s="41" t="n"/>
      <c r="P64" s="135">
        <f>IF(OR($A64="",SUM(TASK!$K$8:$K$127)=0),"",$K64/SUM(TASK!$K$8:$K$127))</f>
        <v/>
      </c>
      <c r="Q64" s="135">
        <f>IF($A64="","",IF($O64="Complete",$P64,0))</f>
        <v/>
      </c>
      <c r="R64" s="135">
        <f>IF($A64="","",SUM($P$8:$P64))</f>
        <v/>
      </c>
      <c r="S64" s="135">
        <f>IF($A64="","",SUM($Q$8:$Q64))</f>
        <v/>
      </c>
    </row>
    <row r="65">
      <c r="A65" s="41" t="n"/>
      <c r="B65" s="41" t="n"/>
      <c r="C65" s="41" t="n"/>
      <c r="D65" s="34" t="n"/>
      <c r="E65" s="34" t="n"/>
      <c r="F65" s="34" t="n"/>
      <c r="G65" s="44" t="n"/>
      <c r="H65" s="41" t="n"/>
      <c r="I65" s="133" t="n"/>
      <c r="J65" s="134">
        <f>IF(OR(N($G65)=0,N($I65)=0),"",$G65/$I65)</f>
        <v/>
      </c>
      <c r="K65" s="133" t="n"/>
      <c r="L65" s="44" t="n"/>
      <c r="M65" s="134">
        <f>IF($A65="","",SUMIFS(LOGT!$K$7:$K$406,LOGT!$F$7:$F$406,$A65)/60)</f>
        <v/>
      </c>
      <c r="N65" s="26">
        <f>IFERROR(IF(N($M65)=0,"",3+INT((SUMPRODUCT(MAX((LOGT!$F$7:$F$406=$A65)*LOGT!$A$7:$A$406))-DATE(2026,10,5))/7)),"")</f>
        <v/>
      </c>
      <c r="O65" s="41" t="n"/>
      <c r="P65" s="135">
        <f>IF(OR($A65="",SUM(TASK!$K$8:$K$127)=0),"",$K65/SUM(TASK!$K$8:$K$127))</f>
        <v/>
      </c>
      <c r="Q65" s="135">
        <f>IF($A65="","",IF($O65="Complete",$P65,0))</f>
        <v/>
      </c>
      <c r="R65" s="135">
        <f>IF($A65="","",SUM($P$8:$P65))</f>
        <v/>
      </c>
      <c r="S65" s="135">
        <f>IF($A65="","",SUM($Q$8:$Q65))</f>
        <v/>
      </c>
    </row>
    <row r="66">
      <c r="A66" s="41" t="n"/>
      <c r="B66" s="41" t="n"/>
      <c r="C66" s="41" t="n"/>
      <c r="D66" s="34" t="n"/>
      <c r="E66" s="34" t="n"/>
      <c r="F66" s="34" t="n"/>
      <c r="G66" s="44" t="n"/>
      <c r="H66" s="41" t="n"/>
      <c r="I66" s="133" t="n"/>
      <c r="J66" s="134">
        <f>IF(OR(N($G66)=0,N($I66)=0),"",$G66/$I66)</f>
        <v/>
      </c>
      <c r="K66" s="133" t="n"/>
      <c r="L66" s="44" t="n"/>
      <c r="M66" s="134">
        <f>IF($A66="","",SUMIFS(LOGT!$K$7:$K$406,LOGT!$F$7:$F$406,$A66)/60)</f>
        <v/>
      </c>
      <c r="N66" s="26">
        <f>IFERROR(IF(N($M66)=0,"",3+INT((SUMPRODUCT(MAX((LOGT!$F$7:$F$406=$A66)*LOGT!$A$7:$A$406))-DATE(2026,10,5))/7)),"")</f>
        <v/>
      </c>
      <c r="O66" s="41" t="n"/>
      <c r="P66" s="135">
        <f>IF(OR($A66="",SUM(TASK!$K$8:$K$127)=0),"",$K66/SUM(TASK!$K$8:$K$127))</f>
        <v/>
      </c>
      <c r="Q66" s="135">
        <f>IF($A66="","",IF($O66="Complete",$P66,0))</f>
        <v/>
      </c>
      <c r="R66" s="135">
        <f>IF($A66="","",SUM($P$8:$P66))</f>
        <v/>
      </c>
      <c r="S66" s="135">
        <f>IF($A66="","",SUM($Q$8:$Q66))</f>
        <v/>
      </c>
    </row>
    <row r="67">
      <c r="A67" s="41" t="n"/>
      <c r="B67" s="41" t="n"/>
      <c r="C67" s="41" t="n"/>
      <c r="D67" s="34" t="n"/>
      <c r="E67" s="34" t="n"/>
      <c r="F67" s="34" t="n"/>
      <c r="G67" s="44" t="n"/>
      <c r="H67" s="41" t="n"/>
      <c r="I67" s="133" t="n"/>
      <c r="J67" s="134">
        <f>IF(OR(N($G67)=0,N($I67)=0),"",$G67/$I67)</f>
        <v/>
      </c>
      <c r="K67" s="133" t="n"/>
      <c r="L67" s="44" t="n"/>
      <c r="M67" s="134">
        <f>IF($A67="","",SUMIFS(LOGT!$K$7:$K$406,LOGT!$F$7:$F$406,$A67)/60)</f>
        <v/>
      </c>
      <c r="N67" s="26">
        <f>IFERROR(IF(N($M67)=0,"",3+INT((SUMPRODUCT(MAX((LOGT!$F$7:$F$406=$A67)*LOGT!$A$7:$A$406))-DATE(2026,10,5))/7)),"")</f>
        <v/>
      </c>
      <c r="O67" s="41" t="n"/>
      <c r="P67" s="135">
        <f>IF(OR($A67="",SUM(TASK!$K$8:$K$127)=0),"",$K67/SUM(TASK!$K$8:$K$127))</f>
        <v/>
      </c>
      <c r="Q67" s="135">
        <f>IF($A67="","",IF($O67="Complete",$P67,0))</f>
        <v/>
      </c>
      <c r="R67" s="135">
        <f>IF($A67="","",SUM($P$8:$P67))</f>
        <v/>
      </c>
      <c r="S67" s="135">
        <f>IF($A67="","",SUM($Q$8:$Q67))</f>
        <v/>
      </c>
    </row>
    <row r="68">
      <c r="A68" s="41" t="n"/>
      <c r="B68" s="41" t="n"/>
      <c r="C68" s="41" t="n"/>
      <c r="D68" s="34" t="n"/>
      <c r="E68" s="34" t="n"/>
      <c r="F68" s="34" t="n"/>
      <c r="G68" s="44" t="n"/>
      <c r="H68" s="41" t="n"/>
      <c r="I68" s="133" t="n"/>
      <c r="J68" s="134">
        <f>IF(OR(N($G68)=0,N($I68)=0),"",$G68/$I68)</f>
        <v/>
      </c>
      <c r="K68" s="133" t="n"/>
      <c r="L68" s="44" t="n"/>
      <c r="M68" s="134">
        <f>IF($A68="","",SUMIFS(LOGT!$K$7:$K$406,LOGT!$F$7:$F$406,$A68)/60)</f>
        <v/>
      </c>
      <c r="N68" s="26">
        <f>IFERROR(IF(N($M68)=0,"",3+INT((SUMPRODUCT(MAX((LOGT!$F$7:$F$406=$A68)*LOGT!$A$7:$A$406))-DATE(2026,10,5))/7)),"")</f>
        <v/>
      </c>
      <c r="O68" s="41" t="n"/>
      <c r="P68" s="135">
        <f>IF(OR($A68="",SUM(TASK!$K$8:$K$127)=0),"",$K68/SUM(TASK!$K$8:$K$127))</f>
        <v/>
      </c>
      <c r="Q68" s="135">
        <f>IF($A68="","",IF($O68="Complete",$P68,0))</f>
        <v/>
      </c>
      <c r="R68" s="135">
        <f>IF($A68="","",SUM($P$8:$P68))</f>
        <v/>
      </c>
      <c r="S68" s="135">
        <f>IF($A68="","",SUM($Q$8:$Q68))</f>
        <v/>
      </c>
    </row>
    <row r="69">
      <c r="A69" s="41" t="n"/>
      <c r="B69" s="41" t="n"/>
      <c r="C69" s="41" t="n"/>
      <c r="D69" s="34" t="n"/>
      <c r="E69" s="34" t="n"/>
      <c r="F69" s="34" t="n"/>
      <c r="G69" s="44" t="n"/>
      <c r="H69" s="41" t="n"/>
      <c r="I69" s="133" t="n"/>
      <c r="J69" s="134">
        <f>IF(OR(N($G69)=0,N($I69)=0),"",$G69/$I69)</f>
        <v/>
      </c>
      <c r="K69" s="133" t="n"/>
      <c r="L69" s="44" t="n"/>
      <c r="M69" s="134">
        <f>IF($A69="","",SUMIFS(LOGT!$K$7:$K$406,LOGT!$F$7:$F$406,$A69)/60)</f>
        <v/>
      </c>
      <c r="N69" s="26">
        <f>IFERROR(IF(N($M69)=0,"",3+INT((SUMPRODUCT(MAX((LOGT!$F$7:$F$406=$A69)*LOGT!$A$7:$A$406))-DATE(2026,10,5))/7)),"")</f>
        <v/>
      </c>
      <c r="O69" s="41" t="n"/>
      <c r="P69" s="135">
        <f>IF(OR($A69="",SUM(TASK!$K$8:$K$127)=0),"",$K69/SUM(TASK!$K$8:$K$127))</f>
        <v/>
      </c>
      <c r="Q69" s="135">
        <f>IF($A69="","",IF($O69="Complete",$P69,0))</f>
        <v/>
      </c>
      <c r="R69" s="135">
        <f>IF($A69="","",SUM($P$8:$P69))</f>
        <v/>
      </c>
      <c r="S69" s="135">
        <f>IF($A69="","",SUM($Q$8:$Q69))</f>
        <v/>
      </c>
    </row>
    <row r="70">
      <c r="A70" s="41" t="n"/>
      <c r="B70" s="41" t="n"/>
      <c r="C70" s="41" t="n"/>
      <c r="D70" s="34" t="n"/>
      <c r="E70" s="34" t="n"/>
      <c r="F70" s="34" t="n"/>
      <c r="G70" s="44" t="n"/>
      <c r="H70" s="41" t="n"/>
      <c r="I70" s="133" t="n"/>
      <c r="J70" s="134">
        <f>IF(OR(N($G70)=0,N($I70)=0),"",$G70/$I70)</f>
        <v/>
      </c>
      <c r="K70" s="133" t="n"/>
      <c r="L70" s="44" t="n"/>
      <c r="M70" s="134">
        <f>IF($A70="","",SUMIFS(LOGT!$K$7:$K$406,LOGT!$F$7:$F$406,$A70)/60)</f>
        <v/>
      </c>
      <c r="N70" s="26">
        <f>IFERROR(IF(N($M70)=0,"",3+INT((SUMPRODUCT(MAX((LOGT!$F$7:$F$406=$A70)*LOGT!$A$7:$A$406))-DATE(2026,10,5))/7)),"")</f>
        <v/>
      </c>
      <c r="O70" s="41" t="n"/>
      <c r="P70" s="135">
        <f>IF(OR($A70="",SUM(TASK!$K$8:$K$127)=0),"",$K70/SUM(TASK!$K$8:$K$127))</f>
        <v/>
      </c>
      <c r="Q70" s="135">
        <f>IF($A70="","",IF($O70="Complete",$P70,0))</f>
        <v/>
      </c>
      <c r="R70" s="135">
        <f>IF($A70="","",SUM($P$8:$P70))</f>
        <v/>
      </c>
      <c r="S70" s="135">
        <f>IF($A70="","",SUM($Q$8:$Q70))</f>
        <v/>
      </c>
    </row>
    <row r="71">
      <c r="A71" s="41" t="n"/>
      <c r="B71" s="41" t="n"/>
      <c r="C71" s="41" t="n"/>
      <c r="D71" s="34" t="n"/>
      <c r="E71" s="34" t="n"/>
      <c r="F71" s="34" t="n"/>
      <c r="G71" s="44" t="n"/>
      <c r="H71" s="41" t="n"/>
      <c r="I71" s="133" t="n"/>
      <c r="J71" s="134">
        <f>IF(OR(N($G71)=0,N($I71)=0),"",$G71/$I71)</f>
        <v/>
      </c>
      <c r="K71" s="133" t="n"/>
      <c r="L71" s="44" t="n"/>
      <c r="M71" s="134">
        <f>IF($A71="","",SUMIFS(LOGT!$K$7:$K$406,LOGT!$F$7:$F$406,$A71)/60)</f>
        <v/>
      </c>
      <c r="N71" s="26">
        <f>IFERROR(IF(N($M71)=0,"",3+INT((SUMPRODUCT(MAX((LOGT!$F$7:$F$406=$A71)*LOGT!$A$7:$A$406))-DATE(2026,10,5))/7)),"")</f>
        <v/>
      </c>
      <c r="O71" s="41" t="n"/>
      <c r="P71" s="135">
        <f>IF(OR($A71="",SUM(TASK!$K$8:$K$127)=0),"",$K71/SUM(TASK!$K$8:$K$127))</f>
        <v/>
      </c>
      <c r="Q71" s="135">
        <f>IF($A71="","",IF($O71="Complete",$P71,0))</f>
        <v/>
      </c>
      <c r="R71" s="135">
        <f>IF($A71="","",SUM($P$8:$P71))</f>
        <v/>
      </c>
      <c r="S71" s="135">
        <f>IF($A71="","",SUM($Q$8:$Q71))</f>
        <v/>
      </c>
    </row>
    <row r="72">
      <c r="A72" s="41" t="n"/>
      <c r="B72" s="41" t="n"/>
      <c r="C72" s="41" t="n"/>
      <c r="D72" s="34" t="n"/>
      <c r="E72" s="34" t="n"/>
      <c r="F72" s="34" t="n"/>
      <c r="G72" s="44" t="n"/>
      <c r="H72" s="41" t="n"/>
      <c r="I72" s="133" t="n"/>
      <c r="J72" s="134">
        <f>IF(OR(N($G72)=0,N($I72)=0),"",$G72/$I72)</f>
        <v/>
      </c>
      <c r="K72" s="133" t="n"/>
      <c r="L72" s="44" t="n"/>
      <c r="M72" s="134">
        <f>IF($A72="","",SUMIFS(LOGT!$K$7:$K$406,LOGT!$F$7:$F$406,$A72)/60)</f>
        <v/>
      </c>
      <c r="N72" s="26">
        <f>IFERROR(IF(N($M72)=0,"",3+INT((SUMPRODUCT(MAX((LOGT!$F$7:$F$406=$A72)*LOGT!$A$7:$A$406))-DATE(2026,10,5))/7)),"")</f>
        <v/>
      </c>
      <c r="O72" s="41" t="n"/>
      <c r="P72" s="135">
        <f>IF(OR($A72="",SUM(TASK!$K$8:$K$127)=0),"",$K72/SUM(TASK!$K$8:$K$127))</f>
        <v/>
      </c>
      <c r="Q72" s="135">
        <f>IF($A72="","",IF($O72="Complete",$P72,0))</f>
        <v/>
      </c>
      <c r="R72" s="135">
        <f>IF($A72="","",SUM($P$8:$P72))</f>
        <v/>
      </c>
      <c r="S72" s="135">
        <f>IF($A72="","",SUM($Q$8:$Q72))</f>
        <v/>
      </c>
    </row>
    <row r="73">
      <c r="A73" s="41" t="n"/>
      <c r="B73" s="41" t="n"/>
      <c r="C73" s="41" t="n"/>
      <c r="D73" s="34" t="n"/>
      <c r="E73" s="34" t="n"/>
      <c r="F73" s="34" t="n"/>
      <c r="G73" s="44" t="n"/>
      <c r="H73" s="41" t="n"/>
      <c r="I73" s="133" t="n"/>
      <c r="J73" s="134">
        <f>IF(OR(N($G73)=0,N($I73)=0),"",$G73/$I73)</f>
        <v/>
      </c>
      <c r="K73" s="133" t="n"/>
      <c r="L73" s="44" t="n"/>
      <c r="M73" s="134">
        <f>IF($A73="","",SUMIFS(LOGT!$K$7:$K$406,LOGT!$F$7:$F$406,$A73)/60)</f>
        <v/>
      </c>
      <c r="N73" s="26">
        <f>IFERROR(IF(N($M73)=0,"",3+INT((SUMPRODUCT(MAX((LOGT!$F$7:$F$406=$A73)*LOGT!$A$7:$A$406))-DATE(2026,10,5))/7)),"")</f>
        <v/>
      </c>
      <c r="O73" s="41" t="n"/>
      <c r="P73" s="135">
        <f>IF(OR($A73="",SUM(TASK!$K$8:$K$127)=0),"",$K73/SUM(TASK!$K$8:$K$127))</f>
        <v/>
      </c>
      <c r="Q73" s="135">
        <f>IF($A73="","",IF($O73="Complete",$P73,0))</f>
        <v/>
      </c>
      <c r="R73" s="135">
        <f>IF($A73="","",SUM($P$8:$P73))</f>
        <v/>
      </c>
      <c r="S73" s="135">
        <f>IF($A73="","",SUM($Q$8:$Q73))</f>
        <v/>
      </c>
    </row>
    <row r="74">
      <c r="A74" s="41" t="n"/>
      <c r="B74" s="41" t="n"/>
      <c r="C74" s="41" t="n"/>
      <c r="D74" s="34" t="n"/>
      <c r="E74" s="34" t="n"/>
      <c r="F74" s="34" t="n"/>
      <c r="G74" s="44" t="n"/>
      <c r="H74" s="41" t="n"/>
      <c r="I74" s="133" t="n"/>
      <c r="J74" s="134">
        <f>IF(OR(N($G74)=0,N($I74)=0),"",$G74/$I74)</f>
        <v/>
      </c>
      <c r="K74" s="133" t="n"/>
      <c r="L74" s="44" t="n"/>
      <c r="M74" s="134">
        <f>IF($A74="","",SUMIFS(LOGT!$K$7:$K$406,LOGT!$F$7:$F$406,$A74)/60)</f>
        <v/>
      </c>
      <c r="N74" s="26">
        <f>IFERROR(IF(N($M74)=0,"",3+INT((SUMPRODUCT(MAX((LOGT!$F$7:$F$406=$A74)*LOGT!$A$7:$A$406))-DATE(2026,10,5))/7)),"")</f>
        <v/>
      </c>
      <c r="O74" s="41" t="n"/>
      <c r="P74" s="135">
        <f>IF(OR($A74="",SUM(TASK!$K$8:$K$127)=0),"",$K74/SUM(TASK!$K$8:$K$127))</f>
        <v/>
      </c>
      <c r="Q74" s="135">
        <f>IF($A74="","",IF($O74="Complete",$P74,0))</f>
        <v/>
      </c>
      <c r="R74" s="135">
        <f>IF($A74="","",SUM($P$8:$P74))</f>
        <v/>
      </c>
      <c r="S74" s="135">
        <f>IF($A74="","",SUM($Q$8:$Q74))</f>
        <v/>
      </c>
    </row>
    <row r="75">
      <c r="A75" s="41" t="n"/>
      <c r="B75" s="41" t="n"/>
      <c r="C75" s="41" t="n"/>
      <c r="D75" s="34" t="n"/>
      <c r="E75" s="34" t="n"/>
      <c r="F75" s="34" t="n"/>
      <c r="G75" s="44" t="n"/>
      <c r="H75" s="41" t="n"/>
      <c r="I75" s="133" t="n"/>
      <c r="J75" s="134">
        <f>IF(OR(N($G75)=0,N($I75)=0),"",$G75/$I75)</f>
        <v/>
      </c>
      <c r="K75" s="133" t="n"/>
      <c r="L75" s="44" t="n"/>
      <c r="M75" s="134">
        <f>IF($A75="","",SUMIFS(LOGT!$K$7:$K$406,LOGT!$F$7:$F$406,$A75)/60)</f>
        <v/>
      </c>
      <c r="N75" s="26">
        <f>IFERROR(IF(N($M75)=0,"",3+INT((SUMPRODUCT(MAX((LOGT!$F$7:$F$406=$A75)*LOGT!$A$7:$A$406))-DATE(2026,10,5))/7)),"")</f>
        <v/>
      </c>
      <c r="O75" s="41" t="n"/>
      <c r="P75" s="135">
        <f>IF(OR($A75="",SUM(TASK!$K$8:$K$127)=0),"",$K75/SUM(TASK!$K$8:$K$127))</f>
        <v/>
      </c>
      <c r="Q75" s="135">
        <f>IF($A75="","",IF($O75="Complete",$P75,0))</f>
        <v/>
      </c>
      <c r="R75" s="135">
        <f>IF($A75="","",SUM($P$8:$P75))</f>
        <v/>
      </c>
      <c r="S75" s="135">
        <f>IF($A75="","",SUM($Q$8:$Q75))</f>
        <v/>
      </c>
    </row>
    <row r="76">
      <c r="A76" s="41" t="n"/>
      <c r="B76" s="41" t="n"/>
      <c r="C76" s="41" t="n"/>
      <c r="D76" s="34" t="n"/>
      <c r="E76" s="34" t="n"/>
      <c r="F76" s="34" t="n"/>
      <c r="G76" s="44" t="n"/>
      <c r="H76" s="41" t="n"/>
      <c r="I76" s="133" t="n"/>
      <c r="J76" s="134">
        <f>IF(OR(N($G76)=0,N($I76)=0),"",$G76/$I76)</f>
        <v/>
      </c>
      <c r="K76" s="133" t="n"/>
      <c r="L76" s="44" t="n"/>
      <c r="M76" s="134">
        <f>IF($A76="","",SUMIFS(LOGT!$K$7:$K$406,LOGT!$F$7:$F$406,$A76)/60)</f>
        <v/>
      </c>
      <c r="N76" s="26">
        <f>IFERROR(IF(N($M76)=0,"",3+INT((SUMPRODUCT(MAX((LOGT!$F$7:$F$406=$A76)*LOGT!$A$7:$A$406))-DATE(2026,10,5))/7)),"")</f>
        <v/>
      </c>
      <c r="O76" s="41" t="n"/>
      <c r="P76" s="135">
        <f>IF(OR($A76="",SUM(TASK!$K$8:$K$127)=0),"",$K76/SUM(TASK!$K$8:$K$127))</f>
        <v/>
      </c>
      <c r="Q76" s="135">
        <f>IF($A76="","",IF($O76="Complete",$P76,0))</f>
        <v/>
      </c>
      <c r="R76" s="135">
        <f>IF($A76="","",SUM($P$8:$P76))</f>
        <v/>
      </c>
      <c r="S76" s="135">
        <f>IF($A76="","",SUM($Q$8:$Q76))</f>
        <v/>
      </c>
    </row>
    <row r="77">
      <c r="A77" s="41" t="n"/>
      <c r="B77" s="41" t="n"/>
      <c r="C77" s="41" t="n"/>
      <c r="D77" s="34" t="n"/>
      <c r="E77" s="34" t="n"/>
      <c r="F77" s="34" t="n"/>
      <c r="G77" s="44" t="n"/>
      <c r="H77" s="41" t="n"/>
      <c r="I77" s="133" t="n"/>
      <c r="J77" s="134">
        <f>IF(OR(N($G77)=0,N($I77)=0),"",$G77/$I77)</f>
        <v/>
      </c>
      <c r="K77" s="133" t="n"/>
      <c r="L77" s="44" t="n"/>
      <c r="M77" s="134">
        <f>IF($A77="","",SUMIFS(LOGT!$K$7:$K$406,LOGT!$F$7:$F$406,$A77)/60)</f>
        <v/>
      </c>
      <c r="N77" s="26">
        <f>IFERROR(IF(N($M77)=0,"",3+INT((SUMPRODUCT(MAX((LOGT!$F$7:$F$406=$A77)*LOGT!$A$7:$A$406))-DATE(2026,10,5))/7)),"")</f>
        <v/>
      </c>
      <c r="O77" s="41" t="n"/>
      <c r="P77" s="135">
        <f>IF(OR($A77="",SUM(TASK!$K$8:$K$127)=0),"",$K77/SUM(TASK!$K$8:$K$127))</f>
        <v/>
      </c>
      <c r="Q77" s="135">
        <f>IF($A77="","",IF($O77="Complete",$P77,0))</f>
        <v/>
      </c>
      <c r="R77" s="135">
        <f>IF($A77="","",SUM($P$8:$P77))</f>
        <v/>
      </c>
      <c r="S77" s="135">
        <f>IF($A77="","",SUM($Q$8:$Q77))</f>
        <v/>
      </c>
    </row>
    <row r="78">
      <c r="A78" s="41" t="n"/>
      <c r="B78" s="41" t="n"/>
      <c r="C78" s="41" t="n"/>
      <c r="D78" s="34" t="n"/>
      <c r="E78" s="34" t="n"/>
      <c r="F78" s="34" t="n"/>
      <c r="G78" s="44" t="n"/>
      <c r="H78" s="41" t="n"/>
      <c r="I78" s="133" t="n"/>
      <c r="J78" s="134">
        <f>IF(OR(N($G78)=0,N($I78)=0),"",$G78/$I78)</f>
        <v/>
      </c>
      <c r="K78" s="133" t="n"/>
      <c r="L78" s="44" t="n"/>
      <c r="M78" s="134">
        <f>IF($A78="","",SUMIFS(LOGT!$K$7:$K$406,LOGT!$F$7:$F$406,$A78)/60)</f>
        <v/>
      </c>
      <c r="N78" s="26">
        <f>IFERROR(IF(N($M78)=0,"",3+INT((SUMPRODUCT(MAX((LOGT!$F$7:$F$406=$A78)*LOGT!$A$7:$A$406))-DATE(2026,10,5))/7)),"")</f>
        <v/>
      </c>
      <c r="O78" s="41" t="n"/>
      <c r="P78" s="135">
        <f>IF(OR($A78="",SUM(TASK!$K$8:$K$127)=0),"",$K78/SUM(TASK!$K$8:$K$127))</f>
        <v/>
      </c>
      <c r="Q78" s="135">
        <f>IF($A78="","",IF($O78="Complete",$P78,0))</f>
        <v/>
      </c>
      <c r="R78" s="135">
        <f>IF($A78="","",SUM($P$8:$P78))</f>
        <v/>
      </c>
      <c r="S78" s="135">
        <f>IF($A78="","",SUM($Q$8:$Q78))</f>
        <v/>
      </c>
    </row>
    <row r="79">
      <c r="A79" s="41" t="n"/>
      <c r="B79" s="41" t="n"/>
      <c r="C79" s="41" t="n"/>
      <c r="D79" s="34" t="n"/>
      <c r="E79" s="34" t="n"/>
      <c r="F79" s="34" t="n"/>
      <c r="G79" s="44" t="n"/>
      <c r="H79" s="41" t="n"/>
      <c r="I79" s="133" t="n"/>
      <c r="J79" s="134">
        <f>IF(OR(N($G79)=0,N($I79)=0),"",$G79/$I79)</f>
        <v/>
      </c>
      <c r="K79" s="133" t="n"/>
      <c r="L79" s="44" t="n"/>
      <c r="M79" s="134">
        <f>IF($A79="","",SUMIFS(LOGT!$K$7:$K$406,LOGT!$F$7:$F$406,$A79)/60)</f>
        <v/>
      </c>
      <c r="N79" s="26">
        <f>IFERROR(IF(N($M79)=0,"",3+INT((SUMPRODUCT(MAX((LOGT!$F$7:$F$406=$A79)*LOGT!$A$7:$A$406))-DATE(2026,10,5))/7)),"")</f>
        <v/>
      </c>
      <c r="O79" s="41" t="n"/>
      <c r="P79" s="135">
        <f>IF(OR($A79="",SUM(TASK!$K$8:$K$127)=0),"",$K79/SUM(TASK!$K$8:$K$127))</f>
        <v/>
      </c>
      <c r="Q79" s="135">
        <f>IF($A79="","",IF($O79="Complete",$P79,0))</f>
        <v/>
      </c>
      <c r="R79" s="135">
        <f>IF($A79="","",SUM($P$8:$P79))</f>
        <v/>
      </c>
      <c r="S79" s="135">
        <f>IF($A79="","",SUM($Q$8:$Q79))</f>
        <v/>
      </c>
    </row>
    <row r="80">
      <c r="A80" s="41" t="n"/>
      <c r="B80" s="41" t="n"/>
      <c r="C80" s="41" t="n"/>
      <c r="D80" s="34" t="n"/>
      <c r="E80" s="34" t="n"/>
      <c r="F80" s="34" t="n"/>
      <c r="G80" s="44" t="n"/>
      <c r="H80" s="41" t="n"/>
      <c r="I80" s="133" t="n"/>
      <c r="J80" s="134">
        <f>IF(OR(N($G80)=0,N($I80)=0),"",$G80/$I80)</f>
        <v/>
      </c>
      <c r="K80" s="133" t="n"/>
      <c r="L80" s="44" t="n"/>
      <c r="M80" s="134">
        <f>IF($A80="","",SUMIFS(LOGT!$K$7:$K$406,LOGT!$F$7:$F$406,$A80)/60)</f>
        <v/>
      </c>
      <c r="N80" s="26">
        <f>IFERROR(IF(N($M80)=0,"",3+INT((SUMPRODUCT(MAX((LOGT!$F$7:$F$406=$A80)*LOGT!$A$7:$A$406))-DATE(2026,10,5))/7)),"")</f>
        <v/>
      </c>
      <c r="O80" s="41" t="n"/>
      <c r="P80" s="135">
        <f>IF(OR($A80="",SUM(TASK!$K$8:$K$127)=0),"",$K80/SUM(TASK!$K$8:$K$127))</f>
        <v/>
      </c>
      <c r="Q80" s="135">
        <f>IF($A80="","",IF($O80="Complete",$P80,0))</f>
        <v/>
      </c>
      <c r="R80" s="135">
        <f>IF($A80="","",SUM($P$8:$P80))</f>
        <v/>
      </c>
      <c r="S80" s="135">
        <f>IF($A80="","",SUM($Q$8:$Q80))</f>
        <v/>
      </c>
    </row>
    <row r="81">
      <c r="A81" s="41" t="n"/>
      <c r="B81" s="41" t="n"/>
      <c r="C81" s="41" t="n"/>
      <c r="D81" s="34" t="n"/>
      <c r="E81" s="34" t="n"/>
      <c r="F81" s="34" t="n"/>
      <c r="G81" s="44" t="n"/>
      <c r="H81" s="41" t="n"/>
      <c r="I81" s="133" t="n"/>
      <c r="J81" s="134">
        <f>IF(OR(N($G81)=0,N($I81)=0),"",$G81/$I81)</f>
        <v/>
      </c>
      <c r="K81" s="133" t="n"/>
      <c r="L81" s="44" t="n"/>
      <c r="M81" s="134">
        <f>IF($A81="","",SUMIFS(LOGT!$K$7:$K$406,LOGT!$F$7:$F$406,$A81)/60)</f>
        <v/>
      </c>
      <c r="N81" s="26">
        <f>IFERROR(IF(N($M81)=0,"",3+INT((SUMPRODUCT(MAX((LOGT!$F$7:$F$406=$A81)*LOGT!$A$7:$A$406))-DATE(2026,10,5))/7)),"")</f>
        <v/>
      </c>
      <c r="O81" s="41" t="n"/>
      <c r="P81" s="135">
        <f>IF(OR($A81="",SUM(TASK!$K$8:$K$127)=0),"",$K81/SUM(TASK!$K$8:$K$127))</f>
        <v/>
      </c>
      <c r="Q81" s="135">
        <f>IF($A81="","",IF($O81="Complete",$P81,0))</f>
        <v/>
      </c>
      <c r="R81" s="135">
        <f>IF($A81="","",SUM($P$8:$P81))</f>
        <v/>
      </c>
      <c r="S81" s="135">
        <f>IF($A81="","",SUM($Q$8:$Q81))</f>
        <v/>
      </c>
    </row>
    <row r="82">
      <c r="A82" s="41" t="n"/>
      <c r="B82" s="41" t="n"/>
      <c r="C82" s="41" t="n"/>
      <c r="D82" s="34" t="n"/>
      <c r="E82" s="34" t="n"/>
      <c r="F82" s="34" t="n"/>
      <c r="G82" s="44" t="n"/>
      <c r="H82" s="41" t="n"/>
      <c r="I82" s="133" t="n"/>
      <c r="J82" s="134">
        <f>IF(OR(N($G82)=0,N($I82)=0),"",$G82/$I82)</f>
        <v/>
      </c>
      <c r="K82" s="133" t="n"/>
      <c r="L82" s="44" t="n"/>
      <c r="M82" s="134">
        <f>IF($A82="","",SUMIFS(LOGT!$K$7:$K$406,LOGT!$F$7:$F$406,$A82)/60)</f>
        <v/>
      </c>
      <c r="N82" s="26">
        <f>IFERROR(IF(N($M82)=0,"",3+INT((SUMPRODUCT(MAX((LOGT!$F$7:$F$406=$A82)*LOGT!$A$7:$A$406))-DATE(2026,10,5))/7)),"")</f>
        <v/>
      </c>
      <c r="O82" s="41" t="n"/>
      <c r="P82" s="135">
        <f>IF(OR($A82="",SUM(TASK!$K$8:$K$127)=0),"",$K82/SUM(TASK!$K$8:$K$127))</f>
        <v/>
      </c>
      <c r="Q82" s="135">
        <f>IF($A82="","",IF($O82="Complete",$P82,0))</f>
        <v/>
      </c>
      <c r="R82" s="135">
        <f>IF($A82="","",SUM($P$8:$P82))</f>
        <v/>
      </c>
      <c r="S82" s="135">
        <f>IF($A82="","",SUM($Q$8:$Q82))</f>
        <v/>
      </c>
    </row>
    <row r="83">
      <c r="A83" s="41" t="n"/>
      <c r="B83" s="41" t="n"/>
      <c r="C83" s="41" t="n"/>
      <c r="D83" s="34" t="n"/>
      <c r="E83" s="34" t="n"/>
      <c r="F83" s="34" t="n"/>
      <c r="G83" s="44" t="n"/>
      <c r="H83" s="41" t="n"/>
      <c r="I83" s="133" t="n"/>
      <c r="J83" s="134">
        <f>IF(OR(N($G83)=0,N($I83)=0),"",$G83/$I83)</f>
        <v/>
      </c>
      <c r="K83" s="133" t="n"/>
      <c r="L83" s="44" t="n"/>
      <c r="M83" s="134">
        <f>IF($A83="","",SUMIFS(LOGT!$K$7:$K$406,LOGT!$F$7:$F$406,$A83)/60)</f>
        <v/>
      </c>
      <c r="N83" s="26">
        <f>IFERROR(IF(N($M83)=0,"",3+INT((SUMPRODUCT(MAX((LOGT!$F$7:$F$406=$A83)*LOGT!$A$7:$A$406))-DATE(2026,10,5))/7)),"")</f>
        <v/>
      </c>
      <c r="O83" s="41" t="n"/>
      <c r="P83" s="135">
        <f>IF(OR($A83="",SUM(TASK!$K$8:$K$127)=0),"",$K83/SUM(TASK!$K$8:$K$127))</f>
        <v/>
      </c>
      <c r="Q83" s="135">
        <f>IF($A83="","",IF($O83="Complete",$P83,0))</f>
        <v/>
      </c>
      <c r="R83" s="135">
        <f>IF($A83="","",SUM($P$8:$P83))</f>
        <v/>
      </c>
      <c r="S83" s="135">
        <f>IF($A83="","",SUM($Q$8:$Q83))</f>
        <v/>
      </c>
    </row>
    <row r="84">
      <c r="A84" s="41" t="n"/>
      <c r="B84" s="41" t="n"/>
      <c r="C84" s="41" t="n"/>
      <c r="D84" s="34" t="n"/>
      <c r="E84" s="34" t="n"/>
      <c r="F84" s="34" t="n"/>
      <c r="G84" s="44" t="n"/>
      <c r="H84" s="41" t="n"/>
      <c r="I84" s="133" t="n"/>
      <c r="J84" s="134">
        <f>IF(OR(N($G84)=0,N($I84)=0),"",$G84/$I84)</f>
        <v/>
      </c>
      <c r="K84" s="133" t="n"/>
      <c r="L84" s="44" t="n"/>
      <c r="M84" s="134">
        <f>IF($A84="","",SUMIFS(LOGT!$K$7:$K$406,LOGT!$F$7:$F$406,$A84)/60)</f>
        <v/>
      </c>
      <c r="N84" s="26">
        <f>IFERROR(IF(N($M84)=0,"",3+INT((SUMPRODUCT(MAX((LOGT!$F$7:$F$406=$A84)*LOGT!$A$7:$A$406))-DATE(2026,10,5))/7)),"")</f>
        <v/>
      </c>
      <c r="O84" s="41" t="n"/>
      <c r="P84" s="135">
        <f>IF(OR($A84="",SUM(TASK!$K$8:$K$127)=0),"",$K84/SUM(TASK!$K$8:$K$127))</f>
        <v/>
      </c>
      <c r="Q84" s="135">
        <f>IF($A84="","",IF($O84="Complete",$P84,0))</f>
        <v/>
      </c>
      <c r="R84" s="135">
        <f>IF($A84="","",SUM($P$8:$P84))</f>
        <v/>
      </c>
      <c r="S84" s="135">
        <f>IF($A84="","",SUM($Q$8:$Q84))</f>
        <v/>
      </c>
    </row>
    <row r="85">
      <c r="A85" s="41" t="n"/>
      <c r="B85" s="41" t="n"/>
      <c r="C85" s="41" t="n"/>
      <c r="D85" s="34" t="n"/>
      <c r="E85" s="34" t="n"/>
      <c r="F85" s="34" t="n"/>
      <c r="G85" s="44" t="n"/>
      <c r="H85" s="41" t="n"/>
      <c r="I85" s="133" t="n"/>
      <c r="J85" s="134">
        <f>IF(OR(N($G85)=0,N($I85)=0),"",$G85/$I85)</f>
        <v/>
      </c>
      <c r="K85" s="133" t="n"/>
      <c r="L85" s="44" t="n"/>
      <c r="M85" s="134">
        <f>IF($A85="","",SUMIFS(LOGT!$K$7:$K$406,LOGT!$F$7:$F$406,$A85)/60)</f>
        <v/>
      </c>
      <c r="N85" s="26">
        <f>IFERROR(IF(N($M85)=0,"",3+INT((SUMPRODUCT(MAX((LOGT!$F$7:$F$406=$A85)*LOGT!$A$7:$A$406))-DATE(2026,10,5))/7)),"")</f>
        <v/>
      </c>
      <c r="O85" s="41" t="n"/>
      <c r="P85" s="135">
        <f>IF(OR($A85="",SUM(TASK!$K$8:$K$127)=0),"",$K85/SUM(TASK!$K$8:$K$127))</f>
        <v/>
      </c>
      <c r="Q85" s="135">
        <f>IF($A85="","",IF($O85="Complete",$P85,0))</f>
        <v/>
      </c>
      <c r="R85" s="135">
        <f>IF($A85="","",SUM($P$8:$P85))</f>
        <v/>
      </c>
      <c r="S85" s="135">
        <f>IF($A85="","",SUM($Q$8:$Q85))</f>
        <v/>
      </c>
    </row>
    <row r="86">
      <c r="A86" s="41" t="n"/>
      <c r="B86" s="41" t="n"/>
      <c r="C86" s="41" t="n"/>
      <c r="D86" s="34" t="n"/>
      <c r="E86" s="34" t="n"/>
      <c r="F86" s="34" t="n"/>
      <c r="G86" s="44" t="n"/>
      <c r="H86" s="41" t="n"/>
      <c r="I86" s="133" t="n"/>
      <c r="J86" s="134">
        <f>IF(OR(N($G86)=0,N($I86)=0),"",$G86/$I86)</f>
        <v/>
      </c>
      <c r="K86" s="133" t="n"/>
      <c r="L86" s="44" t="n"/>
      <c r="M86" s="134">
        <f>IF($A86="","",SUMIFS(LOGT!$K$7:$K$406,LOGT!$F$7:$F$406,$A86)/60)</f>
        <v/>
      </c>
      <c r="N86" s="26">
        <f>IFERROR(IF(N($M86)=0,"",3+INT((SUMPRODUCT(MAX((LOGT!$F$7:$F$406=$A86)*LOGT!$A$7:$A$406))-DATE(2026,10,5))/7)),"")</f>
        <v/>
      </c>
      <c r="O86" s="41" t="n"/>
      <c r="P86" s="135">
        <f>IF(OR($A86="",SUM(TASK!$K$8:$K$127)=0),"",$K86/SUM(TASK!$K$8:$K$127))</f>
        <v/>
      </c>
      <c r="Q86" s="135">
        <f>IF($A86="","",IF($O86="Complete",$P86,0))</f>
        <v/>
      </c>
      <c r="R86" s="135">
        <f>IF($A86="","",SUM($P$8:$P86))</f>
        <v/>
      </c>
      <c r="S86" s="135">
        <f>IF($A86="","",SUM($Q$8:$Q86))</f>
        <v/>
      </c>
    </row>
    <row r="87">
      <c r="A87" s="41" t="n"/>
      <c r="B87" s="41" t="n"/>
      <c r="C87" s="41" t="n"/>
      <c r="D87" s="34" t="n"/>
      <c r="E87" s="34" t="n"/>
      <c r="F87" s="34" t="n"/>
      <c r="G87" s="44" t="n"/>
      <c r="H87" s="41" t="n"/>
      <c r="I87" s="133" t="n"/>
      <c r="J87" s="134">
        <f>IF(OR(N($G87)=0,N($I87)=0),"",$G87/$I87)</f>
        <v/>
      </c>
      <c r="K87" s="133" t="n"/>
      <c r="L87" s="44" t="n"/>
      <c r="M87" s="134">
        <f>IF($A87="","",SUMIFS(LOGT!$K$7:$K$406,LOGT!$F$7:$F$406,$A87)/60)</f>
        <v/>
      </c>
      <c r="N87" s="26">
        <f>IFERROR(IF(N($M87)=0,"",3+INT((SUMPRODUCT(MAX((LOGT!$F$7:$F$406=$A87)*LOGT!$A$7:$A$406))-DATE(2026,10,5))/7)),"")</f>
        <v/>
      </c>
      <c r="O87" s="41" t="n"/>
      <c r="P87" s="135">
        <f>IF(OR($A87="",SUM(TASK!$K$8:$K$127)=0),"",$K87/SUM(TASK!$K$8:$K$127))</f>
        <v/>
      </c>
      <c r="Q87" s="135">
        <f>IF($A87="","",IF($O87="Complete",$P87,0))</f>
        <v/>
      </c>
      <c r="R87" s="135">
        <f>IF($A87="","",SUM($P$8:$P87))</f>
        <v/>
      </c>
      <c r="S87" s="135">
        <f>IF($A87="","",SUM($Q$8:$Q87))</f>
        <v/>
      </c>
    </row>
    <row r="88">
      <c r="A88" s="41" t="n"/>
      <c r="B88" s="41" t="n"/>
      <c r="C88" s="41" t="n"/>
      <c r="D88" s="34" t="n"/>
      <c r="E88" s="34" t="n"/>
      <c r="F88" s="34" t="n"/>
      <c r="G88" s="44" t="n"/>
      <c r="H88" s="41" t="n"/>
      <c r="I88" s="133" t="n"/>
      <c r="J88" s="134">
        <f>IF(OR(N($G88)=0,N($I88)=0),"",$G88/$I88)</f>
        <v/>
      </c>
      <c r="K88" s="133" t="n"/>
      <c r="L88" s="44" t="n"/>
      <c r="M88" s="134">
        <f>IF($A88="","",SUMIFS(LOGT!$K$7:$K$406,LOGT!$F$7:$F$406,$A88)/60)</f>
        <v/>
      </c>
      <c r="N88" s="26">
        <f>IFERROR(IF(N($M88)=0,"",3+INT((SUMPRODUCT(MAX((LOGT!$F$7:$F$406=$A88)*LOGT!$A$7:$A$406))-DATE(2026,10,5))/7)),"")</f>
        <v/>
      </c>
      <c r="O88" s="41" t="n"/>
      <c r="P88" s="135">
        <f>IF(OR($A88="",SUM(TASK!$K$8:$K$127)=0),"",$K88/SUM(TASK!$K$8:$K$127))</f>
        <v/>
      </c>
      <c r="Q88" s="135">
        <f>IF($A88="","",IF($O88="Complete",$P88,0))</f>
        <v/>
      </c>
      <c r="R88" s="135">
        <f>IF($A88="","",SUM($P$8:$P88))</f>
        <v/>
      </c>
      <c r="S88" s="135">
        <f>IF($A88="","",SUM($Q$8:$Q88))</f>
        <v/>
      </c>
    </row>
    <row r="89">
      <c r="A89" s="41" t="n"/>
      <c r="B89" s="41" t="n"/>
      <c r="C89" s="41" t="n"/>
      <c r="D89" s="34" t="n"/>
      <c r="E89" s="34" t="n"/>
      <c r="F89" s="34" t="n"/>
      <c r="G89" s="44" t="n"/>
      <c r="H89" s="41" t="n"/>
      <c r="I89" s="133" t="n"/>
      <c r="J89" s="134">
        <f>IF(OR(N($G89)=0,N($I89)=0),"",$G89/$I89)</f>
        <v/>
      </c>
      <c r="K89" s="133" t="n"/>
      <c r="L89" s="44" t="n"/>
      <c r="M89" s="134">
        <f>IF($A89="","",SUMIFS(LOGT!$K$7:$K$406,LOGT!$F$7:$F$406,$A89)/60)</f>
        <v/>
      </c>
      <c r="N89" s="26">
        <f>IFERROR(IF(N($M89)=0,"",3+INT((SUMPRODUCT(MAX((LOGT!$F$7:$F$406=$A89)*LOGT!$A$7:$A$406))-DATE(2026,10,5))/7)),"")</f>
        <v/>
      </c>
      <c r="O89" s="41" t="n"/>
      <c r="P89" s="135">
        <f>IF(OR($A89="",SUM(TASK!$K$8:$K$127)=0),"",$K89/SUM(TASK!$K$8:$K$127))</f>
        <v/>
      </c>
      <c r="Q89" s="135">
        <f>IF($A89="","",IF($O89="Complete",$P89,0))</f>
        <v/>
      </c>
      <c r="R89" s="135">
        <f>IF($A89="","",SUM($P$8:$P89))</f>
        <v/>
      </c>
      <c r="S89" s="135">
        <f>IF($A89="","",SUM($Q$8:$Q89))</f>
        <v/>
      </c>
    </row>
    <row r="90">
      <c r="A90" s="41" t="n"/>
      <c r="B90" s="41" t="n"/>
      <c r="C90" s="41" t="n"/>
      <c r="D90" s="34" t="n"/>
      <c r="E90" s="34" t="n"/>
      <c r="F90" s="34" t="n"/>
      <c r="G90" s="44" t="n"/>
      <c r="H90" s="41" t="n"/>
      <c r="I90" s="133" t="n"/>
      <c r="J90" s="134">
        <f>IF(OR(N($G90)=0,N($I90)=0),"",$G90/$I90)</f>
        <v/>
      </c>
      <c r="K90" s="133" t="n"/>
      <c r="L90" s="44" t="n"/>
      <c r="M90" s="134">
        <f>IF($A90="","",SUMIFS(LOGT!$K$7:$K$406,LOGT!$F$7:$F$406,$A90)/60)</f>
        <v/>
      </c>
      <c r="N90" s="26">
        <f>IFERROR(IF(N($M90)=0,"",3+INT((SUMPRODUCT(MAX((LOGT!$F$7:$F$406=$A90)*LOGT!$A$7:$A$406))-DATE(2026,10,5))/7)),"")</f>
        <v/>
      </c>
      <c r="O90" s="41" t="n"/>
      <c r="P90" s="135">
        <f>IF(OR($A90="",SUM(TASK!$K$8:$K$127)=0),"",$K90/SUM(TASK!$K$8:$K$127))</f>
        <v/>
      </c>
      <c r="Q90" s="135">
        <f>IF($A90="","",IF($O90="Complete",$P90,0))</f>
        <v/>
      </c>
      <c r="R90" s="135">
        <f>IF($A90="","",SUM($P$8:$P90))</f>
        <v/>
      </c>
      <c r="S90" s="135">
        <f>IF($A90="","",SUM($Q$8:$Q90))</f>
        <v/>
      </c>
    </row>
    <row r="91">
      <c r="A91" s="41" t="n"/>
      <c r="B91" s="41" t="n"/>
      <c r="C91" s="41" t="n"/>
      <c r="D91" s="34" t="n"/>
      <c r="E91" s="34" t="n"/>
      <c r="F91" s="34" t="n"/>
      <c r="G91" s="44" t="n"/>
      <c r="H91" s="41" t="n"/>
      <c r="I91" s="133" t="n"/>
      <c r="J91" s="134">
        <f>IF(OR(N($G91)=0,N($I91)=0),"",$G91/$I91)</f>
        <v/>
      </c>
      <c r="K91" s="133" t="n"/>
      <c r="L91" s="44" t="n"/>
      <c r="M91" s="134">
        <f>IF($A91="","",SUMIFS(LOGT!$K$7:$K$406,LOGT!$F$7:$F$406,$A91)/60)</f>
        <v/>
      </c>
      <c r="N91" s="26">
        <f>IFERROR(IF(N($M91)=0,"",3+INT((SUMPRODUCT(MAX((LOGT!$F$7:$F$406=$A91)*LOGT!$A$7:$A$406))-DATE(2026,10,5))/7)),"")</f>
        <v/>
      </c>
      <c r="O91" s="41" t="n"/>
      <c r="P91" s="135">
        <f>IF(OR($A91="",SUM(TASK!$K$8:$K$127)=0),"",$K91/SUM(TASK!$K$8:$K$127))</f>
        <v/>
      </c>
      <c r="Q91" s="135">
        <f>IF($A91="","",IF($O91="Complete",$P91,0))</f>
        <v/>
      </c>
      <c r="R91" s="135">
        <f>IF($A91="","",SUM($P$8:$P91))</f>
        <v/>
      </c>
      <c r="S91" s="135">
        <f>IF($A91="","",SUM($Q$8:$Q91))</f>
        <v/>
      </c>
    </row>
    <row r="92">
      <c r="A92" s="41" t="n"/>
      <c r="B92" s="41" t="n"/>
      <c r="C92" s="41" t="n"/>
      <c r="D92" s="34" t="n"/>
      <c r="E92" s="34" t="n"/>
      <c r="F92" s="34" t="n"/>
      <c r="G92" s="44" t="n"/>
      <c r="H92" s="41" t="n"/>
      <c r="I92" s="133" t="n"/>
      <c r="J92" s="134">
        <f>IF(OR(N($G92)=0,N($I92)=0),"",$G92/$I92)</f>
        <v/>
      </c>
      <c r="K92" s="133" t="n"/>
      <c r="L92" s="44" t="n"/>
      <c r="M92" s="134">
        <f>IF($A92="","",SUMIFS(LOGT!$K$7:$K$406,LOGT!$F$7:$F$406,$A92)/60)</f>
        <v/>
      </c>
      <c r="N92" s="26">
        <f>IFERROR(IF(N($M92)=0,"",3+INT((SUMPRODUCT(MAX((LOGT!$F$7:$F$406=$A92)*LOGT!$A$7:$A$406))-DATE(2026,10,5))/7)),"")</f>
        <v/>
      </c>
      <c r="O92" s="41" t="n"/>
      <c r="P92" s="135">
        <f>IF(OR($A92="",SUM(TASK!$K$8:$K$127)=0),"",$K92/SUM(TASK!$K$8:$K$127))</f>
        <v/>
      </c>
      <c r="Q92" s="135">
        <f>IF($A92="","",IF($O92="Complete",$P92,0))</f>
        <v/>
      </c>
      <c r="R92" s="135">
        <f>IF($A92="","",SUM($P$8:$P92))</f>
        <v/>
      </c>
      <c r="S92" s="135">
        <f>IF($A92="","",SUM($Q$8:$Q92))</f>
        <v/>
      </c>
    </row>
    <row r="93">
      <c r="A93" s="41" t="n"/>
      <c r="B93" s="41" t="n"/>
      <c r="C93" s="41" t="n"/>
      <c r="D93" s="34" t="n"/>
      <c r="E93" s="34" t="n"/>
      <c r="F93" s="34" t="n"/>
      <c r="G93" s="44" t="n"/>
      <c r="H93" s="41" t="n"/>
      <c r="I93" s="133" t="n"/>
      <c r="J93" s="134">
        <f>IF(OR(N($G93)=0,N($I93)=0),"",$G93/$I93)</f>
        <v/>
      </c>
      <c r="K93" s="133" t="n"/>
      <c r="L93" s="44" t="n"/>
      <c r="M93" s="134">
        <f>IF($A93="","",SUMIFS(LOGT!$K$7:$K$406,LOGT!$F$7:$F$406,$A93)/60)</f>
        <v/>
      </c>
      <c r="N93" s="26">
        <f>IFERROR(IF(N($M93)=0,"",3+INT((SUMPRODUCT(MAX((LOGT!$F$7:$F$406=$A93)*LOGT!$A$7:$A$406))-DATE(2026,10,5))/7)),"")</f>
        <v/>
      </c>
      <c r="O93" s="41" t="n"/>
      <c r="P93" s="135">
        <f>IF(OR($A93="",SUM(TASK!$K$8:$K$127)=0),"",$K93/SUM(TASK!$K$8:$K$127))</f>
        <v/>
      </c>
      <c r="Q93" s="135">
        <f>IF($A93="","",IF($O93="Complete",$P93,0))</f>
        <v/>
      </c>
      <c r="R93" s="135">
        <f>IF($A93="","",SUM($P$8:$P93))</f>
        <v/>
      </c>
      <c r="S93" s="135">
        <f>IF($A93="","",SUM($Q$8:$Q93))</f>
        <v/>
      </c>
    </row>
    <row r="94">
      <c r="A94" s="41" t="n"/>
      <c r="B94" s="41" t="n"/>
      <c r="C94" s="41" t="n"/>
      <c r="D94" s="34" t="n"/>
      <c r="E94" s="34" t="n"/>
      <c r="F94" s="34" t="n"/>
      <c r="G94" s="44" t="n"/>
      <c r="H94" s="41" t="n"/>
      <c r="I94" s="133" t="n"/>
      <c r="J94" s="134">
        <f>IF(OR(N($G94)=0,N($I94)=0),"",$G94/$I94)</f>
        <v/>
      </c>
      <c r="K94" s="133" t="n"/>
      <c r="L94" s="44" t="n"/>
      <c r="M94" s="134">
        <f>IF($A94="","",SUMIFS(LOGT!$K$7:$K$406,LOGT!$F$7:$F$406,$A94)/60)</f>
        <v/>
      </c>
      <c r="N94" s="26">
        <f>IFERROR(IF(N($M94)=0,"",3+INT((SUMPRODUCT(MAX((LOGT!$F$7:$F$406=$A94)*LOGT!$A$7:$A$406))-DATE(2026,10,5))/7)),"")</f>
        <v/>
      </c>
      <c r="O94" s="41" t="n"/>
      <c r="P94" s="135">
        <f>IF(OR($A94="",SUM(TASK!$K$8:$K$127)=0),"",$K94/SUM(TASK!$K$8:$K$127))</f>
        <v/>
      </c>
      <c r="Q94" s="135">
        <f>IF($A94="","",IF($O94="Complete",$P94,0))</f>
        <v/>
      </c>
      <c r="R94" s="135">
        <f>IF($A94="","",SUM($P$8:$P94))</f>
        <v/>
      </c>
      <c r="S94" s="135">
        <f>IF($A94="","",SUM($Q$8:$Q94))</f>
        <v/>
      </c>
    </row>
    <row r="95">
      <c r="A95" s="41" t="n"/>
      <c r="B95" s="41" t="n"/>
      <c r="C95" s="41" t="n"/>
      <c r="D95" s="34" t="n"/>
      <c r="E95" s="34" t="n"/>
      <c r="F95" s="34" t="n"/>
      <c r="G95" s="44" t="n"/>
      <c r="H95" s="41" t="n"/>
      <c r="I95" s="133" t="n"/>
      <c r="J95" s="134">
        <f>IF(OR(N($G95)=0,N($I95)=0),"",$G95/$I95)</f>
        <v/>
      </c>
      <c r="K95" s="133" t="n"/>
      <c r="L95" s="44" t="n"/>
      <c r="M95" s="134">
        <f>IF($A95="","",SUMIFS(LOGT!$K$7:$K$406,LOGT!$F$7:$F$406,$A95)/60)</f>
        <v/>
      </c>
      <c r="N95" s="26">
        <f>IFERROR(IF(N($M95)=0,"",3+INT((SUMPRODUCT(MAX((LOGT!$F$7:$F$406=$A95)*LOGT!$A$7:$A$406))-DATE(2026,10,5))/7)),"")</f>
        <v/>
      </c>
      <c r="O95" s="41" t="n"/>
      <c r="P95" s="135">
        <f>IF(OR($A95="",SUM(TASK!$K$8:$K$127)=0),"",$K95/SUM(TASK!$K$8:$K$127))</f>
        <v/>
      </c>
      <c r="Q95" s="135">
        <f>IF($A95="","",IF($O95="Complete",$P95,0))</f>
        <v/>
      </c>
      <c r="R95" s="135">
        <f>IF($A95="","",SUM($P$8:$P95))</f>
        <v/>
      </c>
      <c r="S95" s="135">
        <f>IF($A95="","",SUM($Q$8:$Q95))</f>
        <v/>
      </c>
    </row>
    <row r="96">
      <c r="A96" s="41" t="n"/>
      <c r="B96" s="41" t="n"/>
      <c r="C96" s="41" t="n"/>
      <c r="D96" s="34" t="n"/>
      <c r="E96" s="34" t="n"/>
      <c r="F96" s="34" t="n"/>
      <c r="G96" s="44" t="n"/>
      <c r="H96" s="41" t="n"/>
      <c r="I96" s="133" t="n"/>
      <c r="J96" s="134">
        <f>IF(OR(N($G96)=0,N($I96)=0),"",$G96/$I96)</f>
        <v/>
      </c>
      <c r="K96" s="133" t="n"/>
      <c r="L96" s="44" t="n"/>
      <c r="M96" s="134">
        <f>IF($A96="","",SUMIFS(LOGT!$K$7:$K$406,LOGT!$F$7:$F$406,$A96)/60)</f>
        <v/>
      </c>
      <c r="N96" s="26">
        <f>IFERROR(IF(N($M96)=0,"",3+INT((SUMPRODUCT(MAX((LOGT!$F$7:$F$406=$A96)*LOGT!$A$7:$A$406))-DATE(2026,10,5))/7)),"")</f>
        <v/>
      </c>
      <c r="O96" s="41" t="n"/>
      <c r="P96" s="135">
        <f>IF(OR($A96="",SUM(TASK!$K$8:$K$127)=0),"",$K96/SUM(TASK!$K$8:$K$127))</f>
        <v/>
      </c>
      <c r="Q96" s="135">
        <f>IF($A96="","",IF($O96="Complete",$P96,0))</f>
        <v/>
      </c>
      <c r="R96" s="135">
        <f>IF($A96="","",SUM($P$8:$P96))</f>
        <v/>
      </c>
      <c r="S96" s="135">
        <f>IF($A96="","",SUM($Q$8:$Q96))</f>
        <v/>
      </c>
    </row>
    <row r="97">
      <c r="A97" s="41" t="n"/>
      <c r="B97" s="41" t="n"/>
      <c r="C97" s="41" t="n"/>
      <c r="D97" s="34" t="n"/>
      <c r="E97" s="34" t="n"/>
      <c r="F97" s="34" t="n"/>
      <c r="G97" s="44" t="n"/>
      <c r="H97" s="41" t="n"/>
      <c r="I97" s="133" t="n"/>
      <c r="J97" s="134">
        <f>IF(OR(N($G97)=0,N($I97)=0),"",$G97/$I97)</f>
        <v/>
      </c>
      <c r="K97" s="133" t="n"/>
      <c r="L97" s="44" t="n"/>
      <c r="M97" s="134">
        <f>IF($A97="","",SUMIFS(LOGT!$K$7:$K$406,LOGT!$F$7:$F$406,$A97)/60)</f>
        <v/>
      </c>
      <c r="N97" s="26">
        <f>IFERROR(IF(N($M97)=0,"",3+INT((SUMPRODUCT(MAX((LOGT!$F$7:$F$406=$A97)*LOGT!$A$7:$A$406))-DATE(2026,10,5))/7)),"")</f>
        <v/>
      </c>
      <c r="O97" s="41" t="n"/>
      <c r="P97" s="135">
        <f>IF(OR($A97="",SUM(TASK!$K$8:$K$127)=0),"",$K97/SUM(TASK!$K$8:$K$127))</f>
        <v/>
      </c>
      <c r="Q97" s="135">
        <f>IF($A97="","",IF($O97="Complete",$P97,0))</f>
        <v/>
      </c>
      <c r="R97" s="135">
        <f>IF($A97="","",SUM($P$8:$P97))</f>
        <v/>
      </c>
      <c r="S97" s="135">
        <f>IF($A97="","",SUM($Q$8:$Q97))</f>
        <v/>
      </c>
    </row>
    <row r="98">
      <c r="A98" s="41" t="n"/>
      <c r="B98" s="41" t="n"/>
      <c r="C98" s="41" t="n"/>
      <c r="D98" s="34" t="n"/>
      <c r="E98" s="34" t="n"/>
      <c r="F98" s="34" t="n"/>
      <c r="G98" s="44" t="n"/>
      <c r="H98" s="41" t="n"/>
      <c r="I98" s="133" t="n"/>
      <c r="J98" s="134">
        <f>IF(OR(N($G98)=0,N($I98)=0),"",$G98/$I98)</f>
        <v/>
      </c>
      <c r="K98" s="133" t="n"/>
      <c r="L98" s="44" t="n"/>
      <c r="M98" s="134">
        <f>IF($A98="","",SUMIFS(LOGT!$K$7:$K$406,LOGT!$F$7:$F$406,$A98)/60)</f>
        <v/>
      </c>
      <c r="N98" s="26">
        <f>IFERROR(IF(N($M98)=0,"",3+INT((SUMPRODUCT(MAX((LOGT!$F$7:$F$406=$A98)*LOGT!$A$7:$A$406))-DATE(2026,10,5))/7)),"")</f>
        <v/>
      </c>
      <c r="O98" s="41" t="n"/>
      <c r="P98" s="135">
        <f>IF(OR($A98="",SUM(TASK!$K$8:$K$127)=0),"",$K98/SUM(TASK!$K$8:$K$127))</f>
        <v/>
      </c>
      <c r="Q98" s="135">
        <f>IF($A98="","",IF($O98="Complete",$P98,0))</f>
        <v/>
      </c>
      <c r="R98" s="135">
        <f>IF($A98="","",SUM($P$8:$P98))</f>
        <v/>
      </c>
      <c r="S98" s="135">
        <f>IF($A98="","",SUM($Q$8:$Q98))</f>
        <v/>
      </c>
    </row>
    <row r="99">
      <c r="A99" s="41" t="n"/>
      <c r="B99" s="41" t="n"/>
      <c r="C99" s="41" t="n"/>
      <c r="D99" s="34" t="n"/>
      <c r="E99" s="34" t="n"/>
      <c r="F99" s="34" t="n"/>
      <c r="G99" s="44" t="n"/>
      <c r="H99" s="41" t="n"/>
      <c r="I99" s="133" t="n"/>
      <c r="J99" s="134">
        <f>IF(OR(N($G99)=0,N($I99)=0),"",$G99/$I99)</f>
        <v/>
      </c>
      <c r="K99" s="133" t="n"/>
      <c r="L99" s="44" t="n"/>
      <c r="M99" s="134">
        <f>IF($A99="","",SUMIFS(LOGT!$K$7:$K$406,LOGT!$F$7:$F$406,$A99)/60)</f>
        <v/>
      </c>
      <c r="N99" s="26">
        <f>IFERROR(IF(N($M99)=0,"",3+INT((SUMPRODUCT(MAX((LOGT!$F$7:$F$406=$A99)*LOGT!$A$7:$A$406))-DATE(2026,10,5))/7)),"")</f>
        <v/>
      </c>
      <c r="O99" s="41" t="n"/>
      <c r="P99" s="135">
        <f>IF(OR($A99="",SUM(TASK!$K$8:$K$127)=0),"",$K99/SUM(TASK!$K$8:$K$127))</f>
        <v/>
      </c>
      <c r="Q99" s="135">
        <f>IF($A99="","",IF($O99="Complete",$P99,0))</f>
        <v/>
      </c>
      <c r="R99" s="135">
        <f>IF($A99="","",SUM($P$8:$P99))</f>
        <v/>
      </c>
      <c r="S99" s="135">
        <f>IF($A99="","",SUM($Q$8:$Q99))</f>
        <v/>
      </c>
    </row>
    <row r="100">
      <c r="A100" s="41" t="n"/>
      <c r="B100" s="41" t="n"/>
      <c r="C100" s="41" t="n"/>
      <c r="D100" s="34" t="n"/>
      <c r="E100" s="34" t="n"/>
      <c r="F100" s="34" t="n"/>
      <c r="G100" s="44" t="n"/>
      <c r="H100" s="41" t="n"/>
      <c r="I100" s="133" t="n"/>
      <c r="J100" s="134">
        <f>IF(OR(N($G100)=0,N($I100)=0),"",$G100/$I100)</f>
        <v/>
      </c>
      <c r="K100" s="133" t="n"/>
      <c r="L100" s="44" t="n"/>
      <c r="M100" s="134">
        <f>IF($A100="","",SUMIFS(LOGT!$K$7:$K$406,LOGT!$F$7:$F$406,$A100)/60)</f>
        <v/>
      </c>
      <c r="N100" s="26">
        <f>IFERROR(IF(N($M100)=0,"",3+INT((SUMPRODUCT(MAX((LOGT!$F$7:$F$406=$A100)*LOGT!$A$7:$A$406))-DATE(2026,10,5))/7)),"")</f>
        <v/>
      </c>
      <c r="O100" s="41" t="n"/>
      <c r="P100" s="135">
        <f>IF(OR($A100="",SUM(TASK!$K$8:$K$127)=0),"",$K100/SUM(TASK!$K$8:$K$127))</f>
        <v/>
      </c>
      <c r="Q100" s="135">
        <f>IF($A100="","",IF($O100="Complete",$P100,0))</f>
        <v/>
      </c>
      <c r="R100" s="135">
        <f>IF($A100="","",SUM($P$8:$P100))</f>
        <v/>
      </c>
      <c r="S100" s="135">
        <f>IF($A100="","",SUM($Q$8:$Q100))</f>
        <v/>
      </c>
    </row>
    <row r="101">
      <c r="A101" s="41" t="n"/>
      <c r="B101" s="41" t="n"/>
      <c r="C101" s="41" t="n"/>
      <c r="D101" s="34" t="n"/>
      <c r="E101" s="34" t="n"/>
      <c r="F101" s="34" t="n"/>
      <c r="G101" s="44" t="n"/>
      <c r="H101" s="41" t="n"/>
      <c r="I101" s="133" t="n"/>
      <c r="J101" s="134">
        <f>IF(OR(N($G101)=0,N($I101)=0),"",$G101/$I101)</f>
        <v/>
      </c>
      <c r="K101" s="133" t="n"/>
      <c r="L101" s="44" t="n"/>
      <c r="M101" s="134">
        <f>IF($A101="","",SUMIFS(LOGT!$K$7:$K$406,LOGT!$F$7:$F$406,$A101)/60)</f>
        <v/>
      </c>
      <c r="N101" s="26">
        <f>IFERROR(IF(N($M101)=0,"",3+INT((SUMPRODUCT(MAX((LOGT!$F$7:$F$406=$A101)*LOGT!$A$7:$A$406))-DATE(2026,10,5))/7)),"")</f>
        <v/>
      </c>
      <c r="O101" s="41" t="n"/>
      <c r="P101" s="135">
        <f>IF(OR($A101="",SUM(TASK!$K$8:$K$127)=0),"",$K101/SUM(TASK!$K$8:$K$127))</f>
        <v/>
      </c>
      <c r="Q101" s="135">
        <f>IF($A101="","",IF($O101="Complete",$P101,0))</f>
        <v/>
      </c>
      <c r="R101" s="135">
        <f>IF($A101="","",SUM($P$8:$P101))</f>
        <v/>
      </c>
      <c r="S101" s="135">
        <f>IF($A101="","",SUM($Q$8:$Q101))</f>
        <v/>
      </c>
    </row>
    <row r="102">
      <c r="A102" s="41" t="n"/>
      <c r="B102" s="41" t="n"/>
      <c r="C102" s="41" t="n"/>
      <c r="D102" s="34" t="n"/>
      <c r="E102" s="34" t="n"/>
      <c r="F102" s="34" t="n"/>
      <c r="G102" s="44" t="n"/>
      <c r="H102" s="41" t="n"/>
      <c r="I102" s="133" t="n"/>
      <c r="J102" s="134">
        <f>IF(OR(N($G102)=0,N($I102)=0),"",$G102/$I102)</f>
        <v/>
      </c>
      <c r="K102" s="133" t="n"/>
      <c r="L102" s="44" t="n"/>
      <c r="M102" s="134">
        <f>IF($A102="","",SUMIFS(LOGT!$K$7:$K$406,LOGT!$F$7:$F$406,$A102)/60)</f>
        <v/>
      </c>
      <c r="N102" s="26">
        <f>IFERROR(IF(N($M102)=0,"",3+INT((SUMPRODUCT(MAX((LOGT!$F$7:$F$406=$A102)*LOGT!$A$7:$A$406))-DATE(2026,10,5))/7)),"")</f>
        <v/>
      </c>
      <c r="O102" s="41" t="n"/>
      <c r="P102" s="135">
        <f>IF(OR($A102="",SUM(TASK!$K$8:$K$127)=0),"",$K102/SUM(TASK!$K$8:$K$127))</f>
        <v/>
      </c>
      <c r="Q102" s="135">
        <f>IF($A102="","",IF($O102="Complete",$P102,0))</f>
        <v/>
      </c>
      <c r="R102" s="135">
        <f>IF($A102="","",SUM($P$8:$P102))</f>
        <v/>
      </c>
      <c r="S102" s="135">
        <f>IF($A102="","",SUM($Q$8:$Q102))</f>
        <v/>
      </c>
    </row>
    <row r="103">
      <c r="A103" s="41" t="n"/>
      <c r="B103" s="41" t="n"/>
      <c r="C103" s="41" t="n"/>
      <c r="D103" s="34" t="n"/>
      <c r="E103" s="34" t="n"/>
      <c r="F103" s="34" t="n"/>
      <c r="G103" s="44" t="n"/>
      <c r="H103" s="41" t="n"/>
      <c r="I103" s="133" t="n"/>
      <c r="J103" s="134">
        <f>IF(OR(N($G103)=0,N($I103)=0),"",$G103/$I103)</f>
        <v/>
      </c>
      <c r="K103" s="133" t="n"/>
      <c r="L103" s="44" t="n"/>
      <c r="M103" s="134">
        <f>IF($A103="","",SUMIFS(LOGT!$K$7:$K$406,LOGT!$F$7:$F$406,$A103)/60)</f>
        <v/>
      </c>
      <c r="N103" s="26">
        <f>IFERROR(IF(N($M103)=0,"",3+INT((SUMPRODUCT(MAX((LOGT!$F$7:$F$406=$A103)*LOGT!$A$7:$A$406))-DATE(2026,10,5))/7)),"")</f>
        <v/>
      </c>
      <c r="O103" s="41" t="n"/>
      <c r="P103" s="135">
        <f>IF(OR($A103="",SUM(TASK!$K$8:$K$127)=0),"",$K103/SUM(TASK!$K$8:$K$127))</f>
        <v/>
      </c>
      <c r="Q103" s="135">
        <f>IF($A103="","",IF($O103="Complete",$P103,0))</f>
        <v/>
      </c>
      <c r="R103" s="135">
        <f>IF($A103="","",SUM($P$8:$P103))</f>
        <v/>
      </c>
      <c r="S103" s="135">
        <f>IF($A103="","",SUM($Q$8:$Q103))</f>
        <v/>
      </c>
    </row>
    <row r="104">
      <c r="A104" s="41" t="n"/>
      <c r="B104" s="41" t="n"/>
      <c r="C104" s="41" t="n"/>
      <c r="D104" s="34" t="n"/>
      <c r="E104" s="34" t="n"/>
      <c r="F104" s="34" t="n"/>
      <c r="G104" s="44" t="n"/>
      <c r="H104" s="41" t="n"/>
      <c r="I104" s="133" t="n"/>
      <c r="J104" s="134">
        <f>IF(OR(N($G104)=0,N($I104)=0),"",$G104/$I104)</f>
        <v/>
      </c>
      <c r="K104" s="133" t="n"/>
      <c r="L104" s="44" t="n"/>
      <c r="M104" s="134">
        <f>IF($A104="","",SUMIFS(LOGT!$K$7:$K$406,LOGT!$F$7:$F$406,$A104)/60)</f>
        <v/>
      </c>
      <c r="N104" s="26">
        <f>IFERROR(IF(N($M104)=0,"",3+INT((SUMPRODUCT(MAX((LOGT!$F$7:$F$406=$A104)*LOGT!$A$7:$A$406))-DATE(2026,10,5))/7)),"")</f>
        <v/>
      </c>
      <c r="O104" s="41" t="n"/>
      <c r="P104" s="135">
        <f>IF(OR($A104="",SUM(TASK!$K$8:$K$127)=0),"",$K104/SUM(TASK!$K$8:$K$127))</f>
        <v/>
      </c>
      <c r="Q104" s="135">
        <f>IF($A104="","",IF($O104="Complete",$P104,0))</f>
        <v/>
      </c>
      <c r="R104" s="135">
        <f>IF($A104="","",SUM($P$8:$P104))</f>
        <v/>
      </c>
      <c r="S104" s="135">
        <f>IF($A104="","",SUM($Q$8:$Q104))</f>
        <v/>
      </c>
    </row>
    <row r="105">
      <c r="A105" s="41" t="n"/>
      <c r="B105" s="41" t="n"/>
      <c r="C105" s="41" t="n"/>
      <c r="D105" s="34" t="n"/>
      <c r="E105" s="34" t="n"/>
      <c r="F105" s="34" t="n"/>
      <c r="G105" s="44" t="n"/>
      <c r="H105" s="41" t="n"/>
      <c r="I105" s="133" t="n"/>
      <c r="J105" s="134">
        <f>IF(OR(N($G105)=0,N($I105)=0),"",$G105/$I105)</f>
        <v/>
      </c>
      <c r="K105" s="133" t="n"/>
      <c r="L105" s="44" t="n"/>
      <c r="M105" s="134">
        <f>IF($A105="","",SUMIFS(LOGT!$K$7:$K$406,LOGT!$F$7:$F$406,$A105)/60)</f>
        <v/>
      </c>
      <c r="N105" s="26">
        <f>IFERROR(IF(N($M105)=0,"",3+INT((SUMPRODUCT(MAX((LOGT!$F$7:$F$406=$A105)*LOGT!$A$7:$A$406))-DATE(2026,10,5))/7)),"")</f>
        <v/>
      </c>
      <c r="O105" s="41" t="n"/>
      <c r="P105" s="135">
        <f>IF(OR($A105="",SUM(TASK!$K$8:$K$127)=0),"",$K105/SUM(TASK!$K$8:$K$127))</f>
        <v/>
      </c>
      <c r="Q105" s="135">
        <f>IF($A105="","",IF($O105="Complete",$P105,0))</f>
        <v/>
      </c>
      <c r="R105" s="135">
        <f>IF($A105="","",SUM($P$8:$P105))</f>
        <v/>
      </c>
      <c r="S105" s="135">
        <f>IF($A105="","",SUM($Q$8:$Q105))</f>
        <v/>
      </c>
    </row>
    <row r="106">
      <c r="A106" s="41" t="n"/>
      <c r="B106" s="41" t="n"/>
      <c r="C106" s="41" t="n"/>
      <c r="D106" s="34" t="n"/>
      <c r="E106" s="34" t="n"/>
      <c r="F106" s="34" t="n"/>
      <c r="G106" s="44" t="n"/>
      <c r="H106" s="41" t="n"/>
      <c r="I106" s="133" t="n"/>
      <c r="J106" s="134">
        <f>IF(OR(N($G106)=0,N($I106)=0),"",$G106/$I106)</f>
        <v/>
      </c>
      <c r="K106" s="133" t="n"/>
      <c r="L106" s="44" t="n"/>
      <c r="M106" s="134">
        <f>IF($A106="","",SUMIFS(LOGT!$K$7:$K$406,LOGT!$F$7:$F$406,$A106)/60)</f>
        <v/>
      </c>
      <c r="N106" s="26">
        <f>IFERROR(IF(N($M106)=0,"",3+INT((SUMPRODUCT(MAX((LOGT!$F$7:$F$406=$A106)*LOGT!$A$7:$A$406))-DATE(2026,10,5))/7)),"")</f>
        <v/>
      </c>
      <c r="O106" s="41" t="n"/>
      <c r="P106" s="135">
        <f>IF(OR($A106="",SUM(TASK!$K$8:$K$127)=0),"",$K106/SUM(TASK!$K$8:$K$127))</f>
        <v/>
      </c>
      <c r="Q106" s="135">
        <f>IF($A106="","",IF($O106="Complete",$P106,0))</f>
        <v/>
      </c>
      <c r="R106" s="135">
        <f>IF($A106="","",SUM($P$8:$P106))</f>
        <v/>
      </c>
      <c r="S106" s="135">
        <f>IF($A106="","",SUM($Q$8:$Q106))</f>
        <v/>
      </c>
    </row>
    <row r="107">
      <c r="A107" s="41" t="n"/>
      <c r="B107" s="41" t="n"/>
      <c r="C107" s="41" t="n"/>
      <c r="D107" s="34" t="n"/>
      <c r="E107" s="34" t="n"/>
      <c r="F107" s="34" t="n"/>
      <c r="G107" s="44" t="n"/>
      <c r="H107" s="41" t="n"/>
      <c r="I107" s="133" t="n"/>
      <c r="J107" s="134">
        <f>IF(OR(N($G107)=0,N($I107)=0),"",$G107/$I107)</f>
        <v/>
      </c>
      <c r="K107" s="133" t="n"/>
      <c r="L107" s="44" t="n"/>
      <c r="M107" s="134">
        <f>IF($A107="","",SUMIFS(LOGT!$K$7:$K$406,LOGT!$F$7:$F$406,$A107)/60)</f>
        <v/>
      </c>
      <c r="N107" s="26">
        <f>IFERROR(IF(N($M107)=0,"",3+INT((SUMPRODUCT(MAX((LOGT!$F$7:$F$406=$A107)*LOGT!$A$7:$A$406))-DATE(2026,10,5))/7)),"")</f>
        <v/>
      </c>
      <c r="O107" s="41" t="n"/>
      <c r="P107" s="135">
        <f>IF(OR($A107="",SUM(TASK!$K$8:$K$127)=0),"",$K107/SUM(TASK!$K$8:$K$127))</f>
        <v/>
      </c>
      <c r="Q107" s="135">
        <f>IF($A107="","",IF($O107="Complete",$P107,0))</f>
        <v/>
      </c>
      <c r="R107" s="135">
        <f>IF($A107="","",SUM($P$8:$P107))</f>
        <v/>
      </c>
      <c r="S107" s="135">
        <f>IF($A107="","",SUM($Q$8:$Q107))</f>
        <v/>
      </c>
    </row>
    <row r="108">
      <c r="A108" s="41" t="n"/>
      <c r="B108" s="41" t="n"/>
      <c r="C108" s="41" t="n"/>
      <c r="D108" s="34" t="n"/>
      <c r="E108" s="34" t="n"/>
      <c r="F108" s="34" t="n"/>
      <c r="G108" s="44" t="n"/>
      <c r="H108" s="41" t="n"/>
      <c r="I108" s="133" t="n"/>
      <c r="J108" s="134">
        <f>IF(OR(N($G108)=0,N($I108)=0),"",$G108/$I108)</f>
        <v/>
      </c>
      <c r="K108" s="133" t="n"/>
      <c r="L108" s="44" t="n"/>
      <c r="M108" s="134">
        <f>IF($A108="","",SUMIFS(LOGT!$K$7:$K$406,LOGT!$F$7:$F$406,$A108)/60)</f>
        <v/>
      </c>
      <c r="N108" s="26">
        <f>IFERROR(IF(N($M108)=0,"",3+INT((SUMPRODUCT(MAX((LOGT!$F$7:$F$406=$A108)*LOGT!$A$7:$A$406))-DATE(2026,10,5))/7)),"")</f>
        <v/>
      </c>
      <c r="O108" s="41" t="n"/>
      <c r="P108" s="135">
        <f>IF(OR($A108="",SUM(TASK!$K$8:$K$127)=0),"",$K108/SUM(TASK!$K$8:$K$127))</f>
        <v/>
      </c>
      <c r="Q108" s="135">
        <f>IF($A108="","",IF($O108="Complete",$P108,0))</f>
        <v/>
      </c>
      <c r="R108" s="135">
        <f>IF($A108="","",SUM($P$8:$P108))</f>
        <v/>
      </c>
      <c r="S108" s="135">
        <f>IF($A108="","",SUM($Q$8:$Q108))</f>
        <v/>
      </c>
    </row>
    <row r="109">
      <c r="A109" s="41" t="n"/>
      <c r="B109" s="41" t="n"/>
      <c r="C109" s="41" t="n"/>
      <c r="D109" s="34" t="n"/>
      <c r="E109" s="34" t="n"/>
      <c r="F109" s="34" t="n"/>
      <c r="G109" s="44" t="n"/>
      <c r="H109" s="41" t="n"/>
      <c r="I109" s="133" t="n"/>
      <c r="J109" s="134">
        <f>IF(OR(N($G109)=0,N($I109)=0),"",$G109/$I109)</f>
        <v/>
      </c>
      <c r="K109" s="133" t="n"/>
      <c r="L109" s="44" t="n"/>
      <c r="M109" s="134">
        <f>IF($A109="","",SUMIFS(LOGT!$K$7:$K$406,LOGT!$F$7:$F$406,$A109)/60)</f>
        <v/>
      </c>
      <c r="N109" s="26">
        <f>IFERROR(IF(N($M109)=0,"",3+INT((SUMPRODUCT(MAX((LOGT!$F$7:$F$406=$A109)*LOGT!$A$7:$A$406))-DATE(2026,10,5))/7)),"")</f>
        <v/>
      </c>
      <c r="O109" s="41" t="n"/>
      <c r="P109" s="135">
        <f>IF(OR($A109="",SUM(TASK!$K$8:$K$127)=0),"",$K109/SUM(TASK!$K$8:$K$127))</f>
        <v/>
      </c>
      <c r="Q109" s="135">
        <f>IF($A109="","",IF($O109="Complete",$P109,0))</f>
        <v/>
      </c>
      <c r="R109" s="135">
        <f>IF($A109="","",SUM($P$8:$P109))</f>
        <v/>
      </c>
      <c r="S109" s="135">
        <f>IF($A109="","",SUM($Q$8:$Q109))</f>
        <v/>
      </c>
    </row>
    <row r="110">
      <c r="A110" s="41" t="n"/>
      <c r="B110" s="41" t="n"/>
      <c r="C110" s="41" t="n"/>
      <c r="D110" s="34" t="n"/>
      <c r="E110" s="34" t="n"/>
      <c r="F110" s="34" t="n"/>
      <c r="G110" s="44" t="n"/>
      <c r="H110" s="41" t="n"/>
      <c r="I110" s="133" t="n"/>
      <c r="J110" s="134">
        <f>IF(OR(N($G110)=0,N($I110)=0),"",$G110/$I110)</f>
        <v/>
      </c>
      <c r="K110" s="133" t="n"/>
      <c r="L110" s="44" t="n"/>
      <c r="M110" s="134">
        <f>IF($A110="","",SUMIFS(LOGT!$K$7:$K$406,LOGT!$F$7:$F$406,$A110)/60)</f>
        <v/>
      </c>
      <c r="N110" s="26">
        <f>IFERROR(IF(N($M110)=0,"",3+INT((SUMPRODUCT(MAX((LOGT!$F$7:$F$406=$A110)*LOGT!$A$7:$A$406))-DATE(2026,10,5))/7)),"")</f>
        <v/>
      </c>
      <c r="O110" s="41" t="n"/>
      <c r="P110" s="135">
        <f>IF(OR($A110="",SUM(TASK!$K$8:$K$127)=0),"",$K110/SUM(TASK!$K$8:$K$127))</f>
        <v/>
      </c>
      <c r="Q110" s="135">
        <f>IF($A110="","",IF($O110="Complete",$P110,0))</f>
        <v/>
      </c>
      <c r="R110" s="135">
        <f>IF($A110="","",SUM($P$8:$P110))</f>
        <v/>
      </c>
      <c r="S110" s="135">
        <f>IF($A110="","",SUM($Q$8:$Q110))</f>
        <v/>
      </c>
    </row>
    <row r="111">
      <c r="A111" s="41" t="n"/>
      <c r="B111" s="41" t="n"/>
      <c r="C111" s="41" t="n"/>
      <c r="D111" s="34" t="n"/>
      <c r="E111" s="34" t="n"/>
      <c r="F111" s="34" t="n"/>
      <c r="G111" s="44" t="n"/>
      <c r="H111" s="41" t="n"/>
      <c r="I111" s="133" t="n"/>
      <c r="J111" s="134">
        <f>IF(OR(N($G111)=0,N($I111)=0),"",$G111/$I111)</f>
        <v/>
      </c>
      <c r="K111" s="133" t="n"/>
      <c r="L111" s="44" t="n"/>
      <c r="M111" s="134">
        <f>IF($A111="","",SUMIFS(LOGT!$K$7:$K$406,LOGT!$F$7:$F$406,$A111)/60)</f>
        <v/>
      </c>
      <c r="N111" s="26">
        <f>IFERROR(IF(N($M111)=0,"",3+INT((SUMPRODUCT(MAX((LOGT!$F$7:$F$406=$A111)*LOGT!$A$7:$A$406))-DATE(2026,10,5))/7)),"")</f>
        <v/>
      </c>
      <c r="O111" s="41" t="n"/>
      <c r="P111" s="135">
        <f>IF(OR($A111="",SUM(TASK!$K$8:$K$127)=0),"",$K111/SUM(TASK!$K$8:$K$127))</f>
        <v/>
      </c>
      <c r="Q111" s="135">
        <f>IF($A111="","",IF($O111="Complete",$P111,0))</f>
        <v/>
      </c>
      <c r="R111" s="135">
        <f>IF($A111="","",SUM($P$8:$P111))</f>
        <v/>
      </c>
      <c r="S111" s="135">
        <f>IF($A111="","",SUM($Q$8:$Q111))</f>
        <v/>
      </c>
    </row>
    <row r="112">
      <c r="A112" s="41" t="n"/>
      <c r="B112" s="41" t="n"/>
      <c r="C112" s="41" t="n"/>
      <c r="D112" s="34" t="n"/>
      <c r="E112" s="34" t="n"/>
      <c r="F112" s="34" t="n"/>
      <c r="G112" s="44" t="n"/>
      <c r="H112" s="41" t="n"/>
      <c r="I112" s="133" t="n"/>
      <c r="J112" s="134">
        <f>IF(OR(N($G112)=0,N($I112)=0),"",$G112/$I112)</f>
        <v/>
      </c>
      <c r="K112" s="133" t="n"/>
      <c r="L112" s="44" t="n"/>
      <c r="M112" s="134">
        <f>IF($A112="","",SUMIFS(LOGT!$K$7:$K$406,LOGT!$F$7:$F$406,$A112)/60)</f>
        <v/>
      </c>
      <c r="N112" s="26">
        <f>IFERROR(IF(N($M112)=0,"",3+INT((SUMPRODUCT(MAX((LOGT!$F$7:$F$406=$A112)*LOGT!$A$7:$A$406))-DATE(2026,10,5))/7)),"")</f>
        <v/>
      </c>
      <c r="O112" s="41" t="n"/>
      <c r="P112" s="135">
        <f>IF(OR($A112="",SUM(TASK!$K$8:$K$127)=0),"",$K112/SUM(TASK!$K$8:$K$127))</f>
        <v/>
      </c>
      <c r="Q112" s="135">
        <f>IF($A112="","",IF($O112="Complete",$P112,0))</f>
        <v/>
      </c>
      <c r="R112" s="135">
        <f>IF($A112="","",SUM($P$8:$P112))</f>
        <v/>
      </c>
      <c r="S112" s="135">
        <f>IF($A112="","",SUM($Q$8:$Q112))</f>
        <v/>
      </c>
    </row>
    <row r="113">
      <c r="A113" s="41" t="n"/>
      <c r="B113" s="41" t="n"/>
      <c r="C113" s="41" t="n"/>
      <c r="D113" s="34" t="n"/>
      <c r="E113" s="34" t="n"/>
      <c r="F113" s="34" t="n"/>
      <c r="G113" s="44" t="n"/>
      <c r="H113" s="41" t="n"/>
      <c r="I113" s="133" t="n"/>
      <c r="J113" s="134">
        <f>IF(OR(N($G113)=0,N($I113)=0),"",$G113/$I113)</f>
        <v/>
      </c>
      <c r="K113" s="133" t="n"/>
      <c r="L113" s="44" t="n"/>
      <c r="M113" s="134">
        <f>IF($A113="","",SUMIFS(LOGT!$K$7:$K$406,LOGT!$F$7:$F$406,$A113)/60)</f>
        <v/>
      </c>
      <c r="N113" s="26">
        <f>IFERROR(IF(N($M113)=0,"",3+INT((SUMPRODUCT(MAX((LOGT!$F$7:$F$406=$A113)*LOGT!$A$7:$A$406))-DATE(2026,10,5))/7)),"")</f>
        <v/>
      </c>
      <c r="O113" s="41" t="n"/>
      <c r="P113" s="135">
        <f>IF(OR($A113="",SUM(TASK!$K$8:$K$127)=0),"",$K113/SUM(TASK!$K$8:$K$127))</f>
        <v/>
      </c>
      <c r="Q113" s="135">
        <f>IF($A113="","",IF($O113="Complete",$P113,0))</f>
        <v/>
      </c>
      <c r="R113" s="135">
        <f>IF($A113="","",SUM($P$8:$P113))</f>
        <v/>
      </c>
      <c r="S113" s="135">
        <f>IF($A113="","",SUM($Q$8:$Q113))</f>
        <v/>
      </c>
    </row>
    <row r="114">
      <c r="A114" s="41" t="n"/>
      <c r="B114" s="41" t="n"/>
      <c r="C114" s="41" t="n"/>
      <c r="D114" s="34" t="n"/>
      <c r="E114" s="34" t="n"/>
      <c r="F114" s="34" t="n"/>
      <c r="G114" s="44" t="n"/>
      <c r="H114" s="41" t="n"/>
      <c r="I114" s="133" t="n"/>
      <c r="J114" s="134">
        <f>IF(OR(N($G114)=0,N($I114)=0),"",$G114/$I114)</f>
        <v/>
      </c>
      <c r="K114" s="133" t="n"/>
      <c r="L114" s="44" t="n"/>
      <c r="M114" s="134">
        <f>IF($A114="","",SUMIFS(LOGT!$K$7:$K$406,LOGT!$F$7:$F$406,$A114)/60)</f>
        <v/>
      </c>
      <c r="N114" s="26">
        <f>IFERROR(IF(N($M114)=0,"",3+INT((SUMPRODUCT(MAX((LOGT!$F$7:$F$406=$A114)*LOGT!$A$7:$A$406))-DATE(2026,10,5))/7)),"")</f>
        <v/>
      </c>
      <c r="O114" s="41" t="n"/>
      <c r="P114" s="135">
        <f>IF(OR($A114="",SUM(TASK!$K$8:$K$127)=0),"",$K114/SUM(TASK!$K$8:$K$127))</f>
        <v/>
      </c>
      <c r="Q114" s="135">
        <f>IF($A114="","",IF($O114="Complete",$P114,0))</f>
        <v/>
      </c>
      <c r="R114" s="135">
        <f>IF($A114="","",SUM($P$8:$P114))</f>
        <v/>
      </c>
      <c r="S114" s="135">
        <f>IF($A114="","",SUM($Q$8:$Q114))</f>
        <v/>
      </c>
    </row>
    <row r="115">
      <c r="A115" s="41" t="n"/>
      <c r="B115" s="41" t="n"/>
      <c r="C115" s="41" t="n"/>
      <c r="D115" s="34" t="n"/>
      <c r="E115" s="34" t="n"/>
      <c r="F115" s="34" t="n"/>
      <c r="G115" s="44" t="n"/>
      <c r="H115" s="41" t="n"/>
      <c r="I115" s="133" t="n"/>
      <c r="J115" s="134">
        <f>IF(OR(N($G115)=0,N($I115)=0),"",$G115/$I115)</f>
        <v/>
      </c>
      <c r="K115" s="133" t="n"/>
      <c r="L115" s="44" t="n"/>
      <c r="M115" s="134">
        <f>IF($A115="","",SUMIFS(LOGT!$K$7:$K$406,LOGT!$F$7:$F$406,$A115)/60)</f>
        <v/>
      </c>
      <c r="N115" s="26">
        <f>IFERROR(IF(N($M115)=0,"",3+INT((SUMPRODUCT(MAX((LOGT!$F$7:$F$406=$A115)*LOGT!$A$7:$A$406))-DATE(2026,10,5))/7)),"")</f>
        <v/>
      </c>
      <c r="O115" s="41" t="n"/>
      <c r="P115" s="135">
        <f>IF(OR($A115="",SUM(TASK!$K$8:$K$127)=0),"",$K115/SUM(TASK!$K$8:$K$127))</f>
        <v/>
      </c>
      <c r="Q115" s="135">
        <f>IF($A115="","",IF($O115="Complete",$P115,0))</f>
        <v/>
      </c>
      <c r="R115" s="135">
        <f>IF($A115="","",SUM($P$8:$P115))</f>
        <v/>
      </c>
      <c r="S115" s="135">
        <f>IF($A115="","",SUM($Q$8:$Q115))</f>
        <v/>
      </c>
    </row>
    <row r="116">
      <c r="A116" s="41" t="n"/>
      <c r="B116" s="41" t="n"/>
      <c r="C116" s="41" t="n"/>
      <c r="D116" s="34" t="n"/>
      <c r="E116" s="34" t="n"/>
      <c r="F116" s="34" t="n"/>
      <c r="G116" s="44" t="n"/>
      <c r="H116" s="41" t="n"/>
      <c r="I116" s="133" t="n"/>
      <c r="J116" s="134">
        <f>IF(OR(N($G116)=0,N($I116)=0),"",$G116/$I116)</f>
        <v/>
      </c>
      <c r="K116" s="133" t="n"/>
      <c r="L116" s="44" t="n"/>
      <c r="M116" s="134">
        <f>IF($A116="","",SUMIFS(LOGT!$K$7:$K$406,LOGT!$F$7:$F$406,$A116)/60)</f>
        <v/>
      </c>
      <c r="N116" s="26">
        <f>IFERROR(IF(N($M116)=0,"",3+INT((SUMPRODUCT(MAX((LOGT!$F$7:$F$406=$A116)*LOGT!$A$7:$A$406))-DATE(2026,10,5))/7)),"")</f>
        <v/>
      </c>
      <c r="O116" s="41" t="n"/>
      <c r="P116" s="135">
        <f>IF(OR($A116="",SUM(TASK!$K$8:$K$127)=0),"",$K116/SUM(TASK!$K$8:$K$127))</f>
        <v/>
      </c>
      <c r="Q116" s="135">
        <f>IF($A116="","",IF($O116="Complete",$P116,0))</f>
        <v/>
      </c>
      <c r="R116" s="135">
        <f>IF($A116="","",SUM($P$8:$P116))</f>
        <v/>
      </c>
      <c r="S116" s="135">
        <f>IF($A116="","",SUM($Q$8:$Q116))</f>
        <v/>
      </c>
    </row>
    <row r="117">
      <c r="A117" s="41" t="n"/>
      <c r="B117" s="41" t="n"/>
      <c r="C117" s="41" t="n"/>
      <c r="D117" s="34" t="n"/>
      <c r="E117" s="34" t="n"/>
      <c r="F117" s="34" t="n"/>
      <c r="G117" s="44" t="n"/>
      <c r="H117" s="41" t="n"/>
      <c r="I117" s="133" t="n"/>
      <c r="J117" s="134">
        <f>IF(OR(N($G117)=0,N($I117)=0),"",$G117/$I117)</f>
        <v/>
      </c>
      <c r="K117" s="133" t="n"/>
      <c r="L117" s="44" t="n"/>
      <c r="M117" s="134">
        <f>IF($A117="","",SUMIFS(LOGT!$K$7:$K$406,LOGT!$F$7:$F$406,$A117)/60)</f>
        <v/>
      </c>
      <c r="N117" s="26">
        <f>IFERROR(IF(N($M117)=0,"",3+INT((SUMPRODUCT(MAX((LOGT!$F$7:$F$406=$A117)*LOGT!$A$7:$A$406))-DATE(2026,10,5))/7)),"")</f>
        <v/>
      </c>
      <c r="O117" s="41" t="n"/>
      <c r="P117" s="135">
        <f>IF(OR($A117="",SUM(TASK!$K$8:$K$127)=0),"",$K117/SUM(TASK!$K$8:$K$127))</f>
        <v/>
      </c>
      <c r="Q117" s="135">
        <f>IF($A117="","",IF($O117="Complete",$P117,0))</f>
        <v/>
      </c>
      <c r="R117" s="135">
        <f>IF($A117="","",SUM($P$8:$P117))</f>
        <v/>
      </c>
      <c r="S117" s="135">
        <f>IF($A117="","",SUM($Q$8:$Q117))</f>
        <v/>
      </c>
    </row>
    <row r="118">
      <c r="A118" s="41" t="n"/>
      <c r="B118" s="41" t="n"/>
      <c r="C118" s="41" t="n"/>
      <c r="D118" s="34" t="n"/>
      <c r="E118" s="34" t="n"/>
      <c r="F118" s="34" t="n"/>
      <c r="G118" s="44" t="n"/>
      <c r="H118" s="41" t="n"/>
      <c r="I118" s="133" t="n"/>
      <c r="J118" s="134">
        <f>IF(OR(N($G118)=0,N($I118)=0),"",$G118/$I118)</f>
        <v/>
      </c>
      <c r="K118" s="133" t="n"/>
      <c r="L118" s="44" t="n"/>
      <c r="M118" s="134">
        <f>IF($A118="","",SUMIFS(LOGT!$K$7:$K$406,LOGT!$F$7:$F$406,$A118)/60)</f>
        <v/>
      </c>
      <c r="N118" s="26">
        <f>IFERROR(IF(N($M118)=0,"",3+INT((SUMPRODUCT(MAX((LOGT!$F$7:$F$406=$A118)*LOGT!$A$7:$A$406))-DATE(2026,10,5))/7)),"")</f>
        <v/>
      </c>
      <c r="O118" s="41" t="n"/>
      <c r="P118" s="135">
        <f>IF(OR($A118="",SUM(TASK!$K$8:$K$127)=0),"",$K118/SUM(TASK!$K$8:$K$127))</f>
        <v/>
      </c>
      <c r="Q118" s="135">
        <f>IF($A118="","",IF($O118="Complete",$P118,0))</f>
        <v/>
      </c>
      <c r="R118" s="135">
        <f>IF($A118="","",SUM($P$8:$P118))</f>
        <v/>
      </c>
      <c r="S118" s="135">
        <f>IF($A118="","",SUM($Q$8:$Q118))</f>
        <v/>
      </c>
    </row>
    <row r="119">
      <c r="A119" s="41" t="n"/>
      <c r="B119" s="41" t="n"/>
      <c r="C119" s="41" t="n"/>
      <c r="D119" s="34" t="n"/>
      <c r="E119" s="34" t="n"/>
      <c r="F119" s="34" t="n"/>
      <c r="G119" s="44" t="n"/>
      <c r="H119" s="41" t="n"/>
      <c r="I119" s="133" t="n"/>
      <c r="J119" s="134">
        <f>IF(OR(N($G119)=0,N($I119)=0),"",$G119/$I119)</f>
        <v/>
      </c>
      <c r="K119" s="133" t="n"/>
      <c r="L119" s="44" t="n"/>
      <c r="M119" s="134">
        <f>IF($A119="","",SUMIFS(LOGT!$K$7:$K$406,LOGT!$F$7:$F$406,$A119)/60)</f>
        <v/>
      </c>
      <c r="N119" s="26">
        <f>IFERROR(IF(N($M119)=0,"",3+INT((SUMPRODUCT(MAX((LOGT!$F$7:$F$406=$A119)*LOGT!$A$7:$A$406))-DATE(2026,10,5))/7)),"")</f>
        <v/>
      </c>
      <c r="O119" s="41" t="n"/>
      <c r="P119" s="135">
        <f>IF(OR($A119="",SUM(TASK!$K$8:$K$127)=0),"",$K119/SUM(TASK!$K$8:$K$127))</f>
        <v/>
      </c>
      <c r="Q119" s="135">
        <f>IF($A119="","",IF($O119="Complete",$P119,0))</f>
        <v/>
      </c>
      <c r="R119" s="135">
        <f>IF($A119="","",SUM($P$8:$P119))</f>
        <v/>
      </c>
      <c r="S119" s="135">
        <f>IF($A119="","",SUM($Q$8:$Q119))</f>
        <v/>
      </c>
    </row>
    <row r="120">
      <c r="A120" s="41" t="n"/>
      <c r="B120" s="41" t="n"/>
      <c r="C120" s="41" t="n"/>
      <c r="D120" s="34" t="n"/>
      <c r="E120" s="34" t="n"/>
      <c r="F120" s="34" t="n"/>
      <c r="G120" s="44" t="n"/>
      <c r="H120" s="41" t="n"/>
      <c r="I120" s="133" t="n"/>
      <c r="J120" s="134">
        <f>IF(OR(N($G120)=0,N($I120)=0),"",$G120/$I120)</f>
        <v/>
      </c>
      <c r="K120" s="133" t="n"/>
      <c r="L120" s="44" t="n"/>
      <c r="M120" s="134">
        <f>IF($A120="","",SUMIFS(LOGT!$K$7:$K$406,LOGT!$F$7:$F$406,$A120)/60)</f>
        <v/>
      </c>
      <c r="N120" s="26">
        <f>IFERROR(IF(N($M120)=0,"",3+INT((SUMPRODUCT(MAX((LOGT!$F$7:$F$406=$A120)*LOGT!$A$7:$A$406))-DATE(2026,10,5))/7)),"")</f>
        <v/>
      </c>
      <c r="O120" s="41" t="n"/>
      <c r="P120" s="135">
        <f>IF(OR($A120="",SUM(TASK!$K$8:$K$127)=0),"",$K120/SUM(TASK!$K$8:$K$127))</f>
        <v/>
      </c>
      <c r="Q120" s="135">
        <f>IF($A120="","",IF($O120="Complete",$P120,0))</f>
        <v/>
      </c>
      <c r="R120" s="135">
        <f>IF($A120="","",SUM($P$8:$P120))</f>
        <v/>
      </c>
      <c r="S120" s="135">
        <f>IF($A120="","",SUM($Q$8:$Q120))</f>
        <v/>
      </c>
    </row>
    <row r="121">
      <c r="A121" s="41" t="n"/>
      <c r="B121" s="41" t="n"/>
      <c r="C121" s="41" t="n"/>
      <c r="D121" s="34" t="n"/>
      <c r="E121" s="34" t="n"/>
      <c r="F121" s="34" t="n"/>
      <c r="G121" s="44" t="n"/>
      <c r="H121" s="41" t="n"/>
      <c r="I121" s="133" t="n"/>
      <c r="J121" s="134">
        <f>IF(OR(N($G121)=0,N($I121)=0),"",$G121/$I121)</f>
        <v/>
      </c>
      <c r="K121" s="133" t="n"/>
      <c r="L121" s="44" t="n"/>
      <c r="M121" s="134">
        <f>IF($A121="","",SUMIFS(LOGT!$K$7:$K$406,LOGT!$F$7:$F$406,$A121)/60)</f>
        <v/>
      </c>
      <c r="N121" s="26">
        <f>IFERROR(IF(N($M121)=0,"",3+INT((SUMPRODUCT(MAX((LOGT!$F$7:$F$406=$A121)*LOGT!$A$7:$A$406))-DATE(2026,10,5))/7)),"")</f>
        <v/>
      </c>
      <c r="O121" s="41" t="n"/>
      <c r="P121" s="135">
        <f>IF(OR($A121="",SUM(TASK!$K$8:$K$127)=0),"",$K121/SUM(TASK!$K$8:$K$127))</f>
        <v/>
      </c>
      <c r="Q121" s="135">
        <f>IF($A121="","",IF($O121="Complete",$P121,0))</f>
        <v/>
      </c>
      <c r="R121" s="135">
        <f>IF($A121="","",SUM($P$8:$P121))</f>
        <v/>
      </c>
      <c r="S121" s="135">
        <f>IF($A121="","",SUM($Q$8:$Q121))</f>
        <v/>
      </c>
    </row>
    <row r="122">
      <c r="A122" s="41" t="n"/>
      <c r="B122" s="41" t="n"/>
      <c r="C122" s="41" t="n"/>
      <c r="D122" s="34" t="n"/>
      <c r="E122" s="34" t="n"/>
      <c r="F122" s="34" t="n"/>
      <c r="G122" s="44" t="n"/>
      <c r="H122" s="41" t="n"/>
      <c r="I122" s="133" t="n"/>
      <c r="J122" s="134">
        <f>IF(OR(N($G122)=0,N($I122)=0),"",$G122/$I122)</f>
        <v/>
      </c>
      <c r="K122" s="133" t="n"/>
      <c r="L122" s="44" t="n"/>
      <c r="M122" s="134">
        <f>IF($A122="","",SUMIFS(LOGT!$K$7:$K$406,LOGT!$F$7:$F$406,$A122)/60)</f>
        <v/>
      </c>
      <c r="N122" s="26">
        <f>IFERROR(IF(N($M122)=0,"",3+INT((SUMPRODUCT(MAX((LOGT!$F$7:$F$406=$A122)*LOGT!$A$7:$A$406))-DATE(2026,10,5))/7)),"")</f>
        <v/>
      </c>
      <c r="O122" s="41" t="n"/>
      <c r="P122" s="135">
        <f>IF(OR($A122="",SUM(TASK!$K$8:$K$127)=0),"",$K122/SUM(TASK!$K$8:$K$127))</f>
        <v/>
      </c>
      <c r="Q122" s="135">
        <f>IF($A122="","",IF($O122="Complete",$P122,0))</f>
        <v/>
      </c>
      <c r="R122" s="135">
        <f>IF($A122="","",SUM($P$8:$P122))</f>
        <v/>
      </c>
      <c r="S122" s="135">
        <f>IF($A122="","",SUM($Q$8:$Q122))</f>
        <v/>
      </c>
    </row>
    <row r="123">
      <c r="A123" s="41" t="n"/>
      <c r="B123" s="41" t="n"/>
      <c r="C123" s="41" t="n"/>
      <c r="D123" s="34" t="n"/>
      <c r="E123" s="34" t="n"/>
      <c r="F123" s="34" t="n"/>
      <c r="G123" s="44" t="n"/>
      <c r="H123" s="41" t="n"/>
      <c r="I123" s="133" t="n"/>
      <c r="J123" s="134">
        <f>IF(OR(N($G123)=0,N($I123)=0),"",$G123/$I123)</f>
        <v/>
      </c>
      <c r="K123" s="133" t="n"/>
      <c r="L123" s="44" t="n"/>
      <c r="M123" s="134">
        <f>IF($A123="","",SUMIFS(LOGT!$K$7:$K$406,LOGT!$F$7:$F$406,$A123)/60)</f>
        <v/>
      </c>
      <c r="N123" s="26">
        <f>IFERROR(IF(N($M123)=0,"",3+INT((SUMPRODUCT(MAX((LOGT!$F$7:$F$406=$A123)*LOGT!$A$7:$A$406))-DATE(2026,10,5))/7)),"")</f>
        <v/>
      </c>
      <c r="O123" s="41" t="n"/>
      <c r="P123" s="135">
        <f>IF(OR($A123="",SUM(TASK!$K$8:$K$127)=0),"",$K123/SUM(TASK!$K$8:$K$127))</f>
        <v/>
      </c>
      <c r="Q123" s="135">
        <f>IF($A123="","",IF($O123="Complete",$P123,0))</f>
        <v/>
      </c>
      <c r="R123" s="135">
        <f>IF($A123="","",SUM($P$8:$P123))</f>
        <v/>
      </c>
      <c r="S123" s="135">
        <f>IF($A123="","",SUM($Q$8:$Q123))</f>
        <v/>
      </c>
    </row>
    <row r="124">
      <c r="A124" s="41" t="n"/>
      <c r="B124" s="41" t="n"/>
      <c r="C124" s="41" t="n"/>
      <c r="D124" s="34" t="n"/>
      <c r="E124" s="34" t="n"/>
      <c r="F124" s="34" t="n"/>
      <c r="G124" s="44" t="n"/>
      <c r="H124" s="41" t="n"/>
      <c r="I124" s="133" t="n"/>
      <c r="J124" s="134">
        <f>IF(OR(N($G124)=0,N($I124)=0),"",$G124/$I124)</f>
        <v/>
      </c>
      <c r="K124" s="133" t="n"/>
      <c r="L124" s="44" t="n"/>
      <c r="M124" s="134">
        <f>IF($A124="","",SUMIFS(LOGT!$K$7:$K$406,LOGT!$F$7:$F$406,$A124)/60)</f>
        <v/>
      </c>
      <c r="N124" s="26">
        <f>IFERROR(IF(N($M124)=0,"",3+INT((SUMPRODUCT(MAX((LOGT!$F$7:$F$406=$A124)*LOGT!$A$7:$A$406))-DATE(2026,10,5))/7)),"")</f>
        <v/>
      </c>
      <c r="O124" s="41" t="n"/>
      <c r="P124" s="135">
        <f>IF(OR($A124="",SUM(TASK!$K$8:$K$127)=0),"",$K124/SUM(TASK!$K$8:$K$127))</f>
        <v/>
      </c>
      <c r="Q124" s="135">
        <f>IF($A124="","",IF($O124="Complete",$P124,0))</f>
        <v/>
      </c>
      <c r="R124" s="135">
        <f>IF($A124="","",SUM($P$8:$P124))</f>
        <v/>
      </c>
      <c r="S124" s="135">
        <f>IF($A124="","",SUM($Q$8:$Q124))</f>
        <v/>
      </c>
    </row>
    <row r="125">
      <c r="A125" s="41" t="n"/>
      <c r="B125" s="41" t="n"/>
      <c r="C125" s="41" t="n"/>
      <c r="D125" s="34" t="n"/>
      <c r="E125" s="34" t="n"/>
      <c r="F125" s="34" t="n"/>
      <c r="G125" s="44" t="n"/>
      <c r="H125" s="41" t="n"/>
      <c r="I125" s="133" t="n"/>
      <c r="J125" s="134">
        <f>IF(OR(N($G125)=0,N($I125)=0),"",$G125/$I125)</f>
        <v/>
      </c>
      <c r="K125" s="133" t="n"/>
      <c r="L125" s="44" t="n"/>
      <c r="M125" s="134">
        <f>IF($A125="","",SUMIFS(LOGT!$K$7:$K$406,LOGT!$F$7:$F$406,$A125)/60)</f>
        <v/>
      </c>
      <c r="N125" s="26">
        <f>IFERROR(IF(N($M125)=0,"",3+INT((SUMPRODUCT(MAX((LOGT!$F$7:$F$406=$A125)*LOGT!$A$7:$A$406))-DATE(2026,10,5))/7)),"")</f>
        <v/>
      </c>
      <c r="O125" s="41" t="n"/>
      <c r="P125" s="135">
        <f>IF(OR($A125="",SUM(TASK!$K$8:$K$127)=0),"",$K125/SUM(TASK!$K$8:$K$127))</f>
        <v/>
      </c>
      <c r="Q125" s="135">
        <f>IF($A125="","",IF($O125="Complete",$P125,0))</f>
        <v/>
      </c>
      <c r="R125" s="135">
        <f>IF($A125="","",SUM($P$8:$P125))</f>
        <v/>
      </c>
      <c r="S125" s="135">
        <f>IF($A125="","",SUM($Q$8:$Q125))</f>
        <v/>
      </c>
    </row>
    <row r="126">
      <c r="A126" s="41" t="n"/>
      <c r="B126" s="41" t="n"/>
      <c r="C126" s="41" t="n"/>
      <c r="D126" s="34" t="n"/>
      <c r="E126" s="34" t="n"/>
      <c r="F126" s="34" t="n"/>
      <c r="G126" s="44" t="n"/>
      <c r="H126" s="41" t="n"/>
      <c r="I126" s="133" t="n"/>
      <c r="J126" s="134">
        <f>IF(OR(N($G126)=0,N($I126)=0),"",$G126/$I126)</f>
        <v/>
      </c>
      <c r="K126" s="133" t="n"/>
      <c r="L126" s="44" t="n"/>
      <c r="M126" s="134">
        <f>IF($A126="","",SUMIFS(LOGT!$K$7:$K$406,LOGT!$F$7:$F$406,$A126)/60)</f>
        <v/>
      </c>
      <c r="N126" s="26">
        <f>IFERROR(IF(N($M126)=0,"",3+INT((SUMPRODUCT(MAX((LOGT!$F$7:$F$406=$A126)*LOGT!$A$7:$A$406))-DATE(2026,10,5))/7)),"")</f>
        <v/>
      </c>
      <c r="O126" s="41" t="n"/>
      <c r="P126" s="135">
        <f>IF(OR($A126="",SUM(TASK!$K$8:$K$127)=0),"",$K126/SUM(TASK!$K$8:$K$127))</f>
        <v/>
      </c>
      <c r="Q126" s="135">
        <f>IF($A126="","",IF($O126="Complete",$P126,0))</f>
        <v/>
      </c>
      <c r="R126" s="135">
        <f>IF($A126="","",SUM($P$8:$P126))</f>
        <v/>
      </c>
      <c r="S126" s="135">
        <f>IF($A126="","",SUM($Q$8:$Q126))</f>
        <v/>
      </c>
    </row>
    <row r="127">
      <c r="A127" s="41" t="n"/>
      <c r="B127" s="41" t="n"/>
      <c r="C127" s="41" t="n"/>
      <c r="D127" s="34" t="n"/>
      <c r="E127" s="34" t="n"/>
      <c r="F127" s="34" t="n"/>
      <c r="G127" s="44" t="n"/>
      <c r="H127" s="41" t="n"/>
      <c r="I127" s="133" t="n"/>
      <c r="J127" s="134">
        <f>IF(OR(N($G127)=0,N($I127)=0),"",$G127/$I127)</f>
        <v/>
      </c>
      <c r="K127" s="133" t="n"/>
      <c r="L127" s="44" t="n"/>
      <c r="M127" s="134">
        <f>IF($A127="","",SUMIFS(LOGT!$K$7:$K$406,LOGT!$F$7:$F$406,$A127)/60)</f>
        <v/>
      </c>
      <c r="N127" s="26">
        <f>IFERROR(IF(N($M127)=0,"",3+INT((SUMPRODUCT(MAX((LOGT!$F$7:$F$406=$A127)*LOGT!$A$7:$A$406))-DATE(2026,10,5))/7)),"")</f>
        <v/>
      </c>
      <c r="O127" s="41" t="n"/>
      <c r="P127" s="135">
        <f>IF(OR($A127="",SUM(TASK!$K$8:$K$127)=0),"",$K127/SUM(TASK!$K$8:$K$127))</f>
        <v/>
      </c>
      <c r="Q127" s="135">
        <f>IF($A127="","",IF($O127="Complete",$P127,0))</f>
        <v/>
      </c>
      <c r="R127" s="135">
        <f>IF($A127="","",SUM($P$8:$P127))</f>
        <v/>
      </c>
      <c r="S127" s="135">
        <f>IF($A127="","",SUM($Q$8:$Q127))</f>
        <v/>
      </c>
    </row>
  </sheetData>
  <mergeCells count="2">
    <mergeCell ref="A2:S2"/>
    <mergeCell ref="A1:S1"/>
  </mergeCells>
  <conditionalFormatting sqref="M8:M127">
    <cfRule type="expression" priority="1" dxfId="6">
      <formula>AND(N($K8)&gt;0,$M8&gt;1.5*$K8)</formula>
    </cfRule>
  </conditionalFormatting>
  <conditionalFormatting sqref="O8:O127">
    <cfRule type="cellIs" priority="2" operator="equal" dxfId="5">
      <formula>"Complete"</formula>
    </cfRule>
    <cfRule type="cellIs" priority="3" operator="equal" dxfId="6">
      <formula>"Blocked"</formula>
    </cfRule>
  </conditionalFormatting>
  <dataValidations count="6">
    <dataValidation sqref="B8:B127" showDropDown="0" showInputMessage="0" showErrorMessage="0" allowBlank="1" error="Pick a value from the list." promptTitle="Milestone" type="list">
      <formula1>=LISTS!$D$5:$D$8</formula1>
    </dataValidation>
    <dataValidation sqref="C8:C127" showDropDown="0" showInputMessage="0" showErrorMessage="0" allowBlank="1" error="Pick a value from the list." promptTitle="Phase" type="list">
      <formula1>=LISTS!$A$5:$A$31</formula1>
    </dataValidation>
    <dataValidation sqref="F8:F127" showDropDown="0" showInputMessage="0" showErrorMessage="0" allowBlank="1" error="Pick a value from the list." promptTitle="Owner" type="list">
      <formula1>=LISTS!$H$5:$H$10</formula1>
    </dataValidation>
    <dataValidation sqref="H8:H127" showDropDown="0" showInputMessage="0" showErrorMessage="0" allowBlank="1" error="Pick a value from the list." promptTitle="Size measure" type="list">
      <formula1>=LISTS!$F$5:$F$12</formula1>
    </dataValidation>
    <dataValidation sqref="L8:L127" showDropDown="0" showInputMessage="0" showErrorMessage="0" allowBlank="1" error="Pick a value from the list." promptTitle="Plan week" type="list">
      <formula1>=LISTS!$K$5:$K$17</formula1>
    </dataValidation>
    <dataValidation sqref="O8:O127" showDropDown="0" showInputMessage="0" showErrorMessage="0" allowBlank="1" error="Pick a value from the list." promptTitle="Status" type="list">
      <formula1>=LISTS!$Q$5:$Q$9</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14505C"/>
    <outlinePr summaryBelow="1" summaryRight="1"/>
    <pageSetUpPr fitToPage="1"/>
  </sheetPr>
  <dimension ref="A1:L21"/>
  <sheetViews>
    <sheetView showGridLines="0" workbookViewId="0">
      <pane ySplit="7" topLeftCell="A8" activePane="bottomLeft" state="frozen"/>
      <selection pane="bottomLeft" activeCell="A1" sqref="A1"/>
    </sheetView>
  </sheetViews>
  <sheetFormatPr baseColWidth="8" defaultRowHeight="15" outlineLevelCol="0"/>
  <cols>
    <col width="8" customWidth="1" min="1" max="1"/>
    <col width="1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 width="32" customWidth="1" min="12" max="12"/>
  </cols>
  <sheetData>
    <row r="1" ht="30" customHeight="1">
      <c r="A1" s="1" t="inlineStr">
        <is>
          <t>Form SCHEDULE  -  Weekly Schedule &amp; Earned Value</t>
        </is>
      </c>
    </row>
    <row r="2" ht="16" customHeight="1">
      <c r="A2" s="2" t="inlineStr">
        <is>
          <t>Planned hours are what the team commits to. Earned value is what it actually delivered.</t>
        </is>
      </c>
    </row>
    <row r="4">
      <c r="A4" s="23" t="inlineStr">
        <is>
          <t>Team</t>
        </is>
      </c>
      <c r="B4" s="24">
        <f>SETUP!$C$10</f>
        <v/>
      </c>
      <c r="E4" s="23" t="inlineStr">
        <is>
          <t>Task plan hrs</t>
        </is>
      </c>
      <c r="F4" s="130">
        <f>SUM(TASK!$K$8:$K$127)</f>
        <v/>
      </c>
      <c r="G4" s="23" t="inlineStr">
        <is>
          <t>Schedule plan hrs</t>
        </is>
      </c>
      <c r="H4" s="130">
        <f>SUM(C8:C20)</f>
        <v/>
      </c>
      <c r="I4" s="23" t="inlineStr">
        <is>
          <t>Difference</t>
        </is>
      </c>
      <c r="J4" s="130">
        <f>H4-F4</f>
        <v/>
      </c>
    </row>
    <row r="7" ht="30" customHeight="1">
      <c r="A7" s="6" t="inlineStr">
        <is>
          <t>Week</t>
        </is>
      </c>
      <c r="B7" s="6" t="inlineStr">
        <is>
          <t>Week starting</t>
        </is>
      </c>
      <c r="C7" s="6" t="inlineStr">
        <is>
          <t>Plan hrs</t>
        </is>
      </c>
      <c r="D7" s="6" t="inlineStr">
        <is>
          <t>Cum plan</t>
        </is>
      </c>
      <c r="E7" s="6" t="inlineStr">
        <is>
          <t>Actual hrs</t>
        </is>
      </c>
      <c r="F7" s="6" t="inlineStr">
        <is>
          <t>Cum actual</t>
        </is>
      </c>
      <c r="G7" s="6" t="inlineStr">
        <is>
          <t>Plan value</t>
        </is>
      </c>
      <c r="H7" s="6" t="inlineStr">
        <is>
          <t>Cum PV</t>
        </is>
      </c>
      <c r="I7" s="6" t="inlineStr">
        <is>
          <t>Earned value</t>
        </is>
      </c>
      <c r="J7" s="6" t="inlineStr">
        <is>
          <t>Cum EV</t>
        </is>
      </c>
      <c r="K7" s="6" t="inlineStr">
        <is>
          <t>EV vs PV</t>
        </is>
      </c>
      <c r="L7" s="6" t="inlineStr">
        <is>
          <t>Comment</t>
        </is>
      </c>
    </row>
    <row r="8">
      <c r="A8" s="71" t="n">
        <v>3</v>
      </c>
      <c r="B8" s="136" t="n">
        <v>46300</v>
      </c>
      <c r="C8" s="133" t="n">
        <v>28.5</v>
      </c>
      <c r="D8" s="134">
        <f>SUM($C$8:$C8)</f>
        <v/>
      </c>
      <c r="E8" s="134">
        <f>SUMIFS(LOGT!$K$7:$K$406,LOGT!$D$7:$D$406,$A8)/60</f>
        <v/>
      </c>
      <c r="F8" s="134">
        <f>SUM($E$8:$E8)</f>
        <v/>
      </c>
      <c r="G8" s="135">
        <f>SUMIFS(TASK!$P$8:$P$127,TASK!$L$8:$L$127,$A8)</f>
        <v/>
      </c>
      <c r="H8" s="135">
        <f>SUM($G$8:$G8)</f>
        <v/>
      </c>
      <c r="I8" s="135">
        <f>SUMIFS(TASK!$Q$8:$Q$127,TASK!$N$8:$N$127,$A8)</f>
        <v/>
      </c>
      <c r="J8" s="135">
        <f>SUM($I$8:$I8)</f>
        <v/>
      </c>
      <c r="K8" s="135">
        <f>$J8-$H8</f>
        <v/>
      </c>
      <c r="L8" s="34" t="inlineStr">
        <is>
          <t>Launch week - plan built here</t>
        </is>
      </c>
    </row>
    <row r="9">
      <c r="A9" s="71" t="n">
        <v>4</v>
      </c>
      <c r="B9" s="136" t="n">
        <v>46307</v>
      </c>
      <c r="C9" s="133" t="n">
        <v>45.5</v>
      </c>
      <c r="D9" s="134">
        <f>SUM($C$8:$C9)</f>
        <v/>
      </c>
      <c r="E9" s="134">
        <f>SUMIFS(LOGT!$K$7:$K$406,LOGT!$D$7:$D$406,$A9)/60</f>
        <v/>
      </c>
      <c r="F9" s="134">
        <f>SUM($E$8:$E9)</f>
        <v/>
      </c>
      <c r="G9" s="135">
        <f>SUMIFS(TASK!$P$8:$P$127,TASK!$L$8:$L$127,$A9)</f>
        <v/>
      </c>
      <c r="H9" s="135">
        <f>SUM($G$8:$G9)</f>
        <v/>
      </c>
      <c r="I9" s="135">
        <f>SUMIFS(TASK!$Q$8:$Q$127,TASK!$N$8:$N$127,$A9)</f>
        <v/>
      </c>
      <c r="J9" s="135">
        <f>SUM($I$8:$I9)</f>
        <v/>
      </c>
      <c r="K9" s="135">
        <f>$J9-$H9</f>
        <v/>
      </c>
      <c r="L9" s="34" t="n"/>
    </row>
    <row r="10">
      <c r="A10" s="71" t="n">
        <v>5</v>
      </c>
      <c r="B10" s="136" t="n">
        <v>46314</v>
      </c>
      <c r="C10" s="133" t="n">
        <v>51.5</v>
      </c>
      <c r="D10" s="134">
        <f>SUM($C$8:$C10)</f>
        <v/>
      </c>
      <c r="E10" s="134">
        <f>SUMIFS(LOGT!$K$7:$K$406,LOGT!$D$7:$D$406,$A10)/60</f>
        <v/>
      </c>
      <c r="F10" s="134">
        <f>SUM($E$8:$E10)</f>
        <v/>
      </c>
      <c r="G10" s="135">
        <f>SUMIFS(TASK!$P$8:$P$127,TASK!$L$8:$L$127,$A10)</f>
        <v/>
      </c>
      <c r="H10" s="135">
        <f>SUM($G$8:$G10)</f>
        <v/>
      </c>
      <c r="I10" s="135">
        <f>SUMIFS(TASK!$Q$8:$Q$127,TASK!$N$8:$N$127,$A10)</f>
        <v/>
      </c>
      <c r="J10" s="135">
        <f>SUM($I$8:$I10)</f>
        <v/>
      </c>
      <c r="K10" s="135">
        <f>$J10-$H10</f>
        <v/>
      </c>
      <c r="L10" s="34" t="inlineStr">
        <is>
          <t>M1 submitted</t>
        </is>
      </c>
    </row>
    <row r="11">
      <c r="A11" s="71" t="n">
        <v>6</v>
      </c>
      <c r="B11" s="136" t="n">
        <v>46321</v>
      </c>
      <c r="C11" s="133" t="n">
        <v>60</v>
      </c>
      <c r="D11" s="134">
        <f>SUM($C$8:$C11)</f>
        <v/>
      </c>
      <c r="E11" s="134">
        <f>SUMIFS(LOGT!$K$7:$K$406,LOGT!$D$7:$D$406,$A11)/60</f>
        <v/>
      </c>
      <c r="F11" s="134">
        <f>SUM($E$8:$E11)</f>
        <v/>
      </c>
      <c r="G11" s="135">
        <f>SUMIFS(TASK!$P$8:$P$127,TASK!$L$8:$L$127,$A11)</f>
        <v/>
      </c>
      <c r="H11" s="135">
        <f>SUM($G$8:$G11)</f>
        <v/>
      </c>
      <c r="I11" s="135">
        <f>SUMIFS(TASK!$Q$8:$Q$127,TASK!$N$8:$N$127,$A11)</f>
        <v/>
      </c>
      <c r="J11" s="135">
        <f>SUM($I$8:$I11)</f>
        <v/>
      </c>
      <c r="K11" s="135">
        <f>$J11-$H11</f>
        <v/>
      </c>
      <c r="L11" s="34" t="n"/>
    </row>
    <row r="12">
      <c r="A12" s="71" t="n">
        <v>7</v>
      </c>
      <c r="B12" s="136" t="n">
        <v>46328</v>
      </c>
      <c r="C12" s="133" t="n">
        <v>91</v>
      </c>
      <c r="D12" s="134">
        <f>SUM($C$8:$C12)</f>
        <v/>
      </c>
      <c r="E12" s="134">
        <f>SUMIFS(LOGT!$K$7:$K$406,LOGT!$D$7:$D$406,$A12)/60</f>
        <v/>
      </c>
      <c r="F12" s="134">
        <f>SUM($E$8:$E12)</f>
        <v/>
      </c>
      <c r="G12" s="135">
        <f>SUMIFS(TASK!$P$8:$P$127,TASK!$L$8:$L$127,$A12)</f>
        <v/>
      </c>
      <c r="H12" s="135">
        <f>SUM($G$8:$G12)</f>
        <v/>
      </c>
      <c r="I12" s="135">
        <f>SUMIFS(TASK!$Q$8:$Q$127,TASK!$N$8:$N$127,$A12)</f>
        <v/>
      </c>
      <c r="J12" s="135">
        <f>SUM($I$8:$I12)</f>
        <v/>
      </c>
      <c r="K12" s="135">
        <f>$J12-$H12</f>
        <v/>
      </c>
      <c r="L12" s="34" t="n"/>
    </row>
    <row r="13">
      <c r="A13" s="71" t="n">
        <v>8</v>
      </c>
      <c r="B13" s="136" t="n">
        <v>46335</v>
      </c>
      <c r="C13" s="133" t="n">
        <v>0</v>
      </c>
      <c r="D13" s="134">
        <f>SUM($C$8:$C13)</f>
        <v/>
      </c>
      <c r="E13" s="134">
        <f>SUMIFS(LOGT!$K$7:$K$406,LOGT!$D$7:$D$406,$A13)/60</f>
        <v/>
      </c>
      <c r="F13" s="134">
        <f>SUM($E$8:$E13)</f>
        <v/>
      </c>
      <c r="G13" s="135">
        <f>SUMIFS(TASK!$P$8:$P$127,TASK!$L$8:$L$127,$A13)</f>
        <v/>
      </c>
      <c r="H13" s="135">
        <f>SUM($G$8:$G13)</f>
        <v/>
      </c>
      <c r="I13" s="135">
        <f>SUMIFS(TASK!$Q$8:$Q$127,TASK!$N$8:$N$127,$A13)</f>
        <v/>
      </c>
      <c r="J13" s="135">
        <f>SUM($I$8:$I13)</f>
        <v/>
      </c>
      <c r="K13" s="135">
        <f>$J13-$H13</f>
        <v/>
      </c>
      <c r="L13" s="73" t="inlineStr">
        <is>
          <t>Mid-semester break, no work planned</t>
        </is>
      </c>
    </row>
    <row r="14">
      <c r="A14" s="71" t="n">
        <v>9</v>
      </c>
      <c r="B14" s="136" t="n">
        <v>46342</v>
      </c>
      <c r="C14" s="133" t="n">
        <v>93</v>
      </c>
      <c r="D14" s="134">
        <f>SUM($C$8:$C14)</f>
        <v/>
      </c>
      <c r="E14" s="134">
        <f>SUMIFS(LOGT!$K$7:$K$406,LOGT!$D$7:$D$406,$A14)/60</f>
        <v/>
      </c>
      <c r="F14" s="134">
        <f>SUM($E$8:$E14)</f>
        <v/>
      </c>
      <c r="G14" s="135">
        <f>SUMIFS(TASK!$P$8:$P$127,TASK!$L$8:$L$127,$A14)</f>
        <v/>
      </c>
      <c r="H14" s="135">
        <f>SUM($G$8:$G14)</f>
        <v/>
      </c>
      <c r="I14" s="135">
        <f>SUMIFS(TASK!$Q$8:$Q$127,TASK!$N$8:$N$127,$A14)</f>
        <v/>
      </c>
      <c r="J14" s="135">
        <f>SUM($I$8:$I14)</f>
        <v/>
      </c>
      <c r="K14" s="135">
        <f>$J14-$H14</f>
        <v/>
      </c>
      <c r="L14" s="34" t="inlineStr">
        <is>
          <t>M2 submitted</t>
        </is>
      </c>
    </row>
    <row r="15">
      <c r="A15" s="71" t="n">
        <v>10</v>
      </c>
      <c r="B15" s="136" t="n">
        <v>46349</v>
      </c>
      <c r="C15" s="133" t="n">
        <v>76.5</v>
      </c>
      <c r="D15" s="134">
        <f>SUM($C$8:$C15)</f>
        <v/>
      </c>
      <c r="E15" s="134">
        <f>SUMIFS(LOGT!$K$7:$K$406,LOGT!$D$7:$D$406,$A15)/60</f>
        <v/>
      </c>
      <c r="F15" s="134">
        <f>SUM($E$8:$E15)</f>
        <v/>
      </c>
      <c r="G15" s="135">
        <f>SUMIFS(TASK!$P$8:$P$127,TASK!$L$8:$L$127,$A15)</f>
        <v/>
      </c>
      <c r="H15" s="135">
        <f>SUM($G$8:$G15)</f>
        <v/>
      </c>
      <c r="I15" s="135">
        <f>SUMIFS(TASK!$Q$8:$Q$127,TASK!$N$8:$N$127,$A15)</f>
        <v/>
      </c>
      <c r="J15" s="135">
        <f>SUM($I$8:$I15)</f>
        <v/>
      </c>
      <c r="K15" s="135">
        <f>$J15-$H15</f>
        <v/>
      </c>
      <c r="L15" s="34" t="n"/>
    </row>
    <row r="16">
      <c r="A16" s="71" t="n">
        <v>11</v>
      </c>
      <c r="B16" s="136" t="n">
        <v>46356</v>
      </c>
      <c r="C16" s="133" t="n">
        <v>38</v>
      </c>
      <c r="D16" s="134">
        <f>SUM($C$8:$C16)</f>
        <v/>
      </c>
      <c r="E16" s="134">
        <f>SUMIFS(LOGT!$K$7:$K$406,LOGT!$D$7:$D$406,$A16)/60</f>
        <v/>
      </c>
      <c r="F16" s="134">
        <f>SUM($E$8:$E16)</f>
        <v/>
      </c>
      <c r="G16" s="135">
        <f>SUMIFS(TASK!$P$8:$P$127,TASK!$L$8:$L$127,$A16)</f>
        <v/>
      </c>
      <c r="H16" s="135">
        <f>SUM($G$8:$G16)</f>
        <v/>
      </c>
      <c r="I16" s="135">
        <f>SUMIFS(TASK!$Q$8:$Q$127,TASK!$N$8:$N$127,$A16)</f>
        <v/>
      </c>
      <c r="J16" s="135">
        <f>SUM($I$8:$I16)</f>
        <v/>
      </c>
      <c r="K16" s="135">
        <f>$J16-$H16</f>
        <v/>
      </c>
      <c r="L16" s="34" t="n"/>
    </row>
    <row r="17">
      <c r="A17" s="71" t="n">
        <v>12</v>
      </c>
      <c r="B17" s="136" t="n">
        <v>46363</v>
      </c>
      <c r="C17" s="133" t="n">
        <v>56</v>
      </c>
      <c r="D17" s="134">
        <f>SUM($C$8:$C17)</f>
        <v/>
      </c>
      <c r="E17" s="134">
        <f>SUMIFS(LOGT!$K$7:$K$406,LOGT!$D$7:$D$406,$A17)/60</f>
        <v/>
      </c>
      <c r="F17" s="134">
        <f>SUM($E$8:$E17)</f>
        <v/>
      </c>
      <c r="G17" s="135">
        <f>SUMIFS(TASK!$P$8:$P$127,TASK!$L$8:$L$127,$A17)</f>
        <v/>
      </c>
      <c r="H17" s="135">
        <f>SUM($G$8:$G17)</f>
        <v/>
      </c>
      <c r="I17" s="135">
        <f>SUMIFS(TASK!$Q$8:$Q$127,TASK!$N$8:$N$127,$A17)</f>
        <v/>
      </c>
      <c r="J17" s="135">
        <f>SUM($I$8:$I17)</f>
        <v/>
      </c>
      <c r="K17" s="135">
        <f>$J17-$H17</f>
        <v/>
      </c>
      <c r="L17" s="34" t="inlineStr">
        <is>
          <t>System test and acceptance</t>
        </is>
      </c>
    </row>
    <row r="18">
      <c r="A18" s="71" t="n">
        <v>13</v>
      </c>
      <c r="B18" s="136" t="n">
        <v>46370</v>
      </c>
      <c r="C18" s="133" t="n">
        <v>0</v>
      </c>
      <c r="D18" s="134">
        <f>SUM($C$8:$C18)</f>
        <v/>
      </c>
      <c r="E18" s="134">
        <f>SUMIFS(LOGT!$K$7:$K$406,LOGT!$D$7:$D$406,$A18)/60</f>
        <v/>
      </c>
      <c r="F18" s="134">
        <f>SUM($E$8:$E18)</f>
        <v/>
      </c>
      <c r="G18" s="135">
        <f>SUMIFS(TASK!$P$8:$P$127,TASK!$L$8:$L$127,$A18)</f>
        <v/>
      </c>
      <c r="H18" s="135">
        <f>SUM($G$8:$G18)</f>
        <v/>
      </c>
      <c r="I18" s="135">
        <f>SUMIFS(TASK!$Q$8:$Q$127,TASK!$N$8:$N$127,$A18)</f>
        <v/>
      </c>
      <c r="J18" s="135">
        <f>SUM($I$8:$I18)</f>
        <v/>
      </c>
      <c r="K18" s="135">
        <f>$J18-$H18</f>
        <v/>
      </c>
      <c r="L18" s="34" t="inlineStr">
        <is>
          <t>M3 submitted</t>
        </is>
      </c>
    </row>
    <row r="19">
      <c r="A19" s="71" t="n">
        <v>14</v>
      </c>
      <c r="B19" s="136" t="n">
        <v>46377</v>
      </c>
      <c r="C19" s="133" t="n">
        <v>0</v>
      </c>
      <c r="D19" s="134">
        <f>SUM($C$8:$C19)</f>
        <v/>
      </c>
      <c r="E19" s="134">
        <f>SUMIFS(LOGT!$K$7:$K$406,LOGT!$D$7:$D$406,$A19)/60</f>
        <v/>
      </c>
      <c r="F19" s="134">
        <f>SUM($E$8:$E19)</f>
        <v/>
      </c>
      <c r="G19" s="135">
        <f>SUMIFS(TASK!$P$8:$P$127,TASK!$L$8:$L$127,$A19)</f>
        <v/>
      </c>
      <c r="H19" s="135">
        <f>SUM($G$8:$G19)</f>
        <v/>
      </c>
      <c r="I19" s="135">
        <f>SUMIFS(TASK!$Q$8:$Q$127,TASK!$N$8:$N$127,$A19)</f>
        <v/>
      </c>
      <c r="J19" s="135">
        <f>SUM($I$8:$I19)</f>
        <v/>
      </c>
      <c r="K19" s="135">
        <f>$J19-$H19</f>
        <v/>
      </c>
      <c r="L19" s="34" t="n"/>
    </row>
    <row r="20">
      <c r="A20" s="71" t="n">
        <v>15</v>
      </c>
      <c r="B20" s="136" t="n">
        <v>46384</v>
      </c>
      <c r="C20" s="133" t="n">
        <v>0</v>
      </c>
      <c r="D20" s="134">
        <f>SUM($C$8:$C20)</f>
        <v/>
      </c>
      <c r="E20" s="134">
        <f>SUMIFS(LOGT!$K$7:$K$406,LOGT!$D$7:$D$406,$A20)/60</f>
        <v/>
      </c>
      <c r="F20" s="134">
        <f>SUM($E$8:$E20)</f>
        <v/>
      </c>
      <c r="G20" s="135">
        <f>SUMIFS(TASK!$P$8:$P$127,TASK!$L$8:$L$127,$A20)</f>
        <v/>
      </c>
      <c r="H20" s="135">
        <f>SUM($G$8:$G20)</f>
        <v/>
      </c>
      <c r="I20" s="135">
        <f>SUMIFS(TASK!$Q$8:$Q$127,TASK!$N$8:$N$127,$A20)</f>
        <v/>
      </c>
      <c r="J20" s="135">
        <f>SUM($I$8:$I20)</f>
        <v/>
      </c>
      <c r="K20" s="135">
        <f>$J20-$H20</f>
        <v/>
      </c>
      <c r="L20" s="34" t="inlineStr">
        <is>
          <t>M4 - presentation and handover</t>
        </is>
      </c>
    </row>
    <row r="21">
      <c r="B21" s="53" t="inlineStr">
        <is>
          <t>TOTAL</t>
        </is>
      </c>
      <c r="C21" s="137">
        <f>SUM(C$8:C$20)</f>
        <v/>
      </c>
      <c r="E21" s="137">
        <f>SUM(E$8:E$20)</f>
        <v/>
      </c>
    </row>
  </sheetData>
  <mergeCells count="2">
    <mergeCell ref="A2:L2"/>
    <mergeCell ref="A1:L1"/>
  </mergeCells>
  <conditionalFormatting sqref="J4">
    <cfRule type="cellIs" priority="1" operator="notEqual" dxfId="3">
      <formula>0</formula>
    </cfRule>
  </conditionalFormatting>
  <conditionalFormatting sqref="K8:K20">
    <cfRule type="cellIs" priority="2" operator="lessThan" dxfId="0">
      <formula>-0.05</formula>
    </cfRule>
    <cfRule type="cellIs" priority="3" operator="greaterThanOrEqual" dxfId="5">
      <formula>0</formula>
    </cfRule>
  </conditionalFormatting>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tabColor rgb="0014505C"/>
    <outlinePr summaryBelow="1" summaryRight="1"/>
    <pageSetUpPr fitToPage="1"/>
  </sheetPr>
  <dimension ref="A1:M406"/>
  <sheetViews>
    <sheetView showGridLines="0" workbookViewId="0">
      <pane ySplit="6" topLeftCell="A7" activePane="bottomLeft" state="frozen"/>
      <selection pane="bottomLeft" activeCell="A1" sqref="A1"/>
    </sheetView>
  </sheetViews>
  <sheetFormatPr baseColWidth="8" defaultRowHeight="15" outlineLevelCol="0"/>
  <cols>
    <col width="11" customWidth="1" min="1" max="1"/>
    <col width="20" customWidth="1" min="2" max="2"/>
    <col width="9" customWidth="1" min="3" max="3"/>
    <col width="7" customWidth="1" min="4" max="4"/>
    <col width="12" customWidth="1" min="5" max="5"/>
    <col width="9" customWidth="1" min="6" max="6"/>
    <col width="34" customWidth="1" min="7" max="7"/>
    <col width="9" customWidth="1" min="8" max="8"/>
    <col width="9" customWidth="1" min="9" max="9"/>
    <col width="9" customWidth="1" min="10" max="10"/>
    <col width="9" customWidth="1" min="11" max="11"/>
    <col width="9" customWidth="1" min="12" max="12"/>
    <col width="40" customWidth="1" min="13" max="13"/>
  </cols>
  <sheetData>
    <row r="1" ht="30" customHeight="1">
      <c r="A1" s="1" t="inlineStr">
        <is>
          <t>Form LOGT  -  Time Recording Log</t>
        </is>
      </c>
    </row>
    <row r="2" ht="16" customHeight="1">
      <c r="A2" s="2" t="inlineStr">
        <is>
          <t>One row per working session. Delta is calculated; never type over it.</t>
        </is>
      </c>
    </row>
    <row r="4">
      <c r="A4" s="23" t="inlineStr">
        <is>
          <t>Team</t>
        </is>
      </c>
      <c r="B4" s="24">
        <f>SETUP!$C$10</f>
        <v/>
      </c>
      <c r="E4" s="23" t="inlineStr">
        <is>
          <t>Total hours logged</t>
        </is>
      </c>
      <c r="G4" s="130">
        <f>SUM(LOGT!$K$7:$K$406)/60</f>
        <v/>
      </c>
      <c r="H4" s="23" t="inlineStr">
        <is>
          <t>Sessions</t>
        </is>
      </c>
      <c r="I4" s="67">
        <f>COUNT(LOGT!$K$7:$K$406)</f>
        <v/>
      </c>
    </row>
    <row r="6" ht="32" customHeight="1">
      <c r="A6" s="6" t="inlineStr">
        <is>
          <t>Date</t>
        </is>
      </c>
      <c r="B6" s="6" t="inlineStr">
        <is>
          <t>Member</t>
        </is>
      </c>
      <c r="C6" s="6" t="inlineStr">
        <is>
          <t>Milestone</t>
        </is>
      </c>
      <c r="D6" s="6" t="inlineStr">
        <is>
          <t>Week</t>
        </is>
      </c>
      <c r="E6" s="6" t="inlineStr">
        <is>
          <t>Phase</t>
        </is>
      </c>
      <c r="F6" s="6" t="inlineStr">
        <is>
          <t>Task ID</t>
        </is>
      </c>
      <c r="G6" s="6" t="inlineStr">
        <is>
          <t>Component / what you worked on</t>
        </is>
      </c>
      <c r="H6" s="6" t="inlineStr">
        <is>
          <t>Start</t>
        </is>
      </c>
      <c r="I6" s="6" t="inlineStr">
        <is>
          <t>Stop</t>
        </is>
      </c>
      <c r="J6" s="6" t="inlineStr">
        <is>
          <t>Interrupt (min)</t>
        </is>
      </c>
      <c r="K6" s="6" t="inlineStr">
        <is>
          <t>Delta (min)</t>
        </is>
      </c>
      <c r="L6" s="6" t="inlineStr">
        <is>
          <t>AI used?</t>
        </is>
      </c>
      <c r="M6" s="6" t="inlineStr">
        <is>
          <t>Comments</t>
        </is>
      </c>
    </row>
    <row r="7">
      <c r="A7" s="132" t="n">
        <v>46300</v>
      </c>
      <c r="B7" s="34" t="inlineStr">
        <is>
          <t>Aisyah Binti Rahman</t>
        </is>
      </c>
      <c r="C7" s="41" t="inlineStr">
        <is>
          <t>M1</t>
        </is>
      </c>
      <c r="D7" s="26">
        <f>IF($A7="","",3+INT(($A7-DATE(2026,10,5))/7))</f>
        <v/>
      </c>
      <c r="E7" s="41" t="inlineStr">
        <is>
          <t>MGMT</t>
        </is>
      </c>
      <c r="F7" s="41" t="inlineStr">
        <is>
          <t>T01</t>
        </is>
      </c>
      <c r="G7" s="34" t="inlineStr">
        <is>
          <t>SYSTEM - Team admin, lab attendance, instructor check-ins</t>
        </is>
      </c>
      <c r="H7" s="75" t="n">
        <v>0.4166666666666667</v>
      </c>
      <c r="I7" s="75" t="n">
        <v>0.4972222222222222</v>
      </c>
      <c r="J7" s="44" t="n">
        <v>0</v>
      </c>
      <c r="K7" s="26">
        <f>IF(OR($H7="",$I7=""),"",MAX(0,ROUND(($I7-$H7)*1440,0)-N($J7)))</f>
        <v/>
      </c>
      <c r="L7" s="41" t="inlineStr">
        <is>
          <t>No</t>
        </is>
      </c>
      <c r="M7" s="34" t="n"/>
    </row>
    <row r="8">
      <c r="A8" s="132" t="n">
        <v>46301</v>
      </c>
      <c r="B8" s="34" t="inlineStr">
        <is>
          <t>Aisyah Binti Rahman</t>
        </is>
      </c>
      <c r="C8" s="41" t="inlineStr">
        <is>
          <t>M1</t>
        </is>
      </c>
      <c r="D8" s="26">
        <f>IF($A8="","",3+INT(($A8-DATE(2026,10,5))/7))</f>
        <v/>
      </c>
      <c r="E8" s="41" t="inlineStr">
        <is>
          <t>STRAT</t>
        </is>
      </c>
      <c r="F8" s="41" t="inlineStr">
        <is>
          <t>T02</t>
        </is>
      </c>
      <c r="G8" s="34" t="inlineStr">
        <is>
          <t>SYSTEM - Launch meeting, cycle strategy and stack decisions</t>
        </is>
      </c>
      <c r="H8" s="75" t="n">
        <v>0.5576388888888889</v>
      </c>
      <c r="I8" s="75" t="n">
        <v>0.6409722222222223</v>
      </c>
      <c r="J8" s="44" t="n">
        <v>0</v>
      </c>
      <c r="K8" s="26">
        <f>IF(OR($H8="",$I8=""),"",MAX(0,ROUND(($I8-$H8)*1440,0)-N($J8)))</f>
        <v/>
      </c>
      <c r="L8" s="41" t="inlineStr">
        <is>
          <t>No</t>
        </is>
      </c>
      <c r="M8" s="34" t="n"/>
    </row>
    <row r="9">
      <c r="A9" s="132" t="n">
        <v>46302</v>
      </c>
      <c r="B9" s="34" t="inlineStr">
        <is>
          <t>Aisyah Binti Rahman</t>
        </is>
      </c>
      <c r="C9" s="41" t="inlineStr">
        <is>
          <t>M1</t>
        </is>
      </c>
      <c r="D9" s="26">
        <f>IF($A9="","",3+INT(($A9-DATE(2026,10,5))/7))</f>
        <v/>
      </c>
      <c r="E9" s="41" t="inlineStr">
        <is>
          <t>PLAN</t>
        </is>
      </c>
      <c r="F9" s="41" t="inlineStr">
        <is>
          <t>T03</t>
        </is>
      </c>
      <c r="G9" s="34" t="inlineStr">
        <is>
          <t>SYSTEM - Task and schedule plan for the cycle</t>
        </is>
      </c>
      <c r="H9" s="75" t="n">
        <v>0.5104166666666666</v>
      </c>
      <c r="I9" s="75" t="n">
        <v>0.5986111111111111</v>
      </c>
      <c r="J9" s="44" t="n">
        <v>0</v>
      </c>
      <c r="K9" s="26">
        <f>IF(OR($H9="",$I9=""),"",MAX(0,ROUND(($I9-$H9)*1440,0)-N($J9)))</f>
        <v/>
      </c>
      <c r="L9" s="41" t="inlineStr">
        <is>
          <t>No</t>
        </is>
      </c>
      <c r="M9" s="34" t="n"/>
    </row>
    <row r="10">
      <c r="A10" s="132" t="n">
        <v>46310</v>
      </c>
      <c r="B10" s="34" t="inlineStr">
        <is>
          <t>Aisyah Binti Rahman</t>
        </is>
      </c>
      <c r="C10" s="41" t="inlineStr">
        <is>
          <t>M1</t>
        </is>
      </c>
      <c r="D10" s="26">
        <f>IF($A10="","",3+INT(($A10-DATE(2026,10,5))/7))</f>
        <v/>
      </c>
      <c r="E10" s="41" t="inlineStr">
        <is>
          <t>REQ</t>
        </is>
      </c>
      <c r="F10" s="41" t="inlineStr">
        <is>
          <t>T04</t>
        </is>
      </c>
      <c r="G10" s="34" t="inlineStr">
        <is>
          <t>SYSTEM - Elicit requirements from SeaFresh and write the SRS</t>
        </is>
      </c>
      <c r="H10" s="75" t="n">
        <v>0.3333333333333333</v>
      </c>
      <c r="I10" s="75" t="n">
        <v>0.36875</v>
      </c>
      <c r="J10" s="44" t="n">
        <v>0</v>
      </c>
      <c r="K10" s="26">
        <f>IF(OR($H10="",$I10=""),"",MAX(0,ROUND(($I10-$H10)*1440,0)-N($J10)))</f>
        <v/>
      </c>
      <c r="L10" s="41" t="inlineStr">
        <is>
          <t>No</t>
        </is>
      </c>
      <c r="M10" s="34" t="n"/>
    </row>
    <row r="11">
      <c r="A11" s="132" t="n">
        <v>46311</v>
      </c>
      <c r="B11" s="34" t="inlineStr">
        <is>
          <t>Aisyah Binti Rahman</t>
        </is>
      </c>
      <c r="C11" s="41" t="inlineStr">
        <is>
          <t>M1</t>
        </is>
      </c>
      <c r="D11" s="26">
        <f>IF($A11="","",3+INT(($A11-DATE(2026,10,5))/7))</f>
        <v/>
      </c>
      <c r="E11" s="41" t="inlineStr">
        <is>
          <t>REQINSP</t>
        </is>
      </c>
      <c r="F11" s="41" t="inlineStr">
        <is>
          <t>T06</t>
        </is>
      </c>
      <c r="G11" s="34" t="inlineStr">
        <is>
          <t>SYSTEM - Team inspection of the SRS</t>
        </is>
      </c>
      <c r="H11" s="75" t="n">
        <v>0.4652777777777778</v>
      </c>
      <c r="I11" s="75" t="n">
        <v>0.5347222222222222</v>
      </c>
      <c r="J11" s="44" t="n">
        <v>0</v>
      </c>
      <c r="K11" s="26">
        <f>IF(OR($H11="",$I11=""),"",MAX(0,ROUND(($I11-$H11)*1440,0)-N($J11)))</f>
        <v/>
      </c>
      <c r="L11" s="41" t="inlineStr">
        <is>
          <t>No</t>
        </is>
      </c>
      <c r="M11" s="34" t="n"/>
    </row>
    <row r="12">
      <c r="A12" s="132" t="n">
        <v>46312</v>
      </c>
      <c r="B12" s="34" t="inlineStr">
        <is>
          <t>Aisyah Binti Rahman</t>
        </is>
      </c>
      <c r="C12" s="41" t="inlineStr">
        <is>
          <t>M1</t>
        </is>
      </c>
      <c r="D12" s="26">
        <f>IF($A12="","",3+INT(($A12-DATE(2026,10,5))/7))</f>
        <v/>
      </c>
      <c r="E12" s="41" t="inlineStr">
        <is>
          <t>HLD</t>
        </is>
      </c>
      <c r="F12" s="41" t="inlineStr">
        <is>
          <t>T07</t>
        </is>
      </c>
      <c r="G12" s="34" t="inlineStr">
        <is>
          <t>SYSTEM - Architecture and SDD</t>
        </is>
      </c>
      <c r="H12" s="75" t="n">
        <v>0.4166666666666667</v>
      </c>
      <c r="I12" s="75" t="n">
        <v>0.4548611111111111</v>
      </c>
      <c r="J12" s="44" t="n">
        <v>0</v>
      </c>
      <c r="K12" s="26">
        <f>IF(OR($H12="",$I12=""),"",MAX(0,ROUND(($I12-$H12)*1440,0)-N($J12)))</f>
        <v/>
      </c>
      <c r="L12" s="41" t="inlineStr">
        <is>
          <t>No</t>
        </is>
      </c>
      <c r="M12" s="34" t="n"/>
    </row>
    <row r="13">
      <c r="A13" s="132" t="n">
        <v>46307</v>
      </c>
      <c r="B13" s="34" t="inlineStr">
        <is>
          <t>Aisyah Binti Rahman</t>
        </is>
      </c>
      <c r="C13" s="41" t="inlineStr">
        <is>
          <t>M1</t>
        </is>
      </c>
      <c r="D13" s="26">
        <f>IF($A13="","",3+INT(($A13-DATE(2026,10,5))/7))</f>
        <v/>
      </c>
      <c r="E13" s="41" t="inlineStr">
        <is>
          <t>HLDINSP</t>
        </is>
      </c>
      <c r="F13" s="41" t="inlineStr">
        <is>
          <t>T09</t>
        </is>
      </c>
      <c r="G13" s="34" t="inlineStr">
        <is>
          <t>SYSTEM - Team inspection of the SDD</t>
        </is>
      </c>
      <c r="H13" s="75" t="n">
        <v>0.375</v>
      </c>
      <c r="I13" s="75" t="n">
        <v>0.4083333333333333</v>
      </c>
      <c r="J13" s="44" t="n">
        <v>0</v>
      </c>
      <c r="K13" s="26">
        <f>IF(OR($H13="",$I13=""),"",MAX(0,ROUND(($I13-$H13)*1440,0)-N($J13)))</f>
        <v/>
      </c>
      <c r="L13" s="41" t="inlineStr">
        <is>
          <t>No</t>
        </is>
      </c>
      <c r="M13" s="34" t="n"/>
    </row>
    <row r="14">
      <c r="A14" s="132" t="n">
        <v>46315</v>
      </c>
      <c r="B14" s="34" t="inlineStr">
        <is>
          <t>Aisyah Binti Rahman</t>
        </is>
      </c>
      <c r="C14" s="41" t="inlineStr">
        <is>
          <t>M1</t>
        </is>
      </c>
      <c r="D14" s="26">
        <f>IF($A14="","",3+INT(($A14-DATE(2026,10,5))/7))</f>
        <v/>
      </c>
      <c r="E14" s="41" t="inlineStr">
        <is>
          <t>DLDR</t>
        </is>
      </c>
      <c r="F14" s="41" t="inlineStr">
        <is>
          <t>T11</t>
        </is>
      </c>
      <c r="G14" s="34" t="inlineStr">
        <is>
          <t>UI / screens - Personal review of the detailed design</t>
        </is>
      </c>
      <c r="H14" s="75" t="n">
        <v>0.5902777777777778</v>
      </c>
      <c r="I14" s="75" t="n">
        <v>0.6736111111111112</v>
      </c>
      <c r="J14" s="44" t="n">
        <v>0</v>
      </c>
      <c r="K14" s="26">
        <f>IF(OR($H14="",$I14=""),"",MAX(0,ROUND(($I14-$H14)*1440,0)-N($J14)))</f>
        <v/>
      </c>
      <c r="L14" s="41" t="inlineStr">
        <is>
          <t>No</t>
        </is>
      </c>
      <c r="M14" s="34" t="n"/>
    </row>
    <row r="15">
      <c r="A15" s="132" t="n">
        <v>46316</v>
      </c>
      <c r="B15" s="34" t="inlineStr">
        <is>
          <t>Aisyah Binti Rahman</t>
        </is>
      </c>
      <c r="C15" s="41" t="inlineStr">
        <is>
          <t>M1</t>
        </is>
      </c>
      <c r="D15" s="26">
        <f>IF($A15="","",3+INT(($A15-DATE(2026,10,5))/7))</f>
        <v/>
      </c>
      <c r="E15" s="41" t="inlineStr">
        <is>
          <t>TD</t>
        </is>
      </c>
      <c r="F15" s="41" t="inlineStr">
        <is>
          <t>T12</t>
        </is>
      </c>
      <c r="G15" s="34" t="inlineStr">
        <is>
          <t>UI / screens - Write the test cases for this component</t>
        </is>
      </c>
      <c r="H15" s="75" t="n">
        <v>0.625</v>
      </c>
      <c r="I15" s="75" t="n">
        <v>0.70625</v>
      </c>
      <c r="J15" s="44" t="n">
        <v>0</v>
      </c>
      <c r="K15" s="26">
        <f>IF(OR($H15="",$I15=""),"",MAX(0,ROUND(($I15-$H15)*1440,0)-N($J15)))</f>
        <v/>
      </c>
      <c r="L15" s="41" t="inlineStr">
        <is>
          <t>No</t>
        </is>
      </c>
      <c r="M15" s="34" t="n"/>
    </row>
    <row r="16">
      <c r="A16" s="132" t="n">
        <v>46317</v>
      </c>
      <c r="B16" s="34" t="inlineStr">
        <is>
          <t>Aisyah Binti Rahman</t>
        </is>
      </c>
      <c r="C16" s="41" t="inlineStr">
        <is>
          <t>M1</t>
        </is>
      </c>
      <c r="D16" s="26">
        <f>IF($A16="","",3+INT(($A16-DATE(2026,10,5))/7))</f>
        <v/>
      </c>
      <c r="E16" s="41" t="inlineStr">
        <is>
          <t>DLDINSP</t>
        </is>
      </c>
      <c r="F16" s="41" t="inlineStr">
        <is>
          <t>T13</t>
        </is>
      </c>
      <c r="G16" s="34" t="inlineStr">
        <is>
          <t>UI / screens - Team inspection of the detailed design</t>
        </is>
      </c>
      <c r="H16" s="75" t="n">
        <v>0.40625</v>
      </c>
      <c r="I16" s="75" t="n">
        <v>0.4409722222222222</v>
      </c>
      <c r="J16" s="44" t="n">
        <v>0</v>
      </c>
      <c r="K16" s="26">
        <f>IF(OR($H16="",$I16=""),"",MAX(0,ROUND(($I16-$H16)*1440,0)-N($J16)))</f>
        <v/>
      </c>
      <c r="L16" s="41" t="inlineStr">
        <is>
          <t>No</t>
        </is>
      </c>
      <c r="M16" s="34" t="n"/>
    </row>
    <row r="17">
      <c r="A17" s="132" t="n">
        <v>46325</v>
      </c>
      <c r="B17" s="34" t="inlineStr">
        <is>
          <t>Aisyah Binti Rahman</t>
        </is>
      </c>
      <c r="C17" s="41" t="inlineStr">
        <is>
          <t>M2</t>
        </is>
      </c>
      <c r="D17" s="26">
        <f>IF($A17="","",3+INT(($A17-DATE(2026,10,5))/7))</f>
        <v/>
      </c>
      <c r="E17" s="41" t="inlineStr">
        <is>
          <t>CR</t>
        </is>
      </c>
      <c r="F17" s="41" t="inlineStr">
        <is>
          <t>T15</t>
        </is>
      </c>
      <c r="G17" s="34" t="inlineStr">
        <is>
          <t>UI / screens - Pull-request review by a teammate</t>
        </is>
      </c>
      <c r="H17" s="75" t="n">
        <v>0.5833333333333334</v>
      </c>
      <c r="I17" s="75" t="n">
        <v>0.6638888888888889</v>
      </c>
      <c r="J17" s="44" t="n">
        <v>0</v>
      </c>
      <c r="K17" s="26">
        <f>IF(OR($H17="",$I17=""),"",MAX(0,ROUND(($I17-$H17)*1440,0)-N($J17)))</f>
        <v/>
      </c>
      <c r="L17" s="41" t="inlineStr">
        <is>
          <t>No</t>
        </is>
      </c>
      <c r="M17" s="34" t="n"/>
    </row>
    <row r="18">
      <c r="A18" s="132" t="n">
        <v>46326</v>
      </c>
      <c r="B18" s="34" t="inlineStr">
        <is>
          <t>Aisyah Binti Rahman</t>
        </is>
      </c>
      <c r="C18" s="41" t="inlineStr">
        <is>
          <t>M2</t>
        </is>
      </c>
      <c r="D18" s="26">
        <f>IF($A18="","",3+INT(($A18-DATE(2026,10,5))/7))</f>
        <v/>
      </c>
      <c r="E18" s="41" t="inlineStr">
        <is>
          <t>CODEINSP</t>
        </is>
      </c>
      <c r="F18" s="41" t="inlineStr">
        <is>
          <t>T17</t>
        </is>
      </c>
      <c r="G18" s="34" t="inlineStr">
        <is>
          <t>UI / screens - Team code inspection</t>
        </is>
      </c>
      <c r="H18" s="75" t="n">
        <v>0.375</v>
      </c>
      <c r="I18" s="75" t="n">
        <v>0.4493055555555556</v>
      </c>
      <c r="J18" s="44" t="n">
        <v>0</v>
      </c>
      <c r="K18" s="26">
        <f>IF(OR($H18="",$I18=""),"",MAX(0,ROUND(($I18-$H18)*1440,0)-N($J18)))</f>
        <v/>
      </c>
      <c r="L18" s="41" t="inlineStr">
        <is>
          <t>No</t>
        </is>
      </c>
      <c r="M18" s="34" t="n"/>
    </row>
    <row r="19">
      <c r="A19" s="132" t="n">
        <v>46363</v>
      </c>
      <c r="B19" s="34" t="inlineStr">
        <is>
          <t>Aisyah Binti Rahman</t>
        </is>
      </c>
      <c r="C19" s="41" t="inlineStr">
        <is>
          <t>M3</t>
        </is>
      </c>
      <c r="D19" s="26">
        <f>IF($A19="","",3+INT(($A19-DATE(2026,10,5))/7))</f>
        <v/>
      </c>
      <c r="E19" s="41" t="inlineStr">
        <is>
          <t>DLDR</t>
        </is>
      </c>
      <c r="F19" s="41" t="inlineStr">
        <is>
          <t>T20</t>
        </is>
      </c>
      <c r="G19" s="34" t="inlineStr">
        <is>
          <t>Order &amp; catalogue service - Personal review of the detailed design</t>
        </is>
      </c>
      <c r="H19" s="75" t="n">
        <v>0.375</v>
      </c>
      <c r="I19" s="75" t="n">
        <v>0.4583333333333333</v>
      </c>
      <c r="J19" s="44" t="n">
        <v>0</v>
      </c>
      <c r="K19" s="26">
        <f>IF(OR($H19="",$I19=""),"",MAX(0,ROUND(($I19-$H19)*1440,0)-N($J19)))</f>
        <v/>
      </c>
      <c r="L19" s="41" t="inlineStr">
        <is>
          <t>No</t>
        </is>
      </c>
      <c r="M19" s="34" t="n"/>
    </row>
    <row r="20">
      <c r="A20" s="132" t="n">
        <v>46364</v>
      </c>
      <c r="B20" s="34" t="inlineStr">
        <is>
          <t>Aisyah Binti Rahman</t>
        </is>
      </c>
      <c r="C20" s="41" t="inlineStr">
        <is>
          <t>M3</t>
        </is>
      </c>
      <c r="D20" s="26">
        <f>IF($A20="","",3+INT(($A20-DATE(2026,10,5))/7))</f>
        <v/>
      </c>
      <c r="E20" s="41" t="inlineStr">
        <is>
          <t>DLDINSP</t>
        </is>
      </c>
      <c r="F20" s="41" t="inlineStr">
        <is>
          <t>T22</t>
        </is>
      </c>
      <c r="G20" s="34" t="inlineStr">
        <is>
          <t>Order &amp; catalogue service - Team inspection of the detailed design</t>
        </is>
      </c>
      <c r="H20" s="75" t="n">
        <v>0.5833333333333334</v>
      </c>
      <c r="I20" s="75" t="n">
        <v>0.6666666666666666</v>
      </c>
      <c r="J20" s="44" t="n">
        <v>0</v>
      </c>
      <c r="K20" s="26">
        <f>IF(OR($H20="",$I20=""),"",MAX(0,ROUND(($I20-$H20)*1440,0)-N($J20)))</f>
        <v/>
      </c>
      <c r="L20" s="41" t="inlineStr">
        <is>
          <t>No</t>
        </is>
      </c>
      <c r="M20" s="34" t="n"/>
    </row>
    <row r="21">
      <c r="A21" s="132" t="n">
        <v>46365</v>
      </c>
      <c r="B21" s="34" t="inlineStr">
        <is>
          <t>Aisyah Binti Rahman</t>
        </is>
      </c>
      <c r="C21" s="41" t="inlineStr">
        <is>
          <t>M3</t>
        </is>
      </c>
      <c r="D21" s="26">
        <f>IF($A21="","",3+INT(($A21-DATE(2026,10,5))/7))</f>
        <v/>
      </c>
      <c r="E21" s="41" t="inlineStr">
        <is>
          <t>CR</t>
        </is>
      </c>
      <c r="F21" s="41" t="inlineStr">
        <is>
          <t>T24</t>
        </is>
      </c>
      <c r="G21" s="34" t="inlineStr">
        <is>
          <t>Order &amp; catalogue service - Pull-request review by a teammate</t>
        </is>
      </c>
      <c r="H21" s="75" t="n">
        <v>0.3958333333333333</v>
      </c>
      <c r="I21" s="75" t="n">
        <v>0.5104166666666666</v>
      </c>
      <c r="J21" s="44" t="n">
        <v>0</v>
      </c>
      <c r="K21" s="26">
        <f>IF(OR($H21="",$I21=""),"",MAX(0,ROUND(($I21-$H21)*1440,0)-N($J21)))</f>
        <v/>
      </c>
      <c r="L21" s="41" t="inlineStr">
        <is>
          <t>No</t>
        </is>
      </c>
      <c r="M21" s="34" t="n"/>
    </row>
    <row r="22">
      <c r="A22" s="132" t="n">
        <v>46366</v>
      </c>
      <c r="B22" s="34" t="inlineStr">
        <is>
          <t>Aisyah Binti Rahman</t>
        </is>
      </c>
      <c r="C22" s="41" t="inlineStr">
        <is>
          <t>M3</t>
        </is>
      </c>
      <c r="D22" s="26">
        <f>IF($A22="","",3+INT(($A22-DATE(2026,10,5))/7))</f>
        <v/>
      </c>
      <c r="E22" s="41" t="inlineStr">
        <is>
          <t>CODEINSP</t>
        </is>
      </c>
      <c r="F22" s="41" t="inlineStr">
        <is>
          <t>T26</t>
        </is>
      </c>
      <c r="G22" s="34" t="inlineStr">
        <is>
          <t>Order &amp; catalogue service - Team code inspection</t>
        </is>
      </c>
      <c r="H22" s="75" t="n">
        <v>0.6284722222222222</v>
      </c>
      <c r="I22" s="75" t="n">
        <v>0.6944444444444444</v>
      </c>
      <c r="J22" s="44" t="n">
        <v>0</v>
      </c>
      <c r="K22" s="26">
        <f>IF(OR($H22="",$I22=""),"",MAX(0,ROUND(($I22-$H22)*1440,0)-N($J22)))</f>
        <v/>
      </c>
      <c r="L22" s="41" t="inlineStr">
        <is>
          <t>No</t>
        </is>
      </c>
      <c r="M22" s="34" t="n"/>
    </row>
    <row r="23">
      <c r="A23" s="132" t="n">
        <v>46367</v>
      </c>
      <c r="B23" s="34" t="inlineStr">
        <is>
          <t>Aisyah Binti Rahman</t>
        </is>
      </c>
      <c r="C23" s="41" t="inlineStr">
        <is>
          <t>M3</t>
        </is>
      </c>
      <c r="D23" s="26">
        <f>IF($A23="","",3+INT(($A23-DATE(2026,10,5))/7))</f>
        <v/>
      </c>
      <c r="E23" s="41" t="inlineStr">
        <is>
          <t>DLDR</t>
        </is>
      </c>
      <c r="F23" s="41" t="inlineStr">
        <is>
          <t>T29</t>
        </is>
      </c>
      <c r="G23" s="34" t="inlineStr">
        <is>
          <t>Local store &amp; sync - Personal review of the detailed design</t>
        </is>
      </c>
      <c r="H23" s="75" t="n">
        <v>0.5833333333333334</v>
      </c>
      <c r="I23" s="75" t="n">
        <v>0.6458333333333334</v>
      </c>
      <c r="J23" s="44" t="n">
        <v>0</v>
      </c>
      <c r="K23" s="26">
        <f>IF(OR($H23="",$I23=""),"",MAX(0,ROUND(($I23-$H23)*1440,0)-N($J23)))</f>
        <v/>
      </c>
      <c r="L23" s="41" t="inlineStr">
        <is>
          <t>No</t>
        </is>
      </c>
      <c r="M23" s="34" t="n"/>
    </row>
    <row r="24">
      <c r="A24" s="132" t="n">
        <v>46368</v>
      </c>
      <c r="B24" s="34" t="inlineStr">
        <is>
          <t>Aisyah Binti Rahman</t>
        </is>
      </c>
      <c r="C24" s="41" t="inlineStr">
        <is>
          <t>M3</t>
        </is>
      </c>
      <c r="D24" s="26">
        <f>IF($A24="","",3+INT(($A24-DATE(2026,10,5))/7))</f>
        <v/>
      </c>
      <c r="E24" s="41" t="inlineStr">
        <is>
          <t>DLDINSP</t>
        </is>
      </c>
      <c r="F24" s="41" t="inlineStr">
        <is>
          <t>T31</t>
        </is>
      </c>
      <c r="G24" s="34" t="inlineStr">
        <is>
          <t>Local store &amp; sync - Team inspection of the detailed design</t>
        </is>
      </c>
      <c r="H24" s="75" t="n">
        <v>0.375</v>
      </c>
      <c r="I24" s="75" t="n">
        <v>0.4375</v>
      </c>
      <c r="J24" s="44" t="n">
        <v>0</v>
      </c>
      <c r="K24" s="26">
        <f>IF(OR($H24="",$I24=""),"",MAX(0,ROUND(($I24-$H24)*1440,0)-N($J24)))</f>
        <v/>
      </c>
      <c r="L24" s="41" t="inlineStr">
        <is>
          <t>No</t>
        </is>
      </c>
      <c r="M24" s="34" t="n"/>
    </row>
    <row r="25">
      <c r="A25" s="132" t="n">
        <v>46363</v>
      </c>
      <c r="B25" s="34" t="inlineStr">
        <is>
          <t>Aisyah Binti Rahman</t>
        </is>
      </c>
      <c r="C25" s="41" t="inlineStr">
        <is>
          <t>M3</t>
        </is>
      </c>
      <c r="D25" s="26">
        <f>IF($A25="","",3+INT(($A25-DATE(2026,10,5))/7))</f>
        <v/>
      </c>
      <c r="E25" s="41" t="inlineStr">
        <is>
          <t>BUILD</t>
        </is>
      </c>
      <c r="F25" s="41" t="inlineStr">
        <is>
          <t>T34</t>
        </is>
      </c>
      <c r="G25" s="34" t="inlineStr">
        <is>
          <t>Local store &amp; sync - flutter analyze and build, fix what it reports</t>
        </is>
      </c>
      <c r="H25" s="75" t="n">
        <v>0.4583333333333333</v>
      </c>
      <c r="I25" s="75" t="n">
        <v>0.5</v>
      </c>
      <c r="J25" s="44" t="n">
        <v>0</v>
      </c>
      <c r="K25" s="26">
        <f>IF(OR($H25="",$I25=""),"",MAX(0,ROUND(($I25-$H25)*1440,0)-N($J25)))</f>
        <v/>
      </c>
      <c r="L25" s="41" t="inlineStr">
        <is>
          <t>No</t>
        </is>
      </c>
      <c r="M25" s="34" t="n"/>
    </row>
    <row r="26">
      <c r="A26" s="132" t="n">
        <v>46357</v>
      </c>
      <c r="B26" s="34" t="inlineStr">
        <is>
          <t>Aisyah Binti Rahman</t>
        </is>
      </c>
      <c r="C26" s="41" t="inlineStr">
        <is>
          <t>M3</t>
        </is>
      </c>
      <c r="D26" s="26">
        <f>IF($A26="","",3+INT(($A26-DATE(2026,10,5))/7))</f>
        <v/>
      </c>
      <c r="E26" s="41" t="inlineStr">
        <is>
          <t>UT</t>
        </is>
      </c>
      <c r="F26" s="41" t="inlineStr">
        <is>
          <t>T36</t>
        </is>
      </c>
      <c r="G26" s="34" t="inlineStr">
        <is>
          <t>Local store &amp; sync - Unit tests for this component</t>
        </is>
      </c>
      <c r="H26" s="75" t="n">
        <v>0.625</v>
      </c>
      <c r="I26" s="75" t="n">
        <v>0.6666666666666666</v>
      </c>
      <c r="J26" s="44" t="n">
        <v>0</v>
      </c>
      <c r="K26" s="26">
        <f>IF(OR($H26="",$I26=""),"",MAX(0,ROUND(($I26-$H26)*1440,0)-N($J26)))</f>
        <v/>
      </c>
      <c r="L26" s="41" t="inlineStr">
        <is>
          <t>No</t>
        </is>
      </c>
      <c r="M26" s="34" t="n"/>
    </row>
    <row r="27">
      <c r="A27" s="132" t="n">
        <v>46358</v>
      </c>
      <c r="B27" s="34" t="inlineStr">
        <is>
          <t>Aisyah Binti Rahman</t>
        </is>
      </c>
      <c r="C27" s="41" t="inlineStr">
        <is>
          <t>M3</t>
        </is>
      </c>
      <c r="D27" s="26">
        <f>IF($A27="","",3+INT(($A27-DATE(2026,10,5))/7))</f>
        <v/>
      </c>
      <c r="E27" s="41" t="inlineStr">
        <is>
          <t>IT</t>
        </is>
      </c>
      <c r="F27" s="41" t="inlineStr">
        <is>
          <t>T37</t>
        </is>
      </c>
      <c r="G27" s="34" t="inlineStr">
        <is>
          <t>SYSTEM - Build and integration test across components</t>
        </is>
      </c>
      <c r="H27" s="75" t="n">
        <v>0.375</v>
      </c>
      <c r="I27" s="75" t="n">
        <v>0.4583333333333333</v>
      </c>
      <c r="J27" s="44" t="n">
        <v>0</v>
      </c>
      <c r="K27" s="26">
        <f>IF(OR($H27="",$I27=""),"",MAX(0,ROUND(($I27-$H27)*1440,0)-N($J27)))</f>
        <v/>
      </c>
      <c r="L27" s="41" t="inlineStr">
        <is>
          <t>No</t>
        </is>
      </c>
      <c r="M27" s="34" t="n"/>
    </row>
    <row r="28">
      <c r="A28" s="132" t="n">
        <v>46366</v>
      </c>
      <c r="B28" s="34" t="inlineStr">
        <is>
          <t>Aisyah Binti Rahman</t>
        </is>
      </c>
      <c r="C28" s="41" t="inlineStr">
        <is>
          <t>M3</t>
        </is>
      </c>
      <c r="D28" s="26">
        <f>IF($A28="","",3+INT(($A28-DATE(2026,10,5))/7))</f>
        <v/>
      </c>
      <c r="E28" s="41" t="inlineStr">
        <is>
          <t>ST</t>
        </is>
      </c>
      <c r="F28" s="41" t="inlineStr">
        <is>
          <t>T38</t>
        </is>
      </c>
      <c r="G28" s="34" t="inlineStr">
        <is>
          <t>SYSTEM - System test against the SRS</t>
        </is>
      </c>
      <c r="H28" s="75" t="n">
        <v>0.5833333333333334</v>
      </c>
      <c r="I28" s="75" t="n">
        <v>0.7083333333333334</v>
      </c>
      <c r="J28" s="44" t="n">
        <v>0</v>
      </c>
      <c r="K28" s="26">
        <f>IF(OR($H28="",$I28=""),"",MAX(0,ROUND(($I28-$H28)*1440,0)-N($J28)))</f>
        <v/>
      </c>
      <c r="L28" s="41" t="inlineStr">
        <is>
          <t>No</t>
        </is>
      </c>
      <c r="M28" s="34" t="n"/>
    </row>
    <row r="29">
      <c r="A29" s="132" t="n">
        <v>46367</v>
      </c>
      <c r="B29" s="34" t="inlineStr">
        <is>
          <t>Aisyah Binti Rahman</t>
        </is>
      </c>
      <c r="C29" s="41" t="inlineStr">
        <is>
          <t>M3</t>
        </is>
      </c>
      <c r="D29" s="26">
        <f>IF($A29="","",3+INT(($A29-DATE(2026,10,5))/7))</f>
        <v/>
      </c>
      <c r="E29" s="41" t="inlineStr">
        <is>
          <t>DOC</t>
        </is>
      </c>
      <c r="F29" s="41" t="inlineStr">
        <is>
          <t>T39</t>
        </is>
      </c>
      <c r="G29" s="34" t="inlineStr">
        <is>
          <t>SYSTEM - User manual and final report</t>
        </is>
      </c>
      <c r="H29" s="75" t="n">
        <v>0.4166666666666667</v>
      </c>
      <c r="I29" s="75" t="n">
        <v>0.5</v>
      </c>
      <c r="J29" s="44" t="n">
        <v>0</v>
      </c>
      <c r="K29" s="26">
        <f>IF(OR($H29="",$I29=""),"",MAX(0,ROUND(($I29-$H29)*1440,0)-N($J29)))</f>
        <v/>
      </c>
      <c r="L29" s="41" t="inlineStr">
        <is>
          <t>No</t>
        </is>
      </c>
      <c r="M29" s="34" t="n"/>
    </row>
    <row r="30">
      <c r="A30" s="132" t="n">
        <v>46368</v>
      </c>
      <c r="B30" s="34" t="inlineStr">
        <is>
          <t>Aisyah Binti Rahman</t>
        </is>
      </c>
      <c r="C30" s="41" t="inlineStr">
        <is>
          <t>M3</t>
        </is>
      </c>
      <c r="D30" s="26">
        <f>IF($A30="","",3+INT(($A30-DATE(2026,10,5))/7))</f>
        <v/>
      </c>
      <c r="E30" s="41" t="inlineStr">
        <is>
          <t>PM</t>
        </is>
      </c>
      <c r="F30" s="41" t="inlineStr">
        <is>
          <t>T40</t>
        </is>
      </c>
      <c r="G30" s="34" t="inlineStr">
        <is>
          <t>SYSTEM - Postmortem: review the data and agree three changes</t>
        </is>
      </c>
      <c r="H30" s="75" t="n">
        <v>0.3541666666666667</v>
      </c>
      <c r="I30" s="75" t="n">
        <v>0.46875</v>
      </c>
      <c r="J30" s="44" t="n">
        <v>0</v>
      </c>
      <c r="K30" s="26">
        <f>IF(OR($H30="",$I30=""),"",MAX(0,ROUND(($I30-$H30)*1440,0)-N($J30)))</f>
        <v/>
      </c>
      <c r="L30" s="41" t="inlineStr">
        <is>
          <t>No</t>
        </is>
      </c>
      <c r="M30" s="34" t="n"/>
    </row>
    <row r="31">
      <c r="A31" s="132" t="n">
        <v>46300</v>
      </c>
      <c r="B31" s="34" t="inlineStr">
        <is>
          <t>Daniel Wong Jun Hao</t>
        </is>
      </c>
      <c r="C31" s="41" t="inlineStr">
        <is>
          <t>M1</t>
        </is>
      </c>
      <c r="D31" s="26">
        <f>IF($A31="","",3+INT(($A31-DATE(2026,10,5))/7))</f>
        <v/>
      </c>
      <c r="E31" s="41" t="inlineStr">
        <is>
          <t>STRAT</t>
        </is>
      </c>
      <c r="F31" s="41" t="inlineStr">
        <is>
          <t>T02</t>
        </is>
      </c>
      <c r="G31" s="34" t="inlineStr">
        <is>
          <t>SYSTEM - Launch meeting, cycle strategy and stack decisions</t>
        </is>
      </c>
      <c r="H31" s="75" t="n">
        <v>0.4201388888888889</v>
      </c>
      <c r="I31" s="75" t="n">
        <v>0.4618055555555556</v>
      </c>
      <c r="J31" s="44" t="n">
        <v>0</v>
      </c>
      <c r="K31" s="26">
        <f>IF(OR($H31="",$I31=""),"",MAX(0,ROUND(($I31-$H31)*1440,0)-N($J31)))</f>
        <v/>
      </c>
      <c r="L31" s="41" t="inlineStr">
        <is>
          <t>No</t>
        </is>
      </c>
      <c r="M31" s="34" t="n"/>
    </row>
    <row r="32">
      <c r="A32" s="132" t="n">
        <v>46301</v>
      </c>
      <c r="B32" s="34" t="inlineStr">
        <is>
          <t>Daniel Wong Jun Hao</t>
        </is>
      </c>
      <c r="C32" s="41" t="inlineStr">
        <is>
          <t>M1</t>
        </is>
      </c>
      <c r="D32" s="26">
        <f>IF($A32="","",3+INT(($A32-DATE(2026,10,5))/7))</f>
        <v/>
      </c>
      <c r="E32" s="41" t="inlineStr">
        <is>
          <t>PLAN</t>
        </is>
      </c>
      <c r="F32" s="41" t="inlineStr">
        <is>
          <t>T03</t>
        </is>
      </c>
      <c r="G32" s="34" t="inlineStr">
        <is>
          <t>SYSTEM - Task and schedule plan for the cycle</t>
        </is>
      </c>
      <c r="H32" s="75" t="n">
        <v>0.3993055555555556</v>
      </c>
      <c r="I32" s="75" t="n">
        <v>0.4722222222222222</v>
      </c>
      <c r="J32" s="44" t="n">
        <v>15</v>
      </c>
      <c r="K32" s="26">
        <f>IF(OR($H32="",$I32=""),"",MAX(0,ROUND(($I32-$H32)*1440,0)-N($J32)))</f>
        <v/>
      </c>
      <c r="L32" s="41" t="inlineStr">
        <is>
          <t>No</t>
        </is>
      </c>
      <c r="M32" s="34" t="inlineStr">
        <is>
          <t>eat breakfast</t>
        </is>
      </c>
    </row>
    <row r="33">
      <c r="A33" s="132" t="n">
        <v>46309</v>
      </c>
      <c r="B33" s="34" t="inlineStr">
        <is>
          <t>Daniel Wong Jun Hao</t>
        </is>
      </c>
      <c r="C33" s="41" t="inlineStr">
        <is>
          <t>M1</t>
        </is>
      </c>
      <c r="D33" s="26">
        <f>IF($A33="","",3+INT(($A33-DATE(2026,10,5))/7))</f>
        <v/>
      </c>
      <c r="E33" s="41" t="inlineStr">
        <is>
          <t>REQ</t>
        </is>
      </c>
      <c r="F33" s="41" t="inlineStr">
        <is>
          <t>T04</t>
        </is>
      </c>
      <c r="G33" s="34" t="inlineStr">
        <is>
          <t>SYSTEM - Elicit requirements from SeaFresh and write the SRS</t>
        </is>
      </c>
      <c r="H33" s="75" t="n">
        <v>0.4861111111111111</v>
      </c>
      <c r="I33" s="75" t="n">
        <v>0.5694444444444444</v>
      </c>
      <c r="J33" s="44" t="n">
        <v>0</v>
      </c>
      <c r="K33" s="26">
        <f>IF(OR($H33="",$I33=""),"",MAX(0,ROUND(($I33-$H33)*1440,0)-N($J33)))</f>
        <v/>
      </c>
      <c r="L33" s="41" t="inlineStr">
        <is>
          <t>No</t>
        </is>
      </c>
      <c r="M33" s="34" t="n"/>
    </row>
    <row r="34">
      <c r="A34" s="132" t="n">
        <v>46310</v>
      </c>
      <c r="B34" s="34" t="inlineStr">
        <is>
          <t>Daniel Wong Jun Hao</t>
        </is>
      </c>
      <c r="C34" s="41" t="inlineStr">
        <is>
          <t>M1</t>
        </is>
      </c>
      <c r="D34" s="26">
        <f>IF($A34="","",3+INT(($A34-DATE(2026,10,5))/7))</f>
        <v/>
      </c>
      <c r="E34" s="41" t="inlineStr">
        <is>
          <t>STP</t>
        </is>
      </c>
      <c r="F34" s="41" t="inlineStr">
        <is>
          <t>T05</t>
        </is>
      </c>
      <c r="G34" s="34" t="inlineStr">
        <is>
          <t>SYSTEM - System test plan</t>
        </is>
      </c>
      <c r="H34" s="75" t="n">
        <v>0.6319444444444444</v>
      </c>
      <c r="I34" s="75" t="n">
        <v>0.7486111111111111</v>
      </c>
      <c r="J34" s="44" t="n">
        <v>0</v>
      </c>
      <c r="K34" s="26">
        <f>IF(OR($H34="",$I34=""),"",MAX(0,ROUND(($I34-$H34)*1440,0)-N($J34)))</f>
        <v/>
      </c>
      <c r="L34" s="41" t="inlineStr">
        <is>
          <t>No</t>
        </is>
      </c>
      <c r="M34" s="34" t="n"/>
    </row>
    <row r="35">
      <c r="A35" s="132" t="n">
        <v>46311</v>
      </c>
      <c r="B35" s="34" t="inlineStr">
        <is>
          <t>Daniel Wong Jun Hao</t>
        </is>
      </c>
      <c r="C35" s="41" t="inlineStr">
        <is>
          <t>M1</t>
        </is>
      </c>
      <c r="D35" s="26">
        <f>IF($A35="","",3+INT(($A35-DATE(2026,10,5))/7))</f>
        <v/>
      </c>
      <c r="E35" s="41" t="inlineStr">
        <is>
          <t>REQINSP</t>
        </is>
      </c>
      <c r="F35" s="41" t="inlineStr">
        <is>
          <t>T06</t>
        </is>
      </c>
      <c r="G35" s="34" t="inlineStr">
        <is>
          <t>SYSTEM - Team inspection of the SRS</t>
        </is>
      </c>
      <c r="H35" s="75" t="n">
        <v>0.5972222222222222</v>
      </c>
      <c r="I35" s="75" t="n">
        <v>0.6638888888888889</v>
      </c>
      <c r="J35" s="44" t="n">
        <v>0</v>
      </c>
      <c r="K35" s="26">
        <f>IF(OR($H35="",$I35=""),"",MAX(0,ROUND(($I35-$H35)*1440,0)-N($J35)))</f>
        <v/>
      </c>
      <c r="L35" s="41" t="inlineStr">
        <is>
          <t>No</t>
        </is>
      </c>
      <c r="M35" s="34" t="n"/>
    </row>
    <row r="36">
      <c r="A36" s="132" t="n">
        <v>46312</v>
      </c>
      <c r="B36" s="34" t="inlineStr">
        <is>
          <t>Daniel Wong Jun Hao</t>
        </is>
      </c>
      <c r="C36" s="41" t="inlineStr">
        <is>
          <t>M1</t>
        </is>
      </c>
      <c r="D36" s="26">
        <f>IF($A36="","",3+INT(($A36-DATE(2026,10,5))/7))</f>
        <v/>
      </c>
      <c r="E36" s="41" t="inlineStr">
        <is>
          <t>HLD</t>
        </is>
      </c>
      <c r="F36" s="41" t="inlineStr">
        <is>
          <t>T07</t>
        </is>
      </c>
      <c r="G36" s="34" t="inlineStr">
        <is>
          <t>SYSTEM - Architecture and SDD</t>
        </is>
      </c>
      <c r="H36" s="75" t="n">
        <v>0.6638888888888889</v>
      </c>
      <c r="I36" s="75" t="n">
        <v>0.7472222222222222</v>
      </c>
      <c r="J36" s="44" t="n">
        <v>0</v>
      </c>
      <c r="K36" s="26">
        <f>IF(OR($H36="",$I36=""),"",MAX(0,ROUND(($I36-$H36)*1440,0)-N($J36)))</f>
        <v/>
      </c>
      <c r="L36" s="41" t="inlineStr">
        <is>
          <t>No</t>
        </is>
      </c>
      <c r="M36" s="34" t="n"/>
    </row>
    <row r="37">
      <c r="A37" s="132" t="n">
        <v>46307</v>
      </c>
      <c r="B37" s="34" t="inlineStr">
        <is>
          <t>Daniel Wong Jun Hao</t>
        </is>
      </c>
      <c r="C37" s="41" t="inlineStr">
        <is>
          <t>M1</t>
        </is>
      </c>
      <c r="D37" s="26">
        <f>IF($A37="","",3+INT(($A37-DATE(2026,10,5))/7))</f>
        <v/>
      </c>
      <c r="E37" s="41" t="inlineStr">
        <is>
          <t>ITP</t>
        </is>
      </c>
      <c r="F37" s="41" t="inlineStr">
        <is>
          <t>T08</t>
        </is>
      </c>
      <c r="G37" s="34" t="inlineStr">
        <is>
          <t>SYSTEM - Integration test plan</t>
        </is>
      </c>
      <c r="H37" s="75" t="n">
        <v>0.7118055555555556</v>
      </c>
      <c r="I37" s="75" t="n">
        <v>0.8125</v>
      </c>
      <c r="J37" s="44" t="n">
        <v>25</v>
      </c>
      <c r="K37" s="26">
        <f>IF(OR($H37="",$I37=""),"",MAX(0,ROUND(($I37-$H37)*1440,0)-N($J37)))</f>
        <v/>
      </c>
      <c r="L37" s="41" t="inlineStr">
        <is>
          <t>No</t>
        </is>
      </c>
      <c r="M37" s="34" t="inlineStr">
        <is>
          <t>friend call</t>
        </is>
      </c>
    </row>
    <row r="38">
      <c r="A38" s="132" t="n">
        <v>46308</v>
      </c>
      <c r="B38" s="34" t="inlineStr">
        <is>
          <t>Daniel Wong Jun Hao</t>
        </is>
      </c>
      <c r="C38" s="41" t="inlineStr">
        <is>
          <t>M1</t>
        </is>
      </c>
      <c r="D38" s="26">
        <f>IF($A38="","",3+INT(($A38-DATE(2026,10,5))/7))</f>
        <v/>
      </c>
      <c r="E38" s="41" t="inlineStr">
        <is>
          <t>HLDINSP</t>
        </is>
      </c>
      <c r="F38" s="41" t="inlineStr">
        <is>
          <t>T09</t>
        </is>
      </c>
      <c r="G38" s="34" t="inlineStr">
        <is>
          <t>SYSTEM - Team inspection of the SDD</t>
        </is>
      </c>
      <c r="H38" s="75" t="n">
        <v>0.8125</v>
      </c>
      <c r="I38" s="75" t="n">
        <v>0.8541666666666666</v>
      </c>
      <c r="J38" s="44" t="n">
        <v>0</v>
      </c>
      <c r="K38" s="26">
        <f>IF(OR($H38="",$I38=""),"",MAX(0,ROUND(($I38-$H38)*1440,0)-N($J38)))</f>
        <v/>
      </c>
      <c r="L38" s="41" t="inlineStr">
        <is>
          <t>No</t>
        </is>
      </c>
      <c r="M38" s="34" t="n"/>
    </row>
    <row r="39">
      <c r="A39" s="132" t="n">
        <v>46316</v>
      </c>
      <c r="B39" s="34" t="inlineStr">
        <is>
          <t>Daniel Wong Jun Hao</t>
        </is>
      </c>
      <c r="C39" s="41" t="inlineStr">
        <is>
          <t>M1</t>
        </is>
      </c>
      <c r="D39" s="26">
        <f>IF($A39="","",3+INT(($A39-DATE(2026,10,5))/7))</f>
        <v/>
      </c>
      <c r="E39" s="41" t="inlineStr">
        <is>
          <t>DLD</t>
        </is>
      </c>
      <c r="F39" s="41" t="inlineStr">
        <is>
          <t>T10</t>
        </is>
      </c>
      <c r="G39" s="34" t="inlineStr">
        <is>
          <t>UI / screens - Detailed design of screens, widgets and models</t>
        </is>
      </c>
      <c r="H39" s="75" t="n">
        <v>0.7777777777777778</v>
      </c>
      <c r="I39" s="75" t="n">
        <v>0.8861111111111111</v>
      </c>
      <c r="J39" s="44" t="n">
        <v>0</v>
      </c>
      <c r="K39" s="26">
        <f>IF(OR($H39="",$I39=""),"",MAX(0,ROUND(($I39-$H39)*1440,0)-N($J39)))</f>
        <v/>
      </c>
      <c r="L39" s="41" t="inlineStr">
        <is>
          <t>No</t>
        </is>
      </c>
      <c r="M39" s="34" t="n"/>
    </row>
    <row r="40">
      <c r="A40" s="132" t="n">
        <v>46317</v>
      </c>
      <c r="B40" s="34" t="inlineStr">
        <is>
          <t>Daniel Wong Jun Hao</t>
        </is>
      </c>
      <c r="C40" s="41" t="inlineStr">
        <is>
          <t>M1</t>
        </is>
      </c>
      <c r="D40" s="26">
        <f>IF($A40="","",3+INT(($A40-DATE(2026,10,5))/7))</f>
        <v/>
      </c>
      <c r="E40" s="41" t="inlineStr">
        <is>
          <t>DLDR</t>
        </is>
      </c>
      <c r="F40" s="41" t="inlineStr">
        <is>
          <t>T11</t>
        </is>
      </c>
      <c r="G40" s="34" t="inlineStr">
        <is>
          <t>UI / screens - Personal review of the detailed design</t>
        </is>
      </c>
      <c r="H40" s="75" t="n">
        <v>0.8861111111111111</v>
      </c>
      <c r="I40" s="75" t="n">
        <v>0.9694444444444444</v>
      </c>
      <c r="J40" s="44" t="n">
        <v>0</v>
      </c>
      <c r="K40" s="26">
        <f>IF(OR($H40="",$I40=""),"",MAX(0,ROUND(($I40-$H40)*1440,0)-N($J40)))</f>
        <v/>
      </c>
      <c r="L40" s="41" t="inlineStr">
        <is>
          <t>No</t>
        </is>
      </c>
      <c r="M40" s="34" t="n"/>
    </row>
    <row r="41">
      <c r="A41" s="132" t="n">
        <v>46318</v>
      </c>
      <c r="B41" s="34" t="inlineStr">
        <is>
          <t>Daniel Wong Jun Hao</t>
        </is>
      </c>
      <c r="C41" s="41" t="inlineStr">
        <is>
          <t>M1</t>
        </is>
      </c>
      <c r="D41" s="26">
        <f>IF($A41="","",3+INT(($A41-DATE(2026,10,5))/7))</f>
        <v/>
      </c>
      <c r="E41" s="41" t="inlineStr">
        <is>
          <t>TD</t>
        </is>
      </c>
      <c r="F41" s="41" t="inlineStr">
        <is>
          <t>T12</t>
        </is>
      </c>
      <c r="G41" s="34" t="inlineStr">
        <is>
          <t>UI / screens - Write the test cases for this component</t>
        </is>
      </c>
      <c r="H41" s="75" t="n">
        <v>0.4791666666666667</v>
      </c>
      <c r="I41" s="75" t="n">
        <v>0.5416666666666666</v>
      </c>
      <c r="J41" s="44" t="n">
        <v>0</v>
      </c>
      <c r="K41" s="26">
        <f>IF(OR($H41="",$I41=""),"",MAX(0,ROUND(($I41-$H41)*1440,0)-N($J41)))</f>
        <v/>
      </c>
      <c r="L41" s="41" t="inlineStr">
        <is>
          <t>No</t>
        </is>
      </c>
      <c r="M41" s="34" t="n"/>
    </row>
    <row r="42">
      <c r="A42" s="132" t="n">
        <v>46319</v>
      </c>
      <c r="B42" s="34" t="inlineStr">
        <is>
          <t>Daniel Wong Jun Hao</t>
        </is>
      </c>
      <c r="C42" s="41" t="inlineStr">
        <is>
          <t>M1</t>
        </is>
      </c>
      <c r="D42" s="26">
        <f>IF($A42="","",3+INT(($A42-DATE(2026,10,5))/7))</f>
        <v/>
      </c>
      <c r="E42" s="41" t="inlineStr">
        <is>
          <t>DLDINSP</t>
        </is>
      </c>
      <c r="F42" s="41" t="inlineStr">
        <is>
          <t>T13</t>
        </is>
      </c>
      <c r="G42" s="34" t="inlineStr">
        <is>
          <t>UI / screens - Team inspection of the detailed design</t>
        </is>
      </c>
      <c r="H42" s="75" t="n">
        <v>0.6631944444444444</v>
      </c>
      <c r="I42" s="75" t="n">
        <v>0.7048611111111112</v>
      </c>
      <c r="J42" s="44" t="n">
        <v>0</v>
      </c>
      <c r="K42" s="26">
        <f>IF(OR($H42="",$I42=""),"",MAX(0,ROUND(($I42-$H42)*1440,0)-N($J42)))</f>
        <v/>
      </c>
      <c r="L42" s="41" t="inlineStr">
        <is>
          <t>No</t>
        </is>
      </c>
      <c r="M42" s="34" t="n"/>
    </row>
    <row r="43">
      <c r="A43" s="132" t="n">
        <v>46321</v>
      </c>
      <c r="B43" s="34" t="inlineStr">
        <is>
          <t>Daniel Wong Jun Hao</t>
        </is>
      </c>
      <c r="C43" s="41" t="inlineStr">
        <is>
          <t>M2</t>
        </is>
      </c>
      <c r="D43" s="26">
        <f>IF($A43="","",3+INT(($A43-DATE(2026,10,5))/7))</f>
        <v/>
      </c>
      <c r="E43" s="41" t="inlineStr">
        <is>
          <t>CODE</t>
        </is>
      </c>
      <c r="F43" s="41" t="inlineStr">
        <is>
          <t>T14</t>
        </is>
      </c>
      <c r="G43" s="34" t="inlineStr">
        <is>
          <t>UI / screens - Implement in Dart / Flutter</t>
        </is>
      </c>
      <c r="H43" s="75" t="n">
        <v>0.8194444444444444</v>
      </c>
      <c r="I43" s="75" t="n">
        <v>0.9069444444444444</v>
      </c>
      <c r="J43" s="44" t="n">
        <v>0</v>
      </c>
      <c r="K43" s="26">
        <f>IF(OR($H43="",$I43=""),"",MAX(0,ROUND(($I43-$H43)*1440,0)-N($J43)))</f>
        <v/>
      </c>
      <c r="L43" s="41" t="inlineStr">
        <is>
          <t>No</t>
        </is>
      </c>
      <c r="M43" s="34" t="n"/>
    </row>
    <row r="44">
      <c r="A44" s="132" t="n">
        <v>46322</v>
      </c>
      <c r="B44" s="34" t="inlineStr">
        <is>
          <t>Daniel Wong Jun Hao</t>
        </is>
      </c>
      <c r="C44" s="41" t="inlineStr">
        <is>
          <t>M2</t>
        </is>
      </c>
      <c r="D44" s="26">
        <f>IF($A44="","",3+INT(($A44-DATE(2026,10,5))/7))</f>
        <v/>
      </c>
      <c r="E44" s="41" t="inlineStr">
        <is>
          <t>CR</t>
        </is>
      </c>
      <c r="F44" s="41" t="inlineStr">
        <is>
          <t>T15</t>
        </is>
      </c>
      <c r="G44" s="34" t="inlineStr">
        <is>
          <t>UI / screens - Pull-request review by a teammate</t>
        </is>
      </c>
      <c r="H44" s="75" t="n">
        <v>0.6111111111111112</v>
      </c>
      <c r="I44" s="75" t="n">
        <v>0.6527777777777778</v>
      </c>
      <c r="J44" s="44" t="n">
        <v>0</v>
      </c>
      <c r="K44" s="26">
        <f>IF(OR($H44="",$I44=""),"",MAX(0,ROUND(($I44-$H44)*1440,0)-N($J44)))</f>
        <v/>
      </c>
      <c r="L44" s="41" t="inlineStr">
        <is>
          <t>No</t>
        </is>
      </c>
      <c r="M44" s="34" t="n"/>
    </row>
    <row r="45">
      <c r="A45" s="132" t="n">
        <v>46323</v>
      </c>
      <c r="B45" s="34" t="inlineStr">
        <is>
          <t>Daniel Wong Jun Hao</t>
        </is>
      </c>
      <c r="C45" s="41" t="inlineStr">
        <is>
          <t>M2</t>
        </is>
      </c>
      <c r="D45" s="26">
        <f>IF($A45="","",3+INT(($A45-DATE(2026,10,5))/7))</f>
        <v/>
      </c>
      <c r="E45" s="41" t="inlineStr">
        <is>
          <t>BUILD</t>
        </is>
      </c>
      <c r="F45" s="41" t="inlineStr">
        <is>
          <t>T16</t>
        </is>
      </c>
      <c r="G45" s="34" t="inlineStr">
        <is>
          <t>UI / screens - flutter analyze and build, fix what it reports</t>
        </is>
      </c>
      <c r="H45" s="75" t="n">
        <v>0.7152777777777778</v>
      </c>
      <c r="I45" s="75" t="n">
        <v>0.7819444444444444</v>
      </c>
      <c r="J45" s="44" t="n">
        <v>0</v>
      </c>
      <c r="K45" s="26">
        <f>IF(OR($H45="",$I45=""),"",MAX(0,ROUND(($I45-$H45)*1440,0)-N($J45)))</f>
        <v/>
      </c>
      <c r="L45" s="41" t="inlineStr">
        <is>
          <t>No</t>
        </is>
      </c>
      <c r="M45" s="34" t="n"/>
    </row>
    <row r="46">
      <c r="A46" s="132" t="n">
        <v>46324</v>
      </c>
      <c r="B46" s="34" t="inlineStr">
        <is>
          <t>Daniel Wong Jun Hao</t>
        </is>
      </c>
      <c r="C46" s="41" t="inlineStr">
        <is>
          <t>M2</t>
        </is>
      </c>
      <c r="D46" s="26">
        <f>IF($A46="","",3+INT(($A46-DATE(2026,10,5))/7))</f>
        <v/>
      </c>
      <c r="E46" s="41" t="inlineStr">
        <is>
          <t>CODEINSP</t>
        </is>
      </c>
      <c r="F46" s="41" t="inlineStr">
        <is>
          <t>T17</t>
        </is>
      </c>
      <c r="G46" s="34" t="inlineStr">
        <is>
          <t>UI / screens - Team code inspection</t>
        </is>
      </c>
      <c r="H46" s="75" t="n">
        <v>0.5104166666666666</v>
      </c>
      <c r="I46" s="75" t="n">
        <v>0.59375</v>
      </c>
      <c r="J46" s="44" t="n">
        <v>0</v>
      </c>
      <c r="K46" s="26">
        <f>IF(OR($H46="",$I46=""),"",MAX(0,ROUND(($I46-$H46)*1440,0)-N($J46)))</f>
        <v/>
      </c>
      <c r="L46" s="41" t="inlineStr">
        <is>
          <t>No</t>
        </is>
      </c>
      <c r="M46" s="34" t="n"/>
    </row>
    <row r="47">
      <c r="A47" s="132" t="n">
        <v>46300</v>
      </c>
      <c r="B47" s="34" t="inlineStr">
        <is>
          <t>Mei Ling Chong</t>
        </is>
      </c>
      <c r="C47" s="41" t="inlineStr">
        <is>
          <t>M1</t>
        </is>
      </c>
      <c r="D47" s="26">
        <f>IF($A47="","",3+INT(($A47-DATE(2026,10,5))/7))</f>
        <v/>
      </c>
      <c r="E47" s="41" t="inlineStr">
        <is>
          <t>MGMT</t>
        </is>
      </c>
      <c r="F47" s="41" t="inlineStr">
        <is>
          <t>T01</t>
        </is>
      </c>
      <c r="G47" s="34" t="inlineStr">
        <is>
          <t>SYSTEM - Team admin, lab attendance, instructor check-ins</t>
        </is>
      </c>
      <c r="H47" s="75" t="n">
        <v>0.6458333333333334</v>
      </c>
      <c r="I47" s="75" t="n">
        <v>0.7291666666666666</v>
      </c>
      <c r="J47" s="44" t="n">
        <v>0</v>
      </c>
      <c r="K47" s="26">
        <f>IF(OR($H47="",$I47=""),"",MAX(0,ROUND(($I47-$H47)*1440,0)-N($J47)))</f>
        <v/>
      </c>
      <c r="L47" s="41" t="inlineStr">
        <is>
          <t>No</t>
        </is>
      </c>
      <c r="M47" s="34" t="n"/>
    </row>
    <row r="48">
      <c r="A48" s="132" t="n">
        <v>46301</v>
      </c>
      <c r="B48" s="34" t="inlineStr">
        <is>
          <t>Mei Ling Chong</t>
        </is>
      </c>
      <c r="C48" s="41" t="inlineStr">
        <is>
          <t>M1</t>
        </is>
      </c>
      <c r="D48" s="26">
        <f>IF($A48="","",3+INT(($A48-DATE(2026,10,5))/7))</f>
        <v/>
      </c>
      <c r="E48" s="41" t="inlineStr">
        <is>
          <t>STRAT</t>
        </is>
      </c>
      <c r="F48" s="41" t="inlineStr">
        <is>
          <t>T02</t>
        </is>
      </c>
      <c r="G48" s="34" t="inlineStr">
        <is>
          <t>SYSTEM - Launch meeting, cycle strategy and stack decisions</t>
        </is>
      </c>
      <c r="H48" s="75" t="n">
        <v>0.5902777777777778</v>
      </c>
      <c r="I48" s="75" t="n">
        <v>0.6729166666666667</v>
      </c>
      <c r="J48" s="44" t="n">
        <v>0</v>
      </c>
      <c r="K48" s="26">
        <f>IF(OR($H48="",$I48=""),"",MAX(0,ROUND(($I48-$H48)*1440,0)-N($J48)))</f>
        <v/>
      </c>
      <c r="L48" s="41" t="inlineStr">
        <is>
          <t>No</t>
        </is>
      </c>
      <c r="M48" s="34" t="n"/>
    </row>
    <row r="49">
      <c r="A49" s="132" t="n">
        <v>46302</v>
      </c>
      <c r="B49" s="34" t="inlineStr">
        <is>
          <t>Mei Ling Chong</t>
        </is>
      </c>
      <c r="C49" s="41" t="inlineStr">
        <is>
          <t>M1</t>
        </is>
      </c>
      <c r="D49" s="26">
        <f>IF($A49="","",3+INT(($A49-DATE(2026,10,5))/7))</f>
        <v/>
      </c>
      <c r="E49" s="41" t="inlineStr">
        <is>
          <t>PLAN</t>
        </is>
      </c>
      <c r="F49" s="41" t="inlineStr">
        <is>
          <t>T03</t>
        </is>
      </c>
      <c r="G49" s="34" t="inlineStr">
        <is>
          <t>SYSTEM - Task and schedule plan for the cycle</t>
        </is>
      </c>
      <c r="H49" s="75" t="n">
        <v>0.4166666666666667</v>
      </c>
      <c r="I49" s="75" t="n">
        <v>0.5090277777777777</v>
      </c>
      <c r="J49" s="44" t="n">
        <v>0</v>
      </c>
      <c r="K49" s="26">
        <f>IF(OR($H49="",$I49=""),"",MAX(0,ROUND(($I49-$H49)*1440,0)-N($J49)))</f>
        <v/>
      </c>
      <c r="L49" s="41" t="inlineStr">
        <is>
          <t>No</t>
        </is>
      </c>
      <c r="M49" s="34" t="n"/>
    </row>
    <row r="50">
      <c r="A50" s="132" t="n">
        <v>46310</v>
      </c>
      <c r="B50" s="34" t="inlineStr">
        <is>
          <t>Mei Ling Chong</t>
        </is>
      </c>
      <c r="C50" s="41" t="inlineStr">
        <is>
          <t>M1</t>
        </is>
      </c>
      <c r="D50" s="26">
        <f>IF($A50="","",3+INT(($A50-DATE(2026,10,5))/7))</f>
        <v/>
      </c>
      <c r="E50" s="41" t="inlineStr">
        <is>
          <t>STP</t>
        </is>
      </c>
      <c r="F50" s="41" t="inlineStr">
        <is>
          <t>T05</t>
        </is>
      </c>
      <c r="G50" s="34" t="inlineStr">
        <is>
          <t>SYSTEM - System test plan</t>
        </is>
      </c>
      <c r="H50" s="75" t="n">
        <v>0.59375</v>
      </c>
      <c r="I50" s="75" t="n">
        <v>0.6666666666666666</v>
      </c>
      <c r="J50" s="44" t="n">
        <v>0</v>
      </c>
      <c r="K50" s="26">
        <f>IF(OR($H50="",$I50=""),"",MAX(0,ROUND(($I50-$H50)*1440,0)-N($J50)))</f>
        <v/>
      </c>
      <c r="L50" s="41" t="inlineStr">
        <is>
          <t>No</t>
        </is>
      </c>
      <c r="M50" s="34" t="n"/>
    </row>
    <row r="51">
      <c r="A51" s="132" t="n">
        <v>46311</v>
      </c>
      <c r="B51" s="34" t="inlineStr">
        <is>
          <t>Mei Ling Chong</t>
        </is>
      </c>
      <c r="C51" s="41" t="inlineStr">
        <is>
          <t>M1</t>
        </is>
      </c>
      <c r="D51" s="26">
        <f>IF($A51="","",3+INT(($A51-DATE(2026,10,5))/7))</f>
        <v/>
      </c>
      <c r="E51" s="41" t="inlineStr">
        <is>
          <t>REQINSP</t>
        </is>
      </c>
      <c r="F51" s="41" t="inlineStr">
        <is>
          <t>T06</t>
        </is>
      </c>
      <c r="G51" s="34" t="inlineStr">
        <is>
          <t>SYSTEM - Team inspection of the SRS</t>
        </is>
      </c>
      <c r="H51" s="75" t="n">
        <v>0.3125</v>
      </c>
      <c r="I51" s="75" t="n">
        <v>0.4118055555555555</v>
      </c>
      <c r="J51" s="44" t="n">
        <v>30</v>
      </c>
      <c r="K51" s="26">
        <f>IF(OR($H51="",$I51=""),"",MAX(0,ROUND(($I51-$H51)*1440,0)-N($J51)))</f>
        <v/>
      </c>
      <c r="L51" s="41" t="inlineStr">
        <is>
          <t>No</t>
        </is>
      </c>
      <c r="M51" s="34" t="inlineStr">
        <is>
          <t>breakfast</t>
        </is>
      </c>
    </row>
    <row r="52">
      <c r="A52" s="132" t="n">
        <v>46312</v>
      </c>
      <c r="B52" s="34" t="inlineStr">
        <is>
          <t>Mei Ling Chong</t>
        </is>
      </c>
      <c r="C52" s="41" t="inlineStr">
        <is>
          <t>M1</t>
        </is>
      </c>
      <c r="D52" s="26">
        <f>IF($A52="","",3+INT(($A52-DATE(2026,10,5))/7))</f>
        <v/>
      </c>
      <c r="E52" s="41" t="inlineStr">
        <is>
          <t>HLD</t>
        </is>
      </c>
      <c r="F52" s="41" t="inlineStr">
        <is>
          <t>T07</t>
        </is>
      </c>
      <c r="G52" s="34" t="inlineStr">
        <is>
          <t>SYSTEM - Architecture and SDD</t>
        </is>
      </c>
      <c r="H52" s="75" t="n">
        <v>0.8541666666666666</v>
      </c>
      <c r="I52" s="75" t="n">
        <v>0.8930555555555556</v>
      </c>
      <c r="J52" s="44" t="n">
        <v>0</v>
      </c>
      <c r="K52" s="26">
        <f>IF(OR($H52="",$I52=""),"",MAX(0,ROUND(($I52-$H52)*1440,0)-N($J52)))</f>
        <v/>
      </c>
      <c r="L52" s="41" t="inlineStr">
        <is>
          <t>No</t>
        </is>
      </c>
      <c r="M52" s="34" t="n"/>
    </row>
    <row r="53">
      <c r="A53" s="132" t="n">
        <v>46307</v>
      </c>
      <c r="B53" s="34" t="inlineStr">
        <is>
          <t>Mei Ling Chong</t>
        </is>
      </c>
      <c r="C53" s="41" t="inlineStr">
        <is>
          <t>M1</t>
        </is>
      </c>
      <c r="D53" s="26">
        <f>IF($A53="","",3+INT(($A53-DATE(2026,10,5))/7))</f>
        <v/>
      </c>
      <c r="E53" s="41" t="inlineStr">
        <is>
          <t>ITP</t>
        </is>
      </c>
      <c r="F53" s="41" t="inlineStr">
        <is>
          <t>T08</t>
        </is>
      </c>
      <c r="G53" s="34" t="inlineStr">
        <is>
          <t>SYSTEM - Integration test plan</t>
        </is>
      </c>
      <c r="H53" s="75" t="n">
        <v>0.625</v>
      </c>
      <c r="I53" s="75" t="n">
        <v>0.7243055555555555</v>
      </c>
      <c r="J53" s="44" t="n">
        <v>20</v>
      </c>
      <c r="K53" s="26">
        <f>IF(OR($H53="",$I53=""),"",MAX(0,ROUND(($I53-$H53)*1440,0)-N($J53)))</f>
        <v/>
      </c>
      <c r="L53" s="41" t="inlineStr">
        <is>
          <t>No</t>
        </is>
      </c>
      <c r="M53" s="34" t="inlineStr">
        <is>
          <t>solve other matters</t>
        </is>
      </c>
    </row>
    <row r="54">
      <c r="A54" s="132" t="n">
        <v>46315</v>
      </c>
      <c r="B54" s="34" t="inlineStr">
        <is>
          <t>Mei Ling Chong</t>
        </is>
      </c>
      <c r="C54" s="41" t="inlineStr">
        <is>
          <t>M1</t>
        </is>
      </c>
      <c r="D54" s="26">
        <f>IF($A54="","",3+INT(($A54-DATE(2026,10,5))/7))</f>
        <v/>
      </c>
      <c r="E54" s="41" t="inlineStr">
        <is>
          <t>DLDR</t>
        </is>
      </c>
      <c r="F54" s="41" t="inlineStr">
        <is>
          <t>T11</t>
        </is>
      </c>
      <c r="G54" s="34" t="inlineStr">
        <is>
          <t>UI / screens - Personal review of the detailed design</t>
        </is>
      </c>
      <c r="H54" s="75" t="n">
        <v>0.6666666666666666</v>
      </c>
      <c r="I54" s="75" t="n">
        <v>0.7083333333333334</v>
      </c>
      <c r="J54" s="44" t="n">
        <v>0</v>
      </c>
      <c r="K54" s="26">
        <f>IF(OR($H54="",$I54=""),"",MAX(0,ROUND(($I54-$H54)*1440,0)-N($J54)))</f>
        <v/>
      </c>
      <c r="L54" s="41" t="inlineStr">
        <is>
          <t>No</t>
        </is>
      </c>
      <c r="M54" s="34" t="n"/>
    </row>
    <row r="55">
      <c r="A55" s="132" t="n">
        <v>46316</v>
      </c>
      <c r="B55" s="34" t="inlineStr">
        <is>
          <t>Mei Ling Chong</t>
        </is>
      </c>
      <c r="C55" s="41" t="inlineStr">
        <is>
          <t>M1</t>
        </is>
      </c>
      <c r="D55" s="26">
        <f>IF($A55="","",3+INT(($A55-DATE(2026,10,5))/7))</f>
        <v/>
      </c>
      <c r="E55" s="41" t="inlineStr">
        <is>
          <t>TD</t>
        </is>
      </c>
      <c r="F55" s="41" t="inlineStr">
        <is>
          <t>T12</t>
        </is>
      </c>
      <c r="G55" s="34" t="inlineStr">
        <is>
          <t>UI / screens - Write the test cases for this component</t>
        </is>
      </c>
      <c r="H55" s="75" t="n">
        <v>0.6666666666666666</v>
      </c>
      <c r="I55" s="75" t="n">
        <v>0.8333333333333334</v>
      </c>
      <c r="J55" s="44" t="n">
        <v>60</v>
      </c>
      <c r="K55" s="26">
        <f>IF(OR($H55="",$I55=""),"",MAX(0,ROUND(($I55-$H55)*1440,0)-N($J55)))</f>
        <v/>
      </c>
      <c r="L55" s="41" t="inlineStr">
        <is>
          <t>No</t>
        </is>
      </c>
      <c r="M55" s="34" t="inlineStr">
        <is>
          <t>dinner</t>
        </is>
      </c>
    </row>
    <row r="56">
      <c r="A56" s="132" t="n">
        <v>46317</v>
      </c>
      <c r="B56" s="34" t="inlineStr">
        <is>
          <t>Mei Ling Chong</t>
        </is>
      </c>
      <c r="C56" s="41" t="inlineStr">
        <is>
          <t>M1</t>
        </is>
      </c>
      <c r="D56" s="26">
        <f>IF($A56="","",3+INT(($A56-DATE(2026,10,5))/7))</f>
        <v/>
      </c>
      <c r="E56" s="41" t="inlineStr">
        <is>
          <t>DLDINSP</t>
        </is>
      </c>
      <c r="F56" s="41" t="inlineStr">
        <is>
          <t>T13</t>
        </is>
      </c>
      <c r="G56" s="34" t="inlineStr">
        <is>
          <t>UI / screens - Team inspection of the detailed design</t>
        </is>
      </c>
      <c r="H56" s="75" t="n">
        <v>0.5833333333333334</v>
      </c>
      <c r="I56" s="75" t="n">
        <v>0.6604166666666667</v>
      </c>
      <c r="J56" s="44" t="n">
        <v>0</v>
      </c>
      <c r="K56" s="26">
        <f>IF(OR($H56="",$I56=""),"",MAX(0,ROUND(($I56-$H56)*1440,0)-N($J56)))</f>
        <v/>
      </c>
      <c r="L56" s="41" t="inlineStr">
        <is>
          <t>No</t>
        </is>
      </c>
      <c r="M56" s="34" t="n"/>
    </row>
    <row r="57">
      <c r="A57" s="132" t="n">
        <v>46325</v>
      </c>
      <c r="B57" s="34" t="inlineStr">
        <is>
          <t>Mei Ling Chong</t>
        </is>
      </c>
      <c r="C57" s="41" t="inlineStr">
        <is>
          <t>M2</t>
        </is>
      </c>
      <c r="D57" s="26">
        <f>IF($A57="","",3+INT(($A57-DATE(2026,10,5))/7))</f>
        <v/>
      </c>
      <c r="E57" s="41" t="inlineStr">
        <is>
          <t>CODE</t>
        </is>
      </c>
      <c r="F57" s="41" t="inlineStr">
        <is>
          <t>T14</t>
        </is>
      </c>
      <c r="G57" s="34" t="inlineStr">
        <is>
          <t>UI / screens - Implement in Dart / Flutter</t>
        </is>
      </c>
      <c r="H57" s="75" t="n">
        <v>0.4479166666666667</v>
      </c>
      <c r="I57" s="75" t="n">
        <v>0.5833333333333334</v>
      </c>
      <c r="J57" s="44" t="n">
        <v>30</v>
      </c>
      <c r="K57" s="26">
        <f>IF(OR($H57="",$I57=""),"",MAX(0,ROUND(($I57-$H57)*1440,0)-N($J57)))</f>
        <v/>
      </c>
      <c r="L57" s="41" t="inlineStr">
        <is>
          <t>No</t>
        </is>
      </c>
      <c r="M57" s="34" t="inlineStr">
        <is>
          <t>lunch</t>
        </is>
      </c>
    </row>
    <row r="58">
      <c r="A58" s="132" t="n">
        <v>46326</v>
      </c>
      <c r="B58" s="34" t="inlineStr">
        <is>
          <t>Mei Ling Chong</t>
        </is>
      </c>
      <c r="C58" s="41" t="inlineStr">
        <is>
          <t>M2</t>
        </is>
      </c>
      <c r="D58" s="26">
        <f>IF($A58="","",3+INT(($A58-DATE(2026,10,5))/7))</f>
        <v/>
      </c>
      <c r="E58" s="41" t="inlineStr">
        <is>
          <t>CR</t>
        </is>
      </c>
      <c r="F58" s="41" t="inlineStr">
        <is>
          <t>T15</t>
        </is>
      </c>
      <c r="G58" s="34" t="inlineStr">
        <is>
          <t>UI / screens - Pull-request review by a teammate</t>
        </is>
      </c>
      <c r="H58" s="75" t="n">
        <v>0.7916666666666666</v>
      </c>
      <c r="I58" s="75" t="n">
        <v>0.9166666666666666</v>
      </c>
      <c r="J58" s="44" t="n">
        <v>0</v>
      </c>
      <c r="K58" s="26">
        <f>IF(OR($H58="",$I58=""),"",MAX(0,ROUND(($I58-$H58)*1440,0)-N($J58)))</f>
        <v/>
      </c>
      <c r="L58" s="41" t="inlineStr">
        <is>
          <t>No</t>
        </is>
      </c>
      <c r="M58" s="34" t="n"/>
    </row>
    <row r="59">
      <c r="A59" s="132" t="n">
        <v>46321</v>
      </c>
      <c r="B59" s="34" t="inlineStr">
        <is>
          <t>Mei Ling Chong</t>
        </is>
      </c>
      <c r="C59" s="41" t="inlineStr">
        <is>
          <t>M2</t>
        </is>
      </c>
      <c r="D59" s="26">
        <f>IF($A59="","",3+INT(($A59-DATE(2026,10,5))/7))</f>
        <v/>
      </c>
      <c r="E59" s="41" t="inlineStr">
        <is>
          <t>CODEINSP</t>
        </is>
      </c>
      <c r="F59" s="41" t="inlineStr">
        <is>
          <t>T17</t>
        </is>
      </c>
      <c r="G59" s="34" t="inlineStr">
        <is>
          <t>UI / screens - Team code inspection</t>
        </is>
      </c>
      <c r="H59" s="75" t="n">
        <v>0.7708333333333334</v>
      </c>
      <c r="I59" s="75" t="n">
        <v>0.8506944444444444</v>
      </c>
      <c r="J59" s="44" t="n">
        <v>0</v>
      </c>
      <c r="K59" s="26">
        <f>IF(OR($H59="",$I59=""),"",MAX(0,ROUND(($I59-$H59)*1440,0)-N($J59)))</f>
        <v/>
      </c>
      <c r="L59" s="41" t="inlineStr">
        <is>
          <t>No</t>
        </is>
      </c>
      <c r="M59" s="34" t="n"/>
    </row>
    <row r="60">
      <c r="A60" s="132" t="n">
        <v>46329</v>
      </c>
      <c r="B60" s="34" t="inlineStr">
        <is>
          <t>Mei Ling Chong</t>
        </is>
      </c>
      <c r="C60" s="41" t="inlineStr">
        <is>
          <t>M2</t>
        </is>
      </c>
      <c r="D60" s="26">
        <f>IF($A60="","",3+INT(($A60-DATE(2026,10,5))/7))</f>
        <v/>
      </c>
      <c r="E60" s="41" t="inlineStr">
        <is>
          <t>UT</t>
        </is>
      </c>
      <c r="F60" s="41" t="inlineStr">
        <is>
          <t>T18</t>
        </is>
      </c>
      <c r="G60" s="34" t="inlineStr">
        <is>
          <t>UI / screens - Unit tests for this component</t>
        </is>
      </c>
      <c r="H60" s="75" t="n">
        <v>0.6666666666666666</v>
      </c>
      <c r="I60" s="75" t="n">
        <v>0.9118055555555555</v>
      </c>
      <c r="J60" s="44" t="n">
        <v>120</v>
      </c>
      <c r="K60" s="26">
        <f>IF(OR($H60="",$I60=""),"",MAX(0,ROUND(($I60-$H60)*1440,0)-N($J60)))</f>
        <v/>
      </c>
      <c r="L60" s="41" t="inlineStr">
        <is>
          <t>No</t>
        </is>
      </c>
      <c r="M60" s="34" t="inlineStr">
        <is>
          <t>rest, dinner</t>
        </is>
      </c>
    </row>
    <row r="61">
      <c r="A61" s="132" t="n">
        <v>46330</v>
      </c>
      <c r="B61" s="34" t="inlineStr">
        <is>
          <t>Mei Ling Chong</t>
        </is>
      </c>
      <c r="C61" s="41" t="inlineStr">
        <is>
          <t>M2</t>
        </is>
      </c>
      <c r="D61" s="26">
        <f>IF($A61="","",3+INT(($A61-DATE(2026,10,5))/7))</f>
        <v/>
      </c>
      <c r="E61" s="41" t="inlineStr">
        <is>
          <t>DLDR</t>
        </is>
      </c>
      <c r="F61" s="41" t="inlineStr">
        <is>
          <t>T20</t>
        </is>
      </c>
      <c r="G61" s="34" t="inlineStr">
        <is>
          <t>Order &amp; catalogue service - Personal review of the detailed design</t>
        </is>
      </c>
      <c r="H61" s="75" t="n">
        <v>0.8055555555555556</v>
      </c>
      <c r="I61" s="75" t="n">
        <v>0.9548611111111112</v>
      </c>
      <c r="J61" s="44" t="n">
        <v>0</v>
      </c>
      <c r="K61" s="26">
        <f>IF(OR($H61="",$I61=""),"",MAX(0,ROUND(($I61-$H61)*1440,0)-N($J61)))</f>
        <v/>
      </c>
      <c r="L61" s="41" t="inlineStr">
        <is>
          <t>No</t>
        </is>
      </c>
      <c r="M61" s="34" t="n"/>
    </row>
    <row r="62">
      <c r="A62" s="132" t="n">
        <v>46331</v>
      </c>
      <c r="B62" s="34" t="inlineStr">
        <is>
          <t>Mei Ling Chong</t>
        </is>
      </c>
      <c r="C62" s="41" t="inlineStr">
        <is>
          <t>M2</t>
        </is>
      </c>
      <c r="D62" s="26">
        <f>IF($A62="","",3+INT(($A62-DATE(2026,10,5))/7))</f>
        <v/>
      </c>
      <c r="E62" s="41" t="inlineStr">
        <is>
          <t>TD</t>
        </is>
      </c>
      <c r="F62" s="41" t="inlineStr">
        <is>
          <t>T21</t>
        </is>
      </c>
      <c r="G62" s="34" t="inlineStr">
        <is>
          <t>Order &amp; catalogue service - Write the test cases for this component</t>
        </is>
      </c>
      <c r="H62" s="75" t="n">
        <v>0.4166666666666667</v>
      </c>
      <c r="I62" s="75" t="n">
        <v>0.5798611111111112</v>
      </c>
      <c r="J62" s="44" t="n">
        <v>0</v>
      </c>
      <c r="K62" s="26">
        <f>IF(OR($H62="",$I62=""),"",MAX(0,ROUND(($I62-$H62)*1440,0)-N($J62)))</f>
        <v/>
      </c>
      <c r="L62" s="41" t="inlineStr">
        <is>
          <t>No</t>
        </is>
      </c>
      <c r="M62" s="34" t="n"/>
    </row>
    <row r="63">
      <c r="A63" s="132" t="n">
        <v>46332</v>
      </c>
      <c r="B63" s="34" t="inlineStr">
        <is>
          <t>Mei Ling Chong</t>
        </is>
      </c>
      <c r="C63" s="41" t="inlineStr">
        <is>
          <t>M2</t>
        </is>
      </c>
      <c r="D63" s="26">
        <f>IF($A63="","",3+INT(($A63-DATE(2026,10,5))/7))</f>
        <v/>
      </c>
      <c r="E63" s="41" t="inlineStr">
        <is>
          <t>DLDINSP</t>
        </is>
      </c>
      <c r="F63" s="41" t="inlineStr">
        <is>
          <t>T22</t>
        </is>
      </c>
      <c r="G63" s="34" t="inlineStr">
        <is>
          <t>Order &amp; catalogue service - Team inspection of the detailed design</t>
        </is>
      </c>
      <c r="H63" s="75" t="n">
        <v>0.625</v>
      </c>
      <c r="I63" s="75" t="n">
        <v>0.7291666666666666</v>
      </c>
      <c r="J63" s="44" t="n">
        <v>0</v>
      </c>
      <c r="K63" s="26">
        <f>IF(OR($H63="",$I63=""),"",MAX(0,ROUND(($I63-$H63)*1440,0)-N($J63)))</f>
        <v/>
      </c>
      <c r="L63" s="41" t="inlineStr">
        <is>
          <t>No</t>
        </is>
      </c>
      <c r="M63" s="34" t="n"/>
    </row>
    <row r="64">
      <c r="A64" s="132" t="n">
        <v>46347</v>
      </c>
      <c r="B64" s="34" t="inlineStr">
        <is>
          <t>Mei Ling Chong</t>
        </is>
      </c>
      <c r="C64" s="41" t="inlineStr">
        <is>
          <t>M2</t>
        </is>
      </c>
      <c r="D64" s="26">
        <f>IF($A64="","",3+INT(($A64-DATE(2026,10,5))/7))</f>
        <v/>
      </c>
      <c r="E64" s="41" t="inlineStr">
        <is>
          <t>CR</t>
        </is>
      </c>
      <c r="F64" s="41" t="inlineStr">
        <is>
          <t>T24</t>
        </is>
      </c>
      <c r="G64" s="34" t="inlineStr">
        <is>
          <t>Order &amp; catalogue service - Pull-request review by a teammate</t>
        </is>
      </c>
      <c r="H64" s="75" t="n">
        <v>0.4583333333333333</v>
      </c>
      <c r="I64" s="75" t="n">
        <v>0.6180555555555556</v>
      </c>
      <c r="J64" s="44" t="n">
        <v>60</v>
      </c>
      <c r="K64" s="26">
        <f>IF(OR($H64="",$I64=""),"",MAX(0,ROUND(($I64-$H64)*1440,0)-N($J64)))</f>
        <v/>
      </c>
      <c r="L64" s="41" t="inlineStr">
        <is>
          <t>No</t>
        </is>
      </c>
      <c r="M64" s="34" t="inlineStr">
        <is>
          <t>lunch</t>
        </is>
      </c>
    </row>
    <row r="65">
      <c r="A65" s="132" t="n">
        <v>46342</v>
      </c>
      <c r="B65" s="34" t="inlineStr">
        <is>
          <t>Mei Ling Chong</t>
        </is>
      </c>
      <c r="C65" s="41" t="inlineStr">
        <is>
          <t>M2</t>
        </is>
      </c>
      <c r="D65" s="26">
        <f>IF($A65="","",3+INT(($A65-DATE(2026,10,5))/7))</f>
        <v/>
      </c>
      <c r="E65" s="41" t="inlineStr">
        <is>
          <t>BUILD</t>
        </is>
      </c>
      <c r="F65" s="41" t="inlineStr">
        <is>
          <t>T25</t>
        </is>
      </c>
      <c r="G65" s="34" t="inlineStr">
        <is>
          <t>Order &amp; catalogue service - flutter analyze and build, fix what it rep</t>
        </is>
      </c>
      <c r="H65" s="75" t="n">
        <v>0.7083333333333334</v>
      </c>
      <c r="I65" s="75" t="n">
        <v>0.8229166666666666</v>
      </c>
      <c r="J65" s="44" t="n">
        <v>0</v>
      </c>
      <c r="K65" s="26">
        <f>IF(OR($H65="",$I65=""),"",MAX(0,ROUND(($I65-$H65)*1440,0)-N($J65)))</f>
        <v/>
      </c>
      <c r="L65" s="41" t="inlineStr">
        <is>
          <t>No</t>
        </is>
      </c>
      <c r="M65" s="34" t="n"/>
    </row>
    <row r="66">
      <c r="A66" s="132" t="n">
        <v>46343</v>
      </c>
      <c r="B66" s="34" t="inlineStr">
        <is>
          <t>Mei Ling Chong</t>
        </is>
      </c>
      <c r="C66" s="41" t="inlineStr">
        <is>
          <t>M2</t>
        </is>
      </c>
      <c r="D66" s="26">
        <f>IF($A66="","",3+INT(($A66-DATE(2026,10,5))/7))</f>
        <v/>
      </c>
      <c r="E66" s="41" t="inlineStr">
        <is>
          <t>CODEINSP</t>
        </is>
      </c>
      <c r="F66" s="41" t="inlineStr">
        <is>
          <t>T26</t>
        </is>
      </c>
      <c r="G66" s="34" t="inlineStr">
        <is>
          <t>Order &amp; catalogue service - Team code inspection</t>
        </is>
      </c>
      <c r="H66" s="75" t="n">
        <v>0.8333333333333334</v>
      </c>
      <c r="I66" s="75" t="n">
        <v>0.9791666666666666</v>
      </c>
      <c r="J66" s="44" t="n">
        <v>0</v>
      </c>
      <c r="K66" s="26">
        <f>IF(OR($H66="",$I66=""),"",MAX(0,ROUND(($I66-$H66)*1440,0)-N($J66)))</f>
        <v/>
      </c>
      <c r="L66" s="41" t="inlineStr">
        <is>
          <t>No</t>
        </is>
      </c>
      <c r="M66" s="34" t="n"/>
    </row>
    <row r="67">
      <c r="A67" s="132" t="n">
        <v>46344</v>
      </c>
      <c r="B67" s="34" t="inlineStr">
        <is>
          <t>Mei Ling Chong</t>
        </is>
      </c>
      <c r="C67" s="41" t="inlineStr">
        <is>
          <t>M2</t>
        </is>
      </c>
      <c r="D67" s="26">
        <f>IF($A67="","",3+INT(($A67-DATE(2026,10,5))/7))</f>
        <v/>
      </c>
      <c r="E67" s="41" t="inlineStr">
        <is>
          <t>UT</t>
        </is>
      </c>
      <c r="F67" s="41" t="inlineStr">
        <is>
          <t>T27</t>
        </is>
      </c>
      <c r="G67" s="34" t="inlineStr">
        <is>
          <t>Order &amp; catalogue service - Unit tests for this component</t>
        </is>
      </c>
      <c r="H67" s="75" t="n">
        <v>0.4375</v>
      </c>
      <c r="I67" s="75" t="n">
        <v>0.6041666666666666</v>
      </c>
      <c r="J67" s="44" t="n">
        <v>0</v>
      </c>
      <c r="K67" s="26">
        <f>IF(OR($H67="",$I67=""),"",MAX(0,ROUND(($I67-$H67)*1440,0)-N($J67)))</f>
        <v/>
      </c>
      <c r="L67" s="41" t="inlineStr">
        <is>
          <t>No</t>
        </is>
      </c>
      <c r="M67" s="34" t="n"/>
    </row>
    <row r="68">
      <c r="A68" s="132" t="n">
        <v>46345</v>
      </c>
      <c r="B68" s="34" t="inlineStr">
        <is>
          <t>Mei Ling Chong</t>
        </is>
      </c>
      <c r="C68" s="41" t="inlineStr">
        <is>
          <t>M2</t>
        </is>
      </c>
      <c r="D68" s="26">
        <f>IF($A68="","",3+INT(($A68-DATE(2026,10,5))/7))</f>
        <v/>
      </c>
      <c r="E68" s="41" t="inlineStr">
        <is>
          <t>DLD</t>
        </is>
      </c>
      <c r="F68" s="41" t="inlineStr">
        <is>
          <t>T28</t>
        </is>
      </c>
      <c r="G68" s="34" t="inlineStr">
        <is>
          <t>Local store &amp; sync - Detailed design of screens, widgets and models</t>
        </is>
      </c>
      <c r="H68" s="75" t="n">
        <v>0.4166666666666667</v>
      </c>
      <c r="I68" s="75" t="n">
        <v>0.5</v>
      </c>
      <c r="J68" s="44" t="n">
        <v>0</v>
      </c>
      <c r="K68" s="26">
        <f>IF(OR($H68="",$I68=""),"",MAX(0,ROUND(($I68-$H68)*1440,0)-N($J68)))</f>
        <v/>
      </c>
      <c r="L68" s="41" t="inlineStr">
        <is>
          <t>No</t>
        </is>
      </c>
      <c r="M68" s="34" t="n"/>
    </row>
    <row r="69">
      <c r="A69" s="132" t="n">
        <v>46346</v>
      </c>
      <c r="B69" s="34" t="inlineStr">
        <is>
          <t>Mei Ling Chong</t>
        </is>
      </c>
      <c r="C69" s="41" t="inlineStr">
        <is>
          <t>M2</t>
        </is>
      </c>
      <c r="D69" s="26">
        <f>IF($A69="","",3+INT(($A69-DATE(2026,10,5))/7))</f>
        <v/>
      </c>
      <c r="E69" s="41" t="inlineStr">
        <is>
          <t>DLDR</t>
        </is>
      </c>
      <c r="F69" s="41" t="inlineStr">
        <is>
          <t>T29</t>
        </is>
      </c>
      <c r="G69" s="34" t="inlineStr">
        <is>
          <t>Local store &amp; sync - Personal review of the detailed design</t>
        </is>
      </c>
      <c r="H69" s="75" t="n">
        <v>0.6041666666666666</v>
      </c>
      <c r="I69" s="75" t="n">
        <v>0.75</v>
      </c>
      <c r="J69" s="44" t="n">
        <v>30</v>
      </c>
      <c r="K69" s="26">
        <f>IF(OR($H69="",$I69=""),"",MAX(0,ROUND(($I69-$H69)*1440,0)-N($J69)))</f>
        <v/>
      </c>
      <c r="L69" s="41" t="inlineStr">
        <is>
          <t>No</t>
        </is>
      </c>
      <c r="M69" s="34" t="inlineStr">
        <is>
          <t>break</t>
        </is>
      </c>
    </row>
    <row r="70">
      <c r="A70" s="132" t="n">
        <v>46354</v>
      </c>
      <c r="B70" s="34" t="inlineStr">
        <is>
          <t>Mei Ling Chong</t>
        </is>
      </c>
      <c r="C70" s="41" t="inlineStr">
        <is>
          <t>M3</t>
        </is>
      </c>
      <c r="D70" s="26">
        <f>IF($A70="","",3+INT(($A70-DATE(2026,10,5))/7))</f>
        <v/>
      </c>
      <c r="E70" s="41" t="inlineStr">
        <is>
          <t>TD</t>
        </is>
      </c>
      <c r="F70" s="41" t="inlineStr">
        <is>
          <t>T30</t>
        </is>
      </c>
      <c r="G70" s="34" t="inlineStr">
        <is>
          <t>Local store &amp; sync - Write the test cases for this component</t>
        </is>
      </c>
      <c r="H70" s="75" t="n">
        <v>0.7951388888888888</v>
      </c>
      <c r="I70" s="75" t="n">
        <v>0.9166666666666666</v>
      </c>
      <c r="J70" s="44" t="n">
        <v>0</v>
      </c>
      <c r="K70" s="26">
        <f>IF(OR($H70="",$I70=""),"",MAX(0,ROUND(($I70-$H70)*1440,0)-N($J70)))</f>
        <v/>
      </c>
      <c r="L70" s="41" t="inlineStr">
        <is>
          <t>No</t>
        </is>
      </c>
      <c r="M70" s="34" t="n"/>
    </row>
    <row r="71">
      <c r="A71" s="132" t="n">
        <v>46349</v>
      </c>
      <c r="B71" s="34" t="inlineStr">
        <is>
          <t>Mei Ling Chong</t>
        </is>
      </c>
      <c r="C71" s="41" t="inlineStr">
        <is>
          <t>M3</t>
        </is>
      </c>
      <c r="D71" s="26">
        <f>IF($A71="","",3+INT(($A71-DATE(2026,10,5))/7))</f>
        <v/>
      </c>
      <c r="E71" s="41" t="inlineStr">
        <is>
          <t>DLDINSP</t>
        </is>
      </c>
      <c r="F71" s="41" t="inlineStr">
        <is>
          <t>T31</t>
        </is>
      </c>
      <c r="G71" s="34" t="inlineStr">
        <is>
          <t>Local store &amp; sync - Team inspection of the detailed design</t>
        </is>
      </c>
      <c r="H71" s="75" t="n">
        <v>0.4583333333333333</v>
      </c>
      <c r="I71" s="75" t="n">
        <v>0.5451388888888888</v>
      </c>
      <c r="J71" s="44" t="n">
        <v>0</v>
      </c>
      <c r="K71" s="26">
        <f>IF(OR($H71="",$I71=""),"",MAX(0,ROUND(($I71-$H71)*1440,0)-N($J71)))</f>
        <v/>
      </c>
      <c r="L71" s="41" t="inlineStr">
        <is>
          <t>No</t>
        </is>
      </c>
      <c r="M71" s="34" t="n"/>
    </row>
    <row r="72">
      <c r="A72" s="132" t="n">
        <v>46350</v>
      </c>
      <c r="B72" s="34" t="inlineStr">
        <is>
          <t>Mei Ling Chong</t>
        </is>
      </c>
      <c r="C72" s="41" t="inlineStr">
        <is>
          <t>M3</t>
        </is>
      </c>
      <c r="D72" s="26">
        <f>IF($A72="","",3+INT(($A72-DATE(2026,10,5))/7))</f>
        <v/>
      </c>
      <c r="E72" s="41" t="inlineStr">
        <is>
          <t>CODE</t>
        </is>
      </c>
      <c r="F72" s="41" t="inlineStr">
        <is>
          <t>T32</t>
        </is>
      </c>
      <c r="G72" s="34" t="inlineStr">
        <is>
          <t>Local store &amp; sync - Implement in Dart / Flutter</t>
        </is>
      </c>
      <c r="H72" s="75" t="n">
        <v>0.7916666666666666</v>
      </c>
      <c r="I72" s="75" t="n">
        <v>0.9166666666666666</v>
      </c>
      <c r="J72" s="44" t="n">
        <v>0</v>
      </c>
      <c r="K72" s="26">
        <f>IF(OR($H72="",$I72=""),"",MAX(0,ROUND(($I72-$H72)*1440,0)-N($J72)))</f>
        <v/>
      </c>
      <c r="L72" s="41" t="inlineStr">
        <is>
          <t>No</t>
        </is>
      </c>
      <c r="M72" s="34" t="n"/>
    </row>
    <row r="73">
      <c r="A73" s="132" t="n">
        <v>46351</v>
      </c>
      <c r="B73" s="34" t="inlineStr">
        <is>
          <t>Mei Ling Chong</t>
        </is>
      </c>
      <c r="C73" s="41" t="inlineStr">
        <is>
          <t>M3</t>
        </is>
      </c>
      <c r="D73" s="26">
        <f>IF($A73="","",3+INT(($A73-DATE(2026,10,5))/7))</f>
        <v/>
      </c>
      <c r="E73" s="41" t="inlineStr">
        <is>
          <t>CR</t>
        </is>
      </c>
      <c r="F73" s="41" t="inlineStr">
        <is>
          <t>T33</t>
        </is>
      </c>
      <c r="G73" s="34" t="inlineStr">
        <is>
          <t>Local store &amp; sync - Pull-request review by a teammate</t>
        </is>
      </c>
      <c r="H73" s="75" t="n">
        <v>0.625</v>
      </c>
      <c r="I73" s="75" t="n">
        <v>0.7152777777777778</v>
      </c>
      <c r="J73" s="44" t="n">
        <v>0</v>
      </c>
      <c r="K73" s="26">
        <f>IF(OR($H73="",$I73=""),"",MAX(0,ROUND(($I73-$H73)*1440,0)-N($J73)))</f>
        <v/>
      </c>
      <c r="L73" s="41" t="inlineStr">
        <is>
          <t>No</t>
        </is>
      </c>
      <c r="M73" s="34" t="n"/>
    </row>
    <row r="74">
      <c r="A74" s="132" t="n">
        <v>46352</v>
      </c>
      <c r="B74" s="34" t="inlineStr">
        <is>
          <t>Mei Ling Chong</t>
        </is>
      </c>
      <c r="C74" s="41" t="inlineStr">
        <is>
          <t>M3</t>
        </is>
      </c>
      <c r="D74" s="26">
        <f>IF($A74="","",3+INT(($A74-DATE(2026,10,5))/7))</f>
        <v/>
      </c>
      <c r="E74" s="41" t="inlineStr">
        <is>
          <t>BUILD</t>
        </is>
      </c>
      <c r="F74" s="41" t="inlineStr">
        <is>
          <t>T34</t>
        </is>
      </c>
      <c r="G74" s="34" t="inlineStr">
        <is>
          <t>Local store &amp; sync - flutter analyze and build, fix what it reports</t>
        </is>
      </c>
      <c r="H74" s="75" t="n">
        <v>0.875</v>
      </c>
      <c r="I74" s="75" t="n">
        <v>0.9548611111111112</v>
      </c>
      <c r="J74" s="44" t="n">
        <v>0</v>
      </c>
      <c r="K74" s="26">
        <f>IF(OR($H74="",$I74=""),"",MAX(0,ROUND(($I74-$H74)*1440,0)-N($J74)))</f>
        <v/>
      </c>
      <c r="L74" s="41" t="inlineStr">
        <is>
          <t>No</t>
        </is>
      </c>
      <c r="M74" s="34" t="n"/>
    </row>
    <row r="75">
      <c r="A75" s="132" t="n">
        <v>46360</v>
      </c>
      <c r="B75" s="34" t="inlineStr">
        <is>
          <t>Mei Ling Chong</t>
        </is>
      </c>
      <c r="C75" s="41" t="inlineStr">
        <is>
          <t>M3</t>
        </is>
      </c>
      <c r="D75" s="26">
        <f>IF($A75="","",3+INT(($A75-DATE(2026,10,5))/7))</f>
        <v/>
      </c>
      <c r="E75" s="41" t="inlineStr">
        <is>
          <t>CODEINSP</t>
        </is>
      </c>
      <c r="F75" s="41" t="inlineStr">
        <is>
          <t>T35</t>
        </is>
      </c>
      <c r="G75" s="34" t="inlineStr">
        <is>
          <t>Local store &amp; sync - Team code inspection</t>
        </is>
      </c>
      <c r="H75" s="75" t="n">
        <v>0.6736111111111112</v>
      </c>
      <c r="I75" s="75" t="n">
        <v>0.7569444444444444</v>
      </c>
      <c r="J75" s="44" t="n">
        <v>0</v>
      </c>
      <c r="K75" s="26">
        <f>IF(OR($H75="",$I75=""),"",MAX(0,ROUND(($I75-$H75)*1440,0)-N($J75)))</f>
        <v/>
      </c>
      <c r="L75" s="41" t="inlineStr">
        <is>
          <t>No</t>
        </is>
      </c>
      <c r="M75" s="34" t="n"/>
    </row>
    <row r="76">
      <c r="A76" s="132" t="n">
        <v>46361</v>
      </c>
      <c r="B76" s="34" t="inlineStr">
        <is>
          <t>Mei Ling Chong</t>
        </is>
      </c>
      <c r="C76" s="41" t="inlineStr">
        <is>
          <t>M3</t>
        </is>
      </c>
      <c r="D76" s="26">
        <f>IF($A76="","",3+INT(($A76-DATE(2026,10,5))/7))</f>
        <v/>
      </c>
      <c r="E76" s="41" t="inlineStr">
        <is>
          <t>UT</t>
        </is>
      </c>
      <c r="F76" s="41" t="inlineStr">
        <is>
          <t>T36</t>
        </is>
      </c>
      <c r="G76" s="34" t="inlineStr">
        <is>
          <t>Local store &amp; sync - Unit tests for this component</t>
        </is>
      </c>
      <c r="H76" s="75" t="n">
        <v>0.6666666666666666</v>
      </c>
      <c r="I76" s="75" t="n">
        <v>0.9166666666666666</v>
      </c>
      <c r="J76" s="44" t="n">
        <v>120</v>
      </c>
      <c r="K76" s="26">
        <f>IF(OR($H76="",$I76=""),"",MAX(0,ROUND(($I76-$H76)*1440,0)-N($J76)))</f>
        <v/>
      </c>
      <c r="L76" s="41" t="inlineStr">
        <is>
          <t>No</t>
        </is>
      </c>
      <c r="M76" s="34" t="inlineStr">
        <is>
          <t>rest, dinner</t>
        </is>
      </c>
    </row>
    <row r="77">
      <c r="A77" s="132" t="n">
        <v>46356</v>
      </c>
      <c r="B77" s="34" t="inlineStr">
        <is>
          <t>Mei Ling Chong</t>
        </is>
      </c>
      <c r="C77" s="41" t="inlineStr">
        <is>
          <t>M3</t>
        </is>
      </c>
      <c r="D77" s="26">
        <f>IF($A77="","",3+INT(($A77-DATE(2026,10,5))/7))</f>
        <v/>
      </c>
      <c r="E77" s="41" t="inlineStr">
        <is>
          <t>IT</t>
        </is>
      </c>
      <c r="F77" s="41" t="inlineStr">
        <is>
          <t>T37</t>
        </is>
      </c>
      <c r="G77" s="34" t="inlineStr">
        <is>
          <t>SYSTEM - Build and integration test across components</t>
        </is>
      </c>
      <c r="H77" s="75" t="n">
        <v>0.75</v>
      </c>
      <c r="I77" s="75" t="n">
        <v>0.8333333333333334</v>
      </c>
      <c r="J77" s="44" t="n">
        <v>0</v>
      </c>
      <c r="K77" s="26">
        <f>IF(OR($H77="",$I77=""),"",MAX(0,ROUND(($I77-$H77)*1440,0)-N($J77)))</f>
        <v/>
      </c>
      <c r="L77" s="41" t="inlineStr">
        <is>
          <t>No</t>
        </is>
      </c>
      <c r="M77" s="34" t="n"/>
    </row>
    <row r="78">
      <c r="A78" s="132" t="n">
        <v>46364</v>
      </c>
      <c r="B78" s="34" t="inlineStr">
        <is>
          <t>Mei Ling Chong</t>
        </is>
      </c>
      <c r="C78" s="41" t="inlineStr">
        <is>
          <t>M3</t>
        </is>
      </c>
      <c r="D78" s="26">
        <f>IF($A78="","",3+INT(($A78-DATE(2026,10,5))/7))</f>
        <v/>
      </c>
      <c r="E78" s="41" t="inlineStr">
        <is>
          <t>ST</t>
        </is>
      </c>
      <c r="F78" s="41" t="inlineStr">
        <is>
          <t>T38</t>
        </is>
      </c>
      <c r="G78" s="34" t="inlineStr">
        <is>
          <t>SYSTEM - System test against the SRS</t>
        </is>
      </c>
      <c r="H78" s="75" t="n">
        <v>0.625</v>
      </c>
      <c r="I78" s="75" t="n">
        <v>0.9166666666666666</v>
      </c>
      <c r="J78" s="44" t="n">
        <v>120</v>
      </c>
      <c r="K78" s="26">
        <f>IF(OR($H78="",$I78=""),"",MAX(0,ROUND(($I78-$H78)*1440,0)-N($J78)))</f>
        <v/>
      </c>
      <c r="L78" s="41" t="inlineStr">
        <is>
          <t>No</t>
        </is>
      </c>
      <c r="M78" s="34" t="inlineStr">
        <is>
          <t>dinner, family meeting</t>
        </is>
      </c>
    </row>
    <row r="79">
      <c r="A79" s="132" t="n">
        <v>46365</v>
      </c>
      <c r="B79" s="34" t="inlineStr">
        <is>
          <t>Mei Ling Chong</t>
        </is>
      </c>
      <c r="C79" s="41" t="inlineStr">
        <is>
          <t>M3</t>
        </is>
      </c>
      <c r="D79" s="26">
        <f>IF($A79="","",3+INT(($A79-DATE(2026,10,5))/7))</f>
        <v/>
      </c>
      <c r="E79" s="41" t="inlineStr">
        <is>
          <t>DOC</t>
        </is>
      </c>
      <c r="F79" s="41" t="inlineStr">
        <is>
          <t>T39</t>
        </is>
      </c>
      <c r="G79" s="34" t="inlineStr">
        <is>
          <t>SYSTEM - User manual and final report</t>
        </is>
      </c>
      <c r="H79" s="75" t="n">
        <v>0.4166666666666667</v>
      </c>
      <c r="I79" s="75" t="n">
        <v>0.625</v>
      </c>
      <c r="J79" s="44" t="n">
        <v>60</v>
      </c>
      <c r="K79" s="26">
        <f>IF(OR($H79="",$I79=""),"",MAX(0,ROUND(($I79-$H79)*1440,0)-N($J79)))</f>
        <v/>
      </c>
      <c r="L79" s="41" t="inlineStr">
        <is>
          <t>No</t>
        </is>
      </c>
      <c r="M79" s="34" t="inlineStr">
        <is>
          <t>lunch</t>
        </is>
      </c>
    </row>
    <row r="80">
      <c r="A80" s="132" t="n">
        <v>46366</v>
      </c>
      <c r="B80" s="34" t="inlineStr">
        <is>
          <t>Mei Ling Chong</t>
        </is>
      </c>
      <c r="C80" s="41" t="inlineStr">
        <is>
          <t>M3</t>
        </is>
      </c>
      <c r="D80" s="26">
        <f>IF($A80="","",3+INT(($A80-DATE(2026,10,5))/7))</f>
        <v/>
      </c>
      <c r="E80" s="41" t="inlineStr">
        <is>
          <t>PM</t>
        </is>
      </c>
      <c r="F80" s="41" t="inlineStr">
        <is>
          <t>T40</t>
        </is>
      </c>
      <c r="G80" s="34" t="inlineStr">
        <is>
          <t>SYSTEM - Postmortem: review the data and agree three changes</t>
        </is>
      </c>
      <c r="H80" s="75" t="n">
        <v>0.5833333333333334</v>
      </c>
      <c r="I80" s="75" t="n">
        <v>0.6666666666666666</v>
      </c>
      <c r="J80" s="44" t="n">
        <v>0</v>
      </c>
      <c r="K80" s="26">
        <f>IF(OR($H80="",$I80=""),"",MAX(0,ROUND(($I80-$H80)*1440,0)-N($J80)))</f>
        <v/>
      </c>
      <c r="L80" s="41" t="inlineStr">
        <is>
          <t>No</t>
        </is>
      </c>
      <c r="M80" s="34" t="n"/>
    </row>
    <row r="81">
      <c r="A81" s="132" t="n">
        <v>46300</v>
      </c>
      <c r="B81" s="34" t="inlineStr">
        <is>
          <t>Harith Bin Ismail</t>
        </is>
      </c>
      <c r="C81" s="41" t="inlineStr">
        <is>
          <t>M1</t>
        </is>
      </c>
      <c r="D81" s="26">
        <f>IF($A81="","",3+INT(($A81-DATE(2026,10,5))/7))</f>
        <v/>
      </c>
      <c r="E81" s="41" t="inlineStr">
        <is>
          <t>MGMT</t>
        </is>
      </c>
      <c r="F81" s="41" t="inlineStr">
        <is>
          <t>T01</t>
        </is>
      </c>
      <c r="G81" s="34" t="inlineStr">
        <is>
          <t>SYSTEM - Team admin, lab attendance, instructor check-ins</t>
        </is>
      </c>
      <c r="H81" s="75" t="n">
        <v>0.75</v>
      </c>
      <c r="I81" s="75" t="n">
        <v>0.7916666666666666</v>
      </c>
      <c r="J81" s="44" t="n">
        <v>0</v>
      </c>
      <c r="K81" s="26">
        <f>IF(OR($H81="",$I81=""),"",MAX(0,ROUND(($I81-$H81)*1440,0)-N($J81)))</f>
        <v/>
      </c>
      <c r="L81" s="41" t="inlineStr">
        <is>
          <t>No</t>
        </is>
      </c>
      <c r="M81" s="34" t="n"/>
    </row>
    <row r="82">
      <c r="A82" s="132" t="n">
        <v>46301</v>
      </c>
      <c r="B82" s="34" t="inlineStr">
        <is>
          <t>Harith Bin Ismail</t>
        </is>
      </c>
      <c r="C82" s="41" t="inlineStr">
        <is>
          <t>M1</t>
        </is>
      </c>
      <c r="D82" s="26">
        <f>IF($A82="","",3+INT(($A82-DATE(2026,10,5))/7))</f>
        <v/>
      </c>
      <c r="E82" s="41" t="inlineStr">
        <is>
          <t>STRAT</t>
        </is>
      </c>
      <c r="F82" s="41" t="inlineStr">
        <is>
          <t>T02</t>
        </is>
      </c>
      <c r="G82" s="34" t="inlineStr">
        <is>
          <t>SYSTEM - Launch meeting, cycle strategy and stack decisions</t>
        </is>
      </c>
      <c r="H82" s="75" t="n">
        <v>0.7916666666666666</v>
      </c>
      <c r="I82" s="75" t="n">
        <v>0.875</v>
      </c>
      <c r="J82" s="44" t="n">
        <v>0</v>
      </c>
      <c r="K82" s="26">
        <f>IF(OR($H82="",$I82=""),"",MAX(0,ROUND(($I82-$H82)*1440,0)-N($J82)))</f>
        <v/>
      </c>
      <c r="L82" s="41" t="inlineStr">
        <is>
          <t>No</t>
        </is>
      </c>
      <c r="M82" s="34" t="n"/>
    </row>
    <row r="83">
      <c r="A83" s="132" t="n">
        <v>46302</v>
      </c>
      <c r="B83" s="34" t="inlineStr">
        <is>
          <t>Harith Bin Ismail</t>
        </is>
      </c>
      <c r="C83" s="41" t="inlineStr">
        <is>
          <t>M1</t>
        </is>
      </c>
      <c r="D83" s="26">
        <f>IF($A83="","",3+INT(($A83-DATE(2026,10,5))/7))</f>
        <v/>
      </c>
      <c r="E83" s="41" t="inlineStr">
        <is>
          <t>PLAN</t>
        </is>
      </c>
      <c r="F83" s="41" t="inlineStr">
        <is>
          <t>T03</t>
        </is>
      </c>
      <c r="G83" s="34" t="inlineStr">
        <is>
          <t>SYSTEM - Task and schedule plan for the cycle</t>
        </is>
      </c>
      <c r="H83" s="75" t="n">
        <v>0.7916666666666666</v>
      </c>
      <c r="I83" s="75" t="n">
        <v>0.875</v>
      </c>
      <c r="J83" s="44" t="n">
        <v>0</v>
      </c>
      <c r="K83" s="26">
        <f>IF(OR($H83="",$I83=""),"",MAX(0,ROUND(($I83-$H83)*1440,0)-N($J83)))</f>
        <v/>
      </c>
      <c r="L83" s="41" t="inlineStr">
        <is>
          <t>No</t>
        </is>
      </c>
      <c r="M83" s="34" t="n"/>
    </row>
    <row r="84">
      <c r="A84" s="132" t="n">
        <v>46310</v>
      </c>
      <c r="B84" s="34" t="inlineStr">
        <is>
          <t>Harith Bin Ismail</t>
        </is>
      </c>
      <c r="C84" s="41" t="inlineStr">
        <is>
          <t>M1</t>
        </is>
      </c>
      <c r="D84" s="26">
        <f>IF($A84="","",3+INT(($A84-DATE(2026,10,5))/7))</f>
        <v/>
      </c>
      <c r="E84" s="41" t="inlineStr">
        <is>
          <t>REQ</t>
        </is>
      </c>
      <c r="F84" s="41" t="inlineStr">
        <is>
          <t>T04</t>
        </is>
      </c>
      <c r="G84" s="34" t="inlineStr">
        <is>
          <t>SYSTEM - Elicit requirements from SeaFresh and write the SRS</t>
        </is>
      </c>
      <c r="H84" s="75" t="n">
        <v>0.625</v>
      </c>
      <c r="I84" s="75" t="n">
        <v>0.75</v>
      </c>
      <c r="J84" s="44" t="n">
        <v>0</v>
      </c>
      <c r="K84" s="26">
        <f>IF(OR($H84="",$I84=""),"",MAX(0,ROUND(($I84-$H84)*1440,0)-N($J84)))</f>
        <v/>
      </c>
      <c r="L84" s="41" t="inlineStr">
        <is>
          <t>No</t>
        </is>
      </c>
      <c r="M84" s="34" t="n"/>
    </row>
    <row r="85">
      <c r="A85" s="132" t="n">
        <v>46311</v>
      </c>
      <c r="B85" s="34" t="inlineStr">
        <is>
          <t>Harith Bin Ismail</t>
        </is>
      </c>
      <c r="C85" s="41" t="inlineStr">
        <is>
          <t>M1</t>
        </is>
      </c>
      <c r="D85" s="26">
        <f>IF($A85="","",3+INT(($A85-DATE(2026,10,5))/7))</f>
        <v/>
      </c>
      <c r="E85" s="41" t="inlineStr">
        <is>
          <t>STP</t>
        </is>
      </c>
      <c r="F85" s="41" t="inlineStr">
        <is>
          <t>T05</t>
        </is>
      </c>
      <c r="G85" s="34" t="inlineStr">
        <is>
          <t>SYSTEM - System test plan</t>
        </is>
      </c>
      <c r="H85" s="75" t="n">
        <v>0.7916666666666666</v>
      </c>
      <c r="I85" s="75" t="n">
        <v>0.8333333333333334</v>
      </c>
      <c r="J85" s="44" t="n">
        <v>0</v>
      </c>
      <c r="K85" s="26">
        <f>IF(OR($H85="",$I85=""),"",MAX(0,ROUND(($I85-$H85)*1440,0)-N($J85)))</f>
        <v/>
      </c>
      <c r="L85" s="41" t="inlineStr">
        <is>
          <t>No</t>
        </is>
      </c>
      <c r="M85" s="34" t="n"/>
    </row>
    <row r="86">
      <c r="A86" s="132" t="n">
        <v>46312</v>
      </c>
      <c r="B86" s="34" t="inlineStr">
        <is>
          <t>Harith Bin Ismail</t>
        </is>
      </c>
      <c r="C86" s="41" t="inlineStr">
        <is>
          <t>M1</t>
        </is>
      </c>
      <c r="D86" s="26">
        <f>IF($A86="","",3+INT(($A86-DATE(2026,10,5))/7))</f>
        <v/>
      </c>
      <c r="E86" s="41" t="inlineStr">
        <is>
          <t>REQINSP</t>
        </is>
      </c>
      <c r="F86" s="41" t="inlineStr">
        <is>
          <t>T06</t>
        </is>
      </c>
      <c r="G86" s="34" t="inlineStr">
        <is>
          <t>SYSTEM - Team inspection of the SRS</t>
        </is>
      </c>
      <c r="H86" s="75" t="n">
        <v>0.7083333333333334</v>
      </c>
      <c r="I86" s="75" t="n">
        <v>0.8125</v>
      </c>
      <c r="J86" s="44" t="n">
        <v>0</v>
      </c>
      <c r="K86" s="26">
        <f>IF(OR($H86="",$I86=""),"",MAX(0,ROUND(($I86-$H86)*1440,0)-N($J86)))</f>
        <v/>
      </c>
      <c r="L86" s="41" t="inlineStr">
        <is>
          <t>No</t>
        </is>
      </c>
      <c r="M86" s="34" t="n"/>
    </row>
    <row r="87">
      <c r="A87" s="132" t="n">
        <v>46307</v>
      </c>
      <c r="B87" s="34" t="inlineStr">
        <is>
          <t>Harith Bin Ismail</t>
        </is>
      </c>
      <c r="C87" s="41" t="inlineStr">
        <is>
          <t>M1</t>
        </is>
      </c>
      <c r="D87" s="26">
        <f>IF($A87="","",3+INT(($A87-DATE(2026,10,5))/7))</f>
        <v/>
      </c>
      <c r="E87" s="41" t="inlineStr">
        <is>
          <t>HLD</t>
        </is>
      </c>
      <c r="F87" s="41" t="inlineStr">
        <is>
          <t>T07</t>
        </is>
      </c>
      <c r="G87" s="34" t="inlineStr">
        <is>
          <t>SYSTEM - Architecture and SDD</t>
        </is>
      </c>
      <c r="H87" s="75" t="n">
        <v>0.5416666666666666</v>
      </c>
      <c r="I87" s="75" t="n">
        <v>0.6875</v>
      </c>
      <c r="J87" s="44" t="n">
        <v>0</v>
      </c>
      <c r="K87" s="26">
        <f>IF(OR($H87="",$I87=""),"",MAX(0,ROUND(($I87-$H87)*1440,0)-N($J87)))</f>
        <v/>
      </c>
      <c r="L87" s="41" t="inlineStr">
        <is>
          <t>No</t>
        </is>
      </c>
      <c r="M87" s="34" t="n"/>
    </row>
    <row r="88">
      <c r="A88" s="132" t="n">
        <v>46308</v>
      </c>
      <c r="B88" s="34" t="inlineStr">
        <is>
          <t>Harith Bin Ismail</t>
        </is>
      </c>
      <c r="C88" s="41" t="inlineStr">
        <is>
          <t>M1</t>
        </is>
      </c>
      <c r="D88" s="26">
        <f>IF($A88="","",3+INT(($A88-DATE(2026,10,5))/7))</f>
        <v/>
      </c>
      <c r="E88" s="41" t="inlineStr">
        <is>
          <t>ITP</t>
        </is>
      </c>
      <c r="F88" s="41" t="inlineStr">
        <is>
          <t>T08</t>
        </is>
      </c>
      <c r="G88" s="34" t="inlineStr">
        <is>
          <t>SYSTEM - Integration test plan</t>
        </is>
      </c>
      <c r="H88" s="75" t="n">
        <v>0.4166666666666667</v>
      </c>
      <c r="I88" s="75" t="n">
        <v>0.5</v>
      </c>
      <c r="J88" s="44" t="n">
        <v>0</v>
      </c>
      <c r="K88" s="26">
        <f>IF(OR($H88="",$I88=""),"",MAX(0,ROUND(($I88-$H88)*1440,0)-N($J88)))</f>
        <v/>
      </c>
      <c r="L88" s="41" t="inlineStr">
        <is>
          <t>No</t>
        </is>
      </c>
      <c r="M88" s="34" t="n"/>
    </row>
    <row r="89">
      <c r="A89" s="132" t="n">
        <v>46309</v>
      </c>
      <c r="B89" s="34" t="inlineStr">
        <is>
          <t>Harith Bin Ismail</t>
        </is>
      </c>
      <c r="C89" s="41" t="inlineStr">
        <is>
          <t>M1</t>
        </is>
      </c>
      <c r="D89" s="26">
        <f>IF($A89="","",3+INT(($A89-DATE(2026,10,5))/7))</f>
        <v/>
      </c>
      <c r="E89" s="41" t="inlineStr">
        <is>
          <t>HLDINSP</t>
        </is>
      </c>
      <c r="F89" s="41" t="inlineStr">
        <is>
          <t>T09</t>
        </is>
      </c>
      <c r="G89" s="34" t="inlineStr">
        <is>
          <t>SYSTEM - Team inspection of the SDD</t>
        </is>
      </c>
      <c r="H89" s="75" t="n">
        <v>0.4583333333333333</v>
      </c>
      <c r="I89" s="75" t="n">
        <v>0.5416666666666666</v>
      </c>
      <c r="J89" s="44" t="n">
        <v>0</v>
      </c>
      <c r="K89" s="26">
        <f>IF(OR($H89="",$I89=""),"",MAX(0,ROUND(($I89-$H89)*1440,0)-N($J89)))</f>
        <v/>
      </c>
      <c r="L89" s="41" t="inlineStr">
        <is>
          <t>No</t>
        </is>
      </c>
      <c r="M89" s="34" t="n"/>
    </row>
    <row r="90">
      <c r="A90" s="132" t="n">
        <v>46317</v>
      </c>
      <c r="B90" s="34" t="inlineStr">
        <is>
          <t>Harith Bin Ismail</t>
        </is>
      </c>
      <c r="C90" s="41" t="inlineStr">
        <is>
          <t>M1</t>
        </is>
      </c>
      <c r="D90" s="26">
        <f>IF($A90="","",3+INT(($A90-DATE(2026,10,5))/7))</f>
        <v/>
      </c>
      <c r="E90" s="41" t="inlineStr">
        <is>
          <t>DLD</t>
        </is>
      </c>
      <c r="F90" s="41" t="inlineStr">
        <is>
          <t>T10</t>
        </is>
      </c>
      <c r="G90" s="34" t="inlineStr">
        <is>
          <t>UI / screens - Detailed design of screens, widgets and models</t>
        </is>
      </c>
      <c r="H90" s="75" t="n">
        <v>0.5833333333333334</v>
      </c>
      <c r="I90" s="75" t="n">
        <v>0.875</v>
      </c>
      <c r="J90" s="44" t="n">
        <v>0</v>
      </c>
      <c r="K90" s="26">
        <f>IF(OR($H90="",$I90=""),"",MAX(0,ROUND(($I90-$H90)*1440,0)-N($J90)))</f>
        <v/>
      </c>
      <c r="L90" s="41" t="inlineStr">
        <is>
          <t>No</t>
        </is>
      </c>
      <c r="M90" s="34" t="n"/>
    </row>
    <row r="91">
      <c r="A91" s="132" t="n">
        <v>46318</v>
      </c>
      <c r="B91" s="34" t="inlineStr">
        <is>
          <t>Harith Bin Ismail</t>
        </is>
      </c>
      <c r="C91" s="41" t="inlineStr">
        <is>
          <t>M1</t>
        </is>
      </c>
      <c r="D91" s="26">
        <f>IF($A91="","",3+INT(($A91-DATE(2026,10,5))/7))</f>
        <v/>
      </c>
      <c r="E91" s="41" t="inlineStr">
        <is>
          <t>DLDR</t>
        </is>
      </c>
      <c r="F91" s="41" t="inlineStr">
        <is>
          <t>T11</t>
        </is>
      </c>
      <c r="G91" s="34" t="inlineStr">
        <is>
          <t>UI / screens - Personal review of the detailed design</t>
        </is>
      </c>
      <c r="H91" s="75" t="n">
        <v>0.375</v>
      </c>
      <c r="I91" s="75" t="n">
        <v>0.5833333333333334</v>
      </c>
      <c r="J91" s="44" t="n">
        <v>0</v>
      </c>
      <c r="K91" s="26">
        <f>IF(OR($H91="",$I91=""),"",MAX(0,ROUND(($I91-$H91)*1440,0)-N($J91)))</f>
        <v/>
      </c>
      <c r="L91" s="41" t="inlineStr">
        <is>
          <t>No</t>
        </is>
      </c>
      <c r="M91" s="34" t="n"/>
    </row>
    <row r="92">
      <c r="A92" s="132" t="n">
        <v>46319</v>
      </c>
      <c r="B92" s="34" t="inlineStr">
        <is>
          <t>Harith Bin Ismail</t>
        </is>
      </c>
      <c r="C92" s="41" t="inlineStr">
        <is>
          <t>M1</t>
        </is>
      </c>
      <c r="D92" s="26">
        <f>IF($A92="","",3+INT(($A92-DATE(2026,10,5))/7))</f>
        <v/>
      </c>
      <c r="E92" s="41" t="inlineStr">
        <is>
          <t>TD</t>
        </is>
      </c>
      <c r="F92" s="41" t="inlineStr">
        <is>
          <t>T12</t>
        </is>
      </c>
      <c r="G92" s="34" t="inlineStr">
        <is>
          <t>UI / screens - Write the test cases for this component</t>
        </is>
      </c>
      <c r="H92" s="75" t="n">
        <v>0.4166666666666667</v>
      </c>
      <c r="I92" s="75" t="n">
        <v>0.7083333333333334</v>
      </c>
      <c r="J92" s="44" t="n">
        <v>0</v>
      </c>
      <c r="K92" s="26">
        <f>IF(OR($H92="",$I92=""),"",MAX(0,ROUND(($I92-$H92)*1440,0)-N($J92)))</f>
        <v/>
      </c>
      <c r="L92" s="41" t="inlineStr">
        <is>
          <t>No</t>
        </is>
      </c>
      <c r="M92" s="34" t="n"/>
    </row>
    <row r="93">
      <c r="A93" s="132" t="n">
        <v>46314</v>
      </c>
      <c r="B93" s="34" t="inlineStr">
        <is>
          <t>Harith Bin Ismail</t>
        </is>
      </c>
      <c r="C93" s="41" t="inlineStr">
        <is>
          <t>M1</t>
        </is>
      </c>
      <c r="D93" s="26">
        <f>IF($A93="","",3+INT(($A93-DATE(2026,10,5))/7))</f>
        <v/>
      </c>
      <c r="E93" s="41" t="inlineStr">
        <is>
          <t>DLDINSP</t>
        </is>
      </c>
      <c r="F93" s="41" t="inlineStr">
        <is>
          <t>T13</t>
        </is>
      </c>
      <c r="G93" s="34" t="inlineStr">
        <is>
          <t>UI / screens - Team inspection of the detailed design</t>
        </is>
      </c>
      <c r="H93" s="75" t="n">
        <v>0.4583333333333333</v>
      </c>
      <c r="I93" s="75" t="n">
        <v>0.6666666666666666</v>
      </c>
      <c r="J93" s="44" t="n">
        <v>0</v>
      </c>
      <c r="K93" s="26">
        <f>IF(OR($H93="",$I93=""),"",MAX(0,ROUND(($I93-$H93)*1440,0)-N($J93)))</f>
        <v/>
      </c>
      <c r="L93" s="41" t="inlineStr">
        <is>
          <t>No</t>
        </is>
      </c>
      <c r="M93" s="34" t="n"/>
    </row>
    <row r="94">
      <c r="A94" s="132" t="n">
        <v>46322</v>
      </c>
      <c r="B94" s="34" t="inlineStr">
        <is>
          <t>Harith Bin Ismail</t>
        </is>
      </c>
      <c r="C94" s="41" t="inlineStr">
        <is>
          <t>M2</t>
        </is>
      </c>
      <c r="D94" s="26">
        <f>IF($A94="","",3+INT(($A94-DATE(2026,10,5))/7))</f>
        <v/>
      </c>
      <c r="E94" s="41" t="inlineStr">
        <is>
          <t>CODE</t>
        </is>
      </c>
      <c r="F94" s="41" t="inlineStr">
        <is>
          <t>T14</t>
        </is>
      </c>
      <c r="G94" s="34" t="inlineStr">
        <is>
          <t>UI / screens - Implement in Dart / Flutter</t>
        </is>
      </c>
      <c r="H94" s="75" t="n">
        <v>0.5833333333333334</v>
      </c>
      <c r="I94" s="75" t="n">
        <v>0</v>
      </c>
      <c r="J94" s="44" t="n">
        <v>80</v>
      </c>
      <c r="K94" s="26">
        <f>IF(OR($H94="",$I94=""),"",MAX(0,ROUND(($I94-$H94)*1440,0)-N($J94)))</f>
        <v/>
      </c>
      <c r="L94" s="41" t="inlineStr">
        <is>
          <t>No</t>
        </is>
      </c>
      <c r="M94" s="34" t="inlineStr">
        <is>
          <t>dinner</t>
        </is>
      </c>
    </row>
    <row r="95">
      <c r="A95" s="132" t="n">
        <v>46323</v>
      </c>
      <c r="B95" s="34" t="inlineStr">
        <is>
          <t>Harith Bin Ismail</t>
        </is>
      </c>
      <c r="C95" s="41" t="inlineStr">
        <is>
          <t>M2</t>
        </is>
      </c>
      <c r="D95" s="26">
        <f>IF($A95="","",3+INT(($A95-DATE(2026,10,5))/7))</f>
        <v/>
      </c>
      <c r="E95" s="41" t="inlineStr">
        <is>
          <t>CODE</t>
        </is>
      </c>
      <c r="F95" s="41" t="inlineStr">
        <is>
          <t>T14</t>
        </is>
      </c>
      <c r="G95" s="34" t="inlineStr">
        <is>
          <t>UI / screens - Implement in Dart / Flutter</t>
        </is>
      </c>
      <c r="H95" s="75" t="n">
        <v>0.6458333333333334</v>
      </c>
      <c r="I95" s="75" t="n">
        <v>0.9791666666666666</v>
      </c>
      <c r="J95" s="44" t="n">
        <v>80</v>
      </c>
      <c r="K95" s="26">
        <f>IF(OR($H95="",$I95=""),"",MAX(0,ROUND(($I95-$H95)*1440,0)-N($J95)))</f>
        <v/>
      </c>
      <c r="L95" s="41" t="inlineStr">
        <is>
          <t>No</t>
        </is>
      </c>
      <c r="M95" s="34" t="inlineStr">
        <is>
          <t>dinner and rest</t>
        </is>
      </c>
    </row>
    <row r="96">
      <c r="A96" s="132" t="n">
        <v>46324</v>
      </c>
      <c r="B96" s="34" t="inlineStr">
        <is>
          <t>Harith Bin Ismail</t>
        </is>
      </c>
      <c r="C96" s="41" t="inlineStr">
        <is>
          <t>M2</t>
        </is>
      </c>
      <c r="D96" s="26">
        <f>IF($A96="","",3+INT(($A96-DATE(2026,10,5))/7))</f>
        <v/>
      </c>
      <c r="E96" s="41" t="inlineStr">
        <is>
          <t>CR</t>
        </is>
      </c>
      <c r="F96" s="41" t="inlineStr">
        <is>
          <t>T15</t>
        </is>
      </c>
      <c r="G96" s="34" t="inlineStr">
        <is>
          <t>UI / screens - Pull-request review by a teammate</t>
        </is>
      </c>
      <c r="H96" s="75" t="n">
        <v>0.7083333333333334</v>
      </c>
      <c r="I96" s="75" t="n">
        <v>0.9166666666666666</v>
      </c>
      <c r="J96" s="44" t="n">
        <v>0</v>
      </c>
      <c r="K96" s="26">
        <f>IF(OR($H96="",$I96=""),"",MAX(0,ROUND(($I96-$H96)*1440,0)-N($J96)))</f>
        <v/>
      </c>
      <c r="L96" s="41" t="inlineStr">
        <is>
          <t>No</t>
        </is>
      </c>
      <c r="M96" s="34" t="n"/>
    </row>
    <row r="97">
      <c r="A97" s="132" t="n">
        <v>46325</v>
      </c>
      <c r="B97" s="34" t="inlineStr">
        <is>
          <t>Harith Bin Ismail</t>
        </is>
      </c>
      <c r="C97" s="41" t="inlineStr">
        <is>
          <t>M2</t>
        </is>
      </c>
      <c r="D97" s="26">
        <f>IF($A97="","",3+INT(($A97-DATE(2026,10,5))/7))</f>
        <v/>
      </c>
      <c r="E97" s="41" t="inlineStr">
        <is>
          <t>BUILD</t>
        </is>
      </c>
      <c r="F97" s="41" t="inlineStr">
        <is>
          <t>T16</t>
        </is>
      </c>
      <c r="G97" s="34" t="inlineStr">
        <is>
          <t>UI / screens - flutter analyze and build, fix what it reports</t>
        </is>
      </c>
      <c r="H97" s="75" t="n">
        <v>0.6041666666666666</v>
      </c>
      <c r="I97" s="75" t="n">
        <v>0.7083333333333334</v>
      </c>
      <c r="J97" s="44" t="n">
        <v>0</v>
      </c>
      <c r="K97" s="26">
        <f>IF(OR($H97="",$I97=""),"",MAX(0,ROUND(($I97-$H97)*1440,0)-N($J97)))</f>
        <v/>
      </c>
      <c r="L97" s="41" t="inlineStr">
        <is>
          <t>No</t>
        </is>
      </c>
      <c r="M97" s="34" t="n"/>
    </row>
    <row r="98">
      <c r="A98" s="132" t="n">
        <v>46326</v>
      </c>
      <c r="B98" s="34" t="inlineStr">
        <is>
          <t>Harith Bin Ismail</t>
        </is>
      </c>
      <c r="C98" s="41" t="inlineStr">
        <is>
          <t>M2</t>
        </is>
      </c>
      <c r="D98" s="26">
        <f>IF($A98="","",3+INT(($A98-DATE(2026,10,5))/7))</f>
        <v/>
      </c>
      <c r="E98" s="41" t="inlineStr">
        <is>
          <t>CODEINSP</t>
        </is>
      </c>
      <c r="F98" s="41" t="inlineStr">
        <is>
          <t>T17</t>
        </is>
      </c>
      <c r="G98" s="34" t="inlineStr">
        <is>
          <t>UI / screens - Team code inspection</t>
        </is>
      </c>
      <c r="H98" s="75" t="n">
        <v>0.5416666666666666</v>
      </c>
      <c r="I98" s="75" t="n">
        <v>0.8333333333333334</v>
      </c>
      <c r="J98" s="44" t="n">
        <v>40</v>
      </c>
      <c r="K98" s="26">
        <f>IF(OR($H98="",$I98=""),"",MAX(0,ROUND(($I98-$H98)*1440,0)-N($J98)))</f>
        <v/>
      </c>
      <c r="L98" s="41" t="inlineStr">
        <is>
          <t>No</t>
        </is>
      </c>
      <c r="M98" s="34" t="inlineStr">
        <is>
          <t>lunch</t>
        </is>
      </c>
    </row>
    <row r="99">
      <c r="A99" s="132" t="n">
        <v>46321</v>
      </c>
      <c r="B99" s="34" t="inlineStr">
        <is>
          <t>Harith Bin Ismail</t>
        </is>
      </c>
      <c r="C99" s="41" t="inlineStr">
        <is>
          <t>M2</t>
        </is>
      </c>
      <c r="D99" s="26">
        <f>IF($A99="","",3+INT(($A99-DATE(2026,10,5))/7))</f>
        <v/>
      </c>
      <c r="E99" s="41" t="inlineStr">
        <is>
          <t>UT</t>
        </is>
      </c>
      <c r="F99" s="41" t="inlineStr">
        <is>
          <t>T18</t>
        </is>
      </c>
      <c r="G99" s="34" t="inlineStr">
        <is>
          <t>UI / screens - Unit tests for this component</t>
        </is>
      </c>
      <c r="H99" s="75" t="n">
        <v>0.4583333333333333</v>
      </c>
      <c r="I99" s="75" t="n">
        <v>0.6666666666666666</v>
      </c>
      <c r="J99" s="44" t="n">
        <v>0</v>
      </c>
      <c r="K99" s="26">
        <f>IF(OR($H99="",$I99=""),"",MAX(0,ROUND(($I99-$H99)*1440,0)-N($J99)))</f>
        <v/>
      </c>
      <c r="L99" s="41" t="inlineStr">
        <is>
          <t>No</t>
        </is>
      </c>
      <c r="M99" s="34" t="n"/>
    </row>
    <row r="100">
      <c r="A100" s="132" t="n">
        <v>46329</v>
      </c>
      <c r="B100" s="34" t="inlineStr">
        <is>
          <t>Harith Bin Ismail</t>
        </is>
      </c>
      <c r="C100" s="41" t="inlineStr">
        <is>
          <t>M2</t>
        </is>
      </c>
      <c r="D100" s="26">
        <f>IF($A100="","",3+INT(($A100-DATE(2026,10,5))/7))</f>
        <v/>
      </c>
      <c r="E100" s="41" t="inlineStr">
        <is>
          <t>DLD</t>
        </is>
      </c>
      <c r="F100" s="41" t="inlineStr">
        <is>
          <t>T19</t>
        </is>
      </c>
      <c r="G100" s="34" t="inlineStr">
        <is>
          <t>Order &amp; catalogue service - Detailed design of screens, widgets and mo</t>
        </is>
      </c>
      <c r="H100" s="75" t="n">
        <v>0.7083333333333334</v>
      </c>
      <c r="I100" s="75" t="n">
        <v>0.875</v>
      </c>
      <c r="J100" s="44" t="n">
        <v>0</v>
      </c>
      <c r="K100" s="26">
        <f>IF(OR($H100="",$I100=""),"",MAX(0,ROUND(($I100-$H100)*1440,0)-N($J100)))</f>
        <v/>
      </c>
      <c r="L100" s="41" t="inlineStr">
        <is>
          <t>No</t>
        </is>
      </c>
      <c r="M100" s="34" t="n"/>
    </row>
    <row r="101">
      <c r="A101" s="132" t="n">
        <v>46330</v>
      </c>
      <c r="B101" s="34" t="inlineStr">
        <is>
          <t>Harith Bin Ismail</t>
        </is>
      </c>
      <c r="C101" s="41" t="inlineStr">
        <is>
          <t>M2</t>
        </is>
      </c>
      <c r="D101" s="26">
        <f>IF($A101="","",3+INT(($A101-DATE(2026,10,5))/7))</f>
        <v/>
      </c>
      <c r="E101" s="41" t="inlineStr">
        <is>
          <t>DLDR</t>
        </is>
      </c>
      <c r="F101" s="41" t="inlineStr">
        <is>
          <t>T20</t>
        </is>
      </c>
      <c r="G101" s="34" t="inlineStr">
        <is>
          <t>Order &amp; catalogue service - Personal review of the detailed design</t>
        </is>
      </c>
      <c r="H101" s="75" t="n">
        <v>0.7916666666666666</v>
      </c>
      <c r="I101" s="75" t="n">
        <v>0.9166666666666666</v>
      </c>
      <c r="J101" s="44" t="n">
        <v>0</v>
      </c>
      <c r="K101" s="26">
        <f>IF(OR($H101="",$I101=""),"",MAX(0,ROUND(($I101-$H101)*1440,0)-N($J101)))</f>
        <v/>
      </c>
      <c r="L101" s="41" t="inlineStr">
        <is>
          <t>No</t>
        </is>
      </c>
      <c r="M101" s="34" t="n"/>
    </row>
    <row r="102">
      <c r="A102" s="132" t="n">
        <v>46331</v>
      </c>
      <c r="B102" s="34" t="inlineStr">
        <is>
          <t>Harith Bin Ismail</t>
        </is>
      </c>
      <c r="C102" s="41" t="inlineStr">
        <is>
          <t>M2</t>
        </is>
      </c>
      <c r="D102" s="26">
        <f>IF($A102="","",3+INT(($A102-DATE(2026,10,5))/7))</f>
        <v/>
      </c>
      <c r="E102" s="41" t="inlineStr">
        <is>
          <t>TD</t>
        </is>
      </c>
      <c r="F102" s="41" t="inlineStr">
        <is>
          <t>T21</t>
        </is>
      </c>
      <c r="G102" s="34" t="inlineStr">
        <is>
          <t>Order &amp; catalogue service - Write the test cases for this component</t>
        </is>
      </c>
      <c r="H102" s="75" t="n">
        <v>0.5416666666666666</v>
      </c>
      <c r="I102" s="75" t="n">
        <v>0.6666666666666666</v>
      </c>
      <c r="J102" s="44" t="n">
        <v>0</v>
      </c>
      <c r="K102" s="26">
        <f>IF(OR($H102="",$I102=""),"",MAX(0,ROUND(($I102-$H102)*1440,0)-N($J102)))</f>
        <v/>
      </c>
      <c r="L102" s="41" t="inlineStr">
        <is>
          <t>No</t>
        </is>
      </c>
      <c r="M102" s="34" t="n"/>
    </row>
    <row r="103">
      <c r="A103" s="132" t="n">
        <v>46332</v>
      </c>
      <c r="B103" s="34" t="inlineStr">
        <is>
          <t>Harith Bin Ismail</t>
        </is>
      </c>
      <c r="C103" s="41" t="inlineStr">
        <is>
          <t>M2</t>
        </is>
      </c>
      <c r="D103" s="26">
        <f>IF($A103="","",3+INT(($A103-DATE(2026,10,5))/7))</f>
        <v/>
      </c>
      <c r="E103" s="41" t="inlineStr">
        <is>
          <t>DLDINSP</t>
        </is>
      </c>
      <c r="F103" s="41" t="inlineStr">
        <is>
          <t>T22</t>
        </is>
      </c>
      <c r="G103" s="34" t="inlineStr">
        <is>
          <t>Order &amp; catalogue service - Team inspection of the detailed design</t>
        </is>
      </c>
      <c r="H103" s="75" t="n">
        <v>0.4166666666666667</v>
      </c>
      <c r="I103" s="75" t="n">
        <v>0.625</v>
      </c>
      <c r="J103" s="44" t="n">
        <v>0</v>
      </c>
      <c r="K103" s="26">
        <f>IF(OR($H103="",$I103=""),"",MAX(0,ROUND(($I103-$H103)*1440,0)-N($J103)))</f>
        <v/>
      </c>
      <c r="L103" s="41" t="inlineStr">
        <is>
          <t>No</t>
        </is>
      </c>
      <c r="M103" s="34" t="n"/>
    </row>
    <row r="104">
      <c r="A104" s="132" t="n">
        <v>46333</v>
      </c>
      <c r="B104" s="34" t="inlineStr">
        <is>
          <t>Harith Bin Ismail</t>
        </is>
      </c>
      <c r="C104" s="41" t="inlineStr">
        <is>
          <t>M2</t>
        </is>
      </c>
      <c r="D104" s="26">
        <f>IF($A104="","",3+INT(($A104-DATE(2026,10,5))/7))</f>
        <v/>
      </c>
      <c r="E104" s="41" t="inlineStr">
        <is>
          <t>CODE</t>
        </is>
      </c>
      <c r="F104" s="41" t="inlineStr">
        <is>
          <t>T23</t>
        </is>
      </c>
      <c r="G104" s="34" t="inlineStr">
        <is>
          <t>Order &amp; catalogue service - Implement in Dart / Flutter</t>
        </is>
      </c>
      <c r="H104" s="75" t="n">
        <v>0.4166666666666667</v>
      </c>
      <c r="I104" s="75" t="n">
        <v>0.5833333333333334</v>
      </c>
      <c r="J104" s="44" t="n">
        <v>0</v>
      </c>
      <c r="K104" s="26">
        <f>IF(OR($H104="",$I104=""),"",MAX(0,ROUND(($I104-$H104)*1440,0)-N($J104)))</f>
        <v/>
      </c>
      <c r="L104" s="41" t="inlineStr">
        <is>
          <t>No</t>
        </is>
      </c>
      <c r="M104" s="34" t="n"/>
    </row>
    <row r="105">
      <c r="A105" s="132" t="n">
        <v>46342</v>
      </c>
      <c r="B105" s="34" t="inlineStr">
        <is>
          <t>Harith Bin Ismail</t>
        </is>
      </c>
      <c r="C105" s="41" t="inlineStr">
        <is>
          <t>M2</t>
        </is>
      </c>
      <c r="D105" s="26">
        <f>IF($A105="","",3+INT(($A105-DATE(2026,10,5))/7))</f>
        <v/>
      </c>
      <c r="E105" s="41" t="inlineStr">
        <is>
          <t>CR</t>
        </is>
      </c>
      <c r="F105" s="41" t="inlineStr">
        <is>
          <t>T24</t>
        </is>
      </c>
      <c r="G105" s="34" t="inlineStr">
        <is>
          <t>Order &amp; catalogue service - Pull-request review by a teammate</t>
        </is>
      </c>
      <c r="H105" s="75" t="n">
        <v>0.625</v>
      </c>
      <c r="I105" s="75" t="n">
        <v>0.8333333333333334</v>
      </c>
      <c r="J105" s="44" t="n">
        <v>60</v>
      </c>
      <c r="K105" s="26">
        <f>IF(OR($H105="",$I105=""),"",MAX(0,ROUND(($I105-$H105)*1440,0)-N($J105)))</f>
        <v/>
      </c>
      <c r="L105" s="41" t="inlineStr">
        <is>
          <t>No</t>
        </is>
      </c>
      <c r="M105" s="34" t="inlineStr">
        <is>
          <t>dinner</t>
        </is>
      </c>
    </row>
    <row r="106">
      <c r="A106" s="132" t="n">
        <v>46343</v>
      </c>
      <c r="B106" s="34" t="inlineStr">
        <is>
          <t>Harith Bin Ismail</t>
        </is>
      </c>
      <c r="C106" s="41" t="inlineStr">
        <is>
          <t>M2</t>
        </is>
      </c>
      <c r="D106" s="26">
        <f>IF($A106="","",3+INT(($A106-DATE(2026,10,5))/7))</f>
        <v/>
      </c>
      <c r="E106" s="41" t="inlineStr">
        <is>
          <t>BUILD</t>
        </is>
      </c>
      <c r="F106" s="41" t="inlineStr">
        <is>
          <t>T25</t>
        </is>
      </c>
      <c r="G106" s="34" t="inlineStr">
        <is>
          <t>Order &amp; catalogue service - flutter analyze and build, fix what it rep</t>
        </is>
      </c>
      <c r="H106" s="75" t="n">
        <v>0.4166666666666667</v>
      </c>
      <c r="I106" s="75" t="n">
        <v>0.6666666666666666</v>
      </c>
      <c r="J106" s="44" t="n">
        <v>60</v>
      </c>
      <c r="K106" s="26">
        <f>IF(OR($H106="",$I106=""),"",MAX(0,ROUND(($I106-$H106)*1440,0)-N($J106)))</f>
        <v/>
      </c>
      <c r="L106" s="41" t="inlineStr">
        <is>
          <t>No</t>
        </is>
      </c>
      <c r="M106" s="34" t="inlineStr">
        <is>
          <t>lunch</t>
        </is>
      </c>
    </row>
    <row r="107">
      <c r="A107" s="132" t="n">
        <v>46344</v>
      </c>
      <c r="B107" s="34" t="inlineStr">
        <is>
          <t>Harith Bin Ismail</t>
        </is>
      </c>
      <c r="C107" s="41" t="inlineStr">
        <is>
          <t>M2</t>
        </is>
      </c>
      <c r="D107" s="26">
        <f>IF($A107="","",3+INT(($A107-DATE(2026,10,5))/7))</f>
        <v/>
      </c>
      <c r="E107" s="41" t="inlineStr">
        <is>
          <t>CODEINSP</t>
        </is>
      </c>
      <c r="F107" s="41" t="inlineStr">
        <is>
          <t>T26</t>
        </is>
      </c>
      <c r="G107" s="34" t="inlineStr">
        <is>
          <t>Order &amp; catalogue service - Team code inspection</t>
        </is>
      </c>
      <c r="H107" s="75" t="n">
        <v>0.7916666666666666</v>
      </c>
      <c r="I107" s="75" t="n">
        <v>0.9166666666666666</v>
      </c>
      <c r="J107" s="44" t="n">
        <v>0</v>
      </c>
      <c r="K107" s="26">
        <f>IF(OR($H107="",$I107=""),"",MAX(0,ROUND(($I107-$H107)*1440,0)-N($J107)))</f>
        <v/>
      </c>
      <c r="L107" s="41" t="inlineStr">
        <is>
          <t>No</t>
        </is>
      </c>
      <c r="M107" s="34" t="n"/>
    </row>
    <row r="108">
      <c r="A108" s="132" t="n">
        <v>46345</v>
      </c>
      <c r="B108" s="34" t="inlineStr">
        <is>
          <t>Harith Bin Ismail</t>
        </is>
      </c>
      <c r="C108" s="41" t="inlineStr">
        <is>
          <t>M2</t>
        </is>
      </c>
      <c r="D108" s="26">
        <f>IF($A108="","",3+INT(($A108-DATE(2026,10,5))/7))</f>
        <v/>
      </c>
      <c r="E108" s="41" t="inlineStr">
        <is>
          <t>UT</t>
        </is>
      </c>
      <c r="F108" s="41" t="inlineStr">
        <is>
          <t>T27</t>
        </is>
      </c>
      <c r="G108" s="34" t="inlineStr">
        <is>
          <t>Order &amp; catalogue service - Unit tests for this component</t>
        </is>
      </c>
      <c r="H108" s="75" t="n">
        <v>0.5833333333333334</v>
      </c>
      <c r="I108" s="75" t="n">
        <v>0.6875</v>
      </c>
      <c r="J108" s="44" t="n">
        <v>0</v>
      </c>
      <c r="K108" s="26">
        <f>IF(OR($H108="",$I108=""),"",MAX(0,ROUND(($I108-$H108)*1440,0)-N($J108)))</f>
        <v/>
      </c>
      <c r="L108" s="41" t="inlineStr">
        <is>
          <t>No</t>
        </is>
      </c>
      <c r="M108" s="34" t="n"/>
    </row>
    <row r="109">
      <c r="A109" s="132" t="n">
        <v>46346</v>
      </c>
      <c r="B109" s="34" t="inlineStr">
        <is>
          <t>Harith Bin Ismail</t>
        </is>
      </c>
      <c r="C109" s="41" t="inlineStr">
        <is>
          <t>M2</t>
        </is>
      </c>
      <c r="D109" s="26">
        <f>IF($A109="","",3+INT(($A109-DATE(2026,10,5))/7))</f>
        <v/>
      </c>
      <c r="E109" s="41" t="inlineStr">
        <is>
          <t>DLD</t>
        </is>
      </c>
      <c r="F109" s="41" t="inlineStr">
        <is>
          <t>T28</t>
        </is>
      </c>
      <c r="G109" s="34" t="inlineStr">
        <is>
          <t>Local store &amp; sync - Detailed design of screens, widgets and models</t>
        </is>
      </c>
      <c r="H109" s="75" t="n">
        <v>0.7083333333333334</v>
      </c>
      <c r="I109" s="75" t="n">
        <v>0.8333333333333334</v>
      </c>
      <c r="J109" s="44" t="n">
        <v>0</v>
      </c>
      <c r="K109" s="26">
        <f>IF(OR($H109="",$I109=""),"",MAX(0,ROUND(($I109-$H109)*1440,0)-N($J109)))</f>
        <v/>
      </c>
      <c r="L109" s="41" t="inlineStr">
        <is>
          <t>No</t>
        </is>
      </c>
      <c r="M109" s="34" t="n"/>
    </row>
    <row r="110">
      <c r="A110" s="132" t="n">
        <v>46347</v>
      </c>
      <c r="B110" s="34" t="inlineStr">
        <is>
          <t>Harith Bin Ismail</t>
        </is>
      </c>
      <c r="C110" s="41" t="inlineStr">
        <is>
          <t>M2</t>
        </is>
      </c>
      <c r="D110" s="26">
        <f>IF($A110="","",3+INT(($A110-DATE(2026,10,5))/7))</f>
        <v/>
      </c>
      <c r="E110" s="41" t="inlineStr">
        <is>
          <t>DLDR</t>
        </is>
      </c>
      <c r="F110" s="41" t="inlineStr">
        <is>
          <t>T29</t>
        </is>
      </c>
      <c r="G110" s="34" t="inlineStr">
        <is>
          <t>Local store &amp; sync - Personal review of the detailed design</t>
        </is>
      </c>
      <c r="H110" s="75" t="n">
        <v>0.5416666666666666</v>
      </c>
      <c r="I110" s="75" t="n">
        <v>0.75</v>
      </c>
      <c r="J110" s="44" t="n">
        <v>0</v>
      </c>
      <c r="K110" s="26">
        <f>IF(OR($H110="",$I110=""),"",MAX(0,ROUND(($I110-$H110)*1440,0)-N($J110)))</f>
        <v/>
      </c>
      <c r="L110" s="41" t="inlineStr">
        <is>
          <t>No</t>
        </is>
      </c>
      <c r="M110" s="34" t="n"/>
    </row>
    <row r="111">
      <c r="A111" s="132" t="n">
        <v>46349</v>
      </c>
      <c r="B111" s="34" t="inlineStr">
        <is>
          <t>Harith Bin Ismail</t>
        </is>
      </c>
      <c r="C111" s="41" t="inlineStr">
        <is>
          <t>M3</t>
        </is>
      </c>
      <c r="D111" s="26">
        <f>IF($A111="","",3+INT(($A111-DATE(2026,10,5))/7))</f>
        <v/>
      </c>
      <c r="E111" s="41" t="inlineStr">
        <is>
          <t>TD</t>
        </is>
      </c>
      <c r="F111" s="41" t="inlineStr">
        <is>
          <t>T30</t>
        </is>
      </c>
      <c r="G111" s="34" t="inlineStr">
        <is>
          <t>Local store &amp; sync - Write the test cases for this component</t>
        </is>
      </c>
      <c r="H111" s="75" t="n">
        <v>0.375</v>
      </c>
      <c r="I111" s="75" t="n">
        <v>0.5833333333333334</v>
      </c>
      <c r="J111" s="44" t="n">
        <v>60</v>
      </c>
      <c r="K111" s="26">
        <f>IF(OR($H111="",$I111=""),"",MAX(0,ROUND(($I111-$H111)*1440,0)-N($J111)))</f>
        <v/>
      </c>
      <c r="L111" s="41" t="inlineStr">
        <is>
          <t>No</t>
        </is>
      </c>
      <c r="M111" s="34" t="inlineStr">
        <is>
          <t>lunch</t>
        </is>
      </c>
    </row>
    <row r="112">
      <c r="A112" s="132" t="n">
        <v>46350</v>
      </c>
      <c r="B112" s="34" t="inlineStr">
        <is>
          <t>Harith Bin Ismail</t>
        </is>
      </c>
      <c r="C112" s="41" t="inlineStr">
        <is>
          <t>M3</t>
        </is>
      </c>
      <c r="D112" s="26">
        <f>IF($A112="","",3+INT(($A112-DATE(2026,10,5))/7))</f>
        <v/>
      </c>
      <c r="E112" s="41" t="inlineStr">
        <is>
          <t>DLDINSP</t>
        </is>
      </c>
      <c r="F112" s="41" t="inlineStr">
        <is>
          <t>T31</t>
        </is>
      </c>
      <c r="G112" s="34" t="inlineStr">
        <is>
          <t>Local store &amp; sync - Team inspection of the detailed design</t>
        </is>
      </c>
      <c r="H112" s="75" t="n">
        <v>0.4166666666666667</v>
      </c>
      <c r="I112" s="75" t="n">
        <v>0.5416666666666666</v>
      </c>
      <c r="J112" s="44" t="n">
        <v>0</v>
      </c>
      <c r="K112" s="26">
        <f>IF(OR($H112="",$I112=""),"",MAX(0,ROUND(($I112-$H112)*1440,0)-N($J112)))</f>
        <v/>
      </c>
      <c r="L112" s="41" t="inlineStr">
        <is>
          <t>No</t>
        </is>
      </c>
      <c r="M112" s="34" t="n"/>
    </row>
    <row r="113">
      <c r="A113" s="132" t="n">
        <v>46351</v>
      </c>
      <c r="B113" s="34" t="inlineStr">
        <is>
          <t>Harith Bin Ismail</t>
        </is>
      </c>
      <c r="C113" s="41" t="inlineStr">
        <is>
          <t>M3</t>
        </is>
      </c>
      <c r="D113" s="26">
        <f>IF($A113="","",3+INT(($A113-DATE(2026,10,5))/7))</f>
        <v/>
      </c>
      <c r="E113" s="41" t="inlineStr">
        <is>
          <t>CODE</t>
        </is>
      </c>
      <c r="F113" s="41" t="inlineStr">
        <is>
          <t>T32</t>
        </is>
      </c>
      <c r="G113" s="34" t="inlineStr">
        <is>
          <t>Local store &amp; sync - Implement in Dart / Flutter</t>
        </is>
      </c>
      <c r="H113" s="75" t="n">
        <v>0.7083333333333334</v>
      </c>
      <c r="I113" s="75" t="n">
        <v>0.9166666666666666</v>
      </c>
      <c r="J113" s="44" t="n">
        <v>80</v>
      </c>
      <c r="K113" s="26">
        <f>IF(OR($H113="",$I113=""),"",MAX(0,ROUND(($I113-$H113)*1440,0)-N($J113)))</f>
        <v/>
      </c>
      <c r="L113" s="41" t="inlineStr">
        <is>
          <t>No</t>
        </is>
      </c>
      <c r="M113" s="34" t="inlineStr">
        <is>
          <t>dinner and rest</t>
        </is>
      </c>
    </row>
    <row r="114">
      <c r="A114" s="132" t="n">
        <v>46352</v>
      </c>
      <c r="B114" s="34" t="inlineStr">
        <is>
          <t>Harith Bin Ismail</t>
        </is>
      </c>
      <c r="C114" s="41" t="inlineStr">
        <is>
          <t>M3</t>
        </is>
      </c>
      <c r="D114" s="26">
        <f>IF($A114="","",3+INT(($A114-DATE(2026,10,5))/7))</f>
        <v/>
      </c>
      <c r="E114" s="41" t="inlineStr">
        <is>
          <t>CR</t>
        </is>
      </c>
      <c r="F114" s="41" t="inlineStr">
        <is>
          <t>T33</t>
        </is>
      </c>
      <c r="G114" s="34" t="inlineStr">
        <is>
          <t>Local store &amp; sync - Pull-request review by a teammate</t>
        </is>
      </c>
      <c r="H114" s="75" t="n">
        <v>0.5416666666666666</v>
      </c>
      <c r="I114" s="75" t="n">
        <v>0.6666666666666666</v>
      </c>
      <c r="J114" s="44" t="n">
        <v>0</v>
      </c>
      <c r="K114" s="26">
        <f>IF(OR($H114="",$I114=""),"",MAX(0,ROUND(($I114-$H114)*1440,0)-N($J114)))</f>
        <v/>
      </c>
      <c r="L114" s="41" t="inlineStr">
        <is>
          <t>No</t>
        </is>
      </c>
      <c r="M114" s="34" t="n"/>
    </row>
    <row r="115">
      <c r="A115" s="132" t="n">
        <v>46353</v>
      </c>
      <c r="B115" s="34" t="inlineStr">
        <is>
          <t>Harith Bin Ismail</t>
        </is>
      </c>
      <c r="C115" s="41" t="inlineStr">
        <is>
          <t>M3</t>
        </is>
      </c>
      <c r="D115" s="26">
        <f>IF($A115="","",3+INT(($A115-DATE(2026,10,5))/7))</f>
        <v/>
      </c>
      <c r="E115" s="41" t="inlineStr">
        <is>
          <t>BUILD</t>
        </is>
      </c>
      <c r="F115" s="41" t="inlineStr">
        <is>
          <t>T34</t>
        </is>
      </c>
      <c r="G115" s="34" t="inlineStr">
        <is>
          <t>Local store &amp; sync - flutter analyze and build, fix what it reports</t>
        </is>
      </c>
      <c r="H115" s="75" t="n">
        <v>0.4166666666666667</v>
      </c>
      <c r="I115" s="75" t="n">
        <v>0.5</v>
      </c>
      <c r="J115" s="44" t="n">
        <v>0</v>
      </c>
      <c r="K115" s="26">
        <f>IF(OR($H115="",$I115=""),"",MAX(0,ROUND(($I115-$H115)*1440,0)-N($J115)))</f>
        <v/>
      </c>
      <c r="L115" s="41" t="inlineStr">
        <is>
          <t>No</t>
        </is>
      </c>
      <c r="M115" s="34" t="n"/>
    </row>
    <row r="116">
      <c r="A116" s="132" t="n">
        <v>46368</v>
      </c>
      <c r="B116" s="34" t="inlineStr">
        <is>
          <t>Harith Bin Ismail</t>
        </is>
      </c>
      <c r="C116" s="41" t="inlineStr">
        <is>
          <t>M3</t>
        </is>
      </c>
      <c r="D116" s="26">
        <f>IF($A116="","",3+INT(($A116-DATE(2026,10,5))/7))</f>
        <v/>
      </c>
      <c r="E116" s="41" t="inlineStr">
        <is>
          <t>CODEINSP</t>
        </is>
      </c>
      <c r="F116" s="41" t="inlineStr">
        <is>
          <t>T35</t>
        </is>
      </c>
      <c r="G116" s="34" t="inlineStr">
        <is>
          <t>Local store &amp; sync - Team code inspection</t>
        </is>
      </c>
      <c r="H116" s="75" t="n">
        <v>0.375</v>
      </c>
      <c r="I116" s="75" t="n">
        <v>0.5416666666666666</v>
      </c>
      <c r="J116" s="44" t="n">
        <v>0</v>
      </c>
      <c r="K116" s="26">
        <f>IF(OR($H116="",$I116=""),"",MAX(0,ROUND(($I116-$H116)*1440,0)-N($J116)))</f>
        <v/>
      </c>
      <c r="L116" s="41" t="inlineStr">
        <is>
          <t>No</t>
        </is>
      </c>
      <c r="M116" s="34" t="n"/>
    </row>
    <row r="117">
      <c r="A117" s="132" t="n">
        <v>46363</v>
      </c>
      <c r="B117" s="34" t="inlineStr">
        <is>
          <t>Harith Bin Ismail</t>
        </is>
      </c>
      <c r="C117" s="41" t="inlineStr">
        <is>
          <t>M3</t>
        </is>
      </c>
      <c r="D117" s="26">
        <f>IF($A117="","",3+INT(($A117-DATE(2026,10,5))/7))</f>
        <v/>
      </c>
      <c r="E117" s="41" t="inlineStr">
        <is>
          <t>UT</t>
        </is>
      </c>
      <c r="F117" s="41" t="inlineStr">
        <is>
          <t>T36</t>
        </is>
      </c>
      <c r="G117" s="34" t="inlineStr">
        <is>
          <t>Local store &amp; sync - Unit tests for this component</t>
        </is>
      </c>
      <c r="H117" s="75" t="n">
        <v>0.4166666666666667</v>
      </c>
      <c r="I117" s="75" t="n">
        <v>0.5416666666666666</v>
      </c>
      <c r="J117" s="44" t="n">
        <v>0</v>
      </c>
      <c r="K117" s="26">
        <f>IF(OR($H117="",$I117=""),"",MAX(0,ROUND(($I117-$H117)*1440,0)-N($J117)))</f>
        <v/>
      </c>
      <c r="L117" s="41" t="inlineStr">
        <is>
          <t>No</t>
        </is>
      </c>
      <c r="M117" s="34" t="n"/>
    </row>
    <row r="118">
      <c r="A118" s="132" t="n">
        <v>46364</v>
      </c>
      <c r="B118" s="34" t="inlineStr">
        <is>
          <t>Harith Bin Ismail</t>
        </is>
      </c>
      <c r="C118" s="41" t="inlineStr">
        <is>
          <t>M3</t>
        </is>
      </c>
      <c r="D118" s="26">
        <f>IF($A118="","",3+INT(($A118-DATE(2026,10,5))/7))</f>
        <v/>
      </c>
      <c r="E118" s="41" t="inlineStr">
        <is>
          <t>IT</t>
        </is>
      </c>
      <c r="F118" s="41" t="inlineStr">
        <is>
          <t>T37</t>
        </is>
      </c>
      <c r="G118" s="34" t="inlineStr">
        <is>
          <t>SYSTEM - Build and integration test across components</t>
        </is>
      </c>
      <c r="H118" s="75" t="n">
        <v>0.5416666666666666</v>
      </c>
      <c r="I118" s="75" t="n">
        <v>0.8333333333333334</v>
      </c>
      <c r="J118" s="44" t="n">
        <v>80</v>
      </c>
      <c r="K118" s="26">
        <f>IF(OR($H118="",$I118=""),"",MAX(0,ROUND(($I118-$H118)*1440,0)-N($J118)))</f>
        <v/>
      </c>
      <c r="L118" s="41" t="inlineStr">
        <is>
          <t>No</t>
        </is>
      </c>
      <c r="M118" s="34" t="inlineStr">
        <is>
          <t>rest</t>
        </is>
      </c>
    </row>
    <row r="119">
      <c r="A119" s="132" t="n">
        <v>46365</v>
      </c>
      <c r="B119" s="34" t="inlineStr">
        <is>
          <t>Harith Bin Ismail</t>
        </is>
      </c>
      <c r="C119" s="41" t="inlineStr">
        <is>
          <t>M3</t>
        </is>
      </c>
      <c r="D119" s="26">
        <f>IF($A119="","",3+INT(($A119-DATE(2026,10,5))/7))</f>
        <v/>
      </c>
      <c r="E119" s="41" t="inlineStr">
        <is>
          <t>ST</t>
        </is>
      </c>
      <c r="F119" s="41" t="inlineStr">
        <is>
          <t>T38</t>
        </is>
      </c>
      <c r="G119" s="34" t="inlineStr">
        <is>
          <t>SYSTEM - System test against the SRS</t>
        </is>
      </c>
      <c r="H119" s="75" t="n">
        <v>0.4166666666666667</v>
      </c>
      <c r="I119" s="75" t="n">
        <v>0.6666666666666666</v>
      </c>
      <c r="J119" s="44" t="n">
        <v>50</v>
      </c>
      <c r="K119" s="26">
        <f>IF(OR($H119="",$I119=""),"",MAX(0,ROUND(($I119-$H119)*1440,0)-N($J119)))</f>
        <v/>
      </c>
      <c r="L119" s="41" t="inlineStr">
        <is>
          <t>No</t>
        </is>
      </c>
      <c r="M119" s="34" t="inlineStr">
        <is>
          <t>lunch</t>
        </is>
      </c>
    </row>
    <row r="120">
      <c r="A120" s="132" t="n">
        <v>46366</v>
      </c>
      <c r="B120" s="34" t="inlineStr">
        <is>
          <t>Harith Bin Ismail</t>
        </is>
      </c>
      <c r="C120" s="41" t="inlineStr">
        <is>
          <t>M3</t>
        </is>
      </c>
      <c r="D120" s="26">
        <f>IF($A120="","",3+INT(($A120-DATE(2026,10,5))/7))</f>
        <v/>
      </c>
      <c r="E120" s="41" t="inlineStr">
        <is>
          <t>DOC</t>
        </is>
      </c>
      <c r="F120" s="41" t="inlineStr">
        <is>
          <t>T39</t>
        </is>
      </c>
      <c r="G120" s="34" t="inlineStr">
        <is>
          <t>SYSTEM - User manual and final report</t>
        </is>
      </c>
      <c r="H120" s="75" t="n">
        <v>0.4166666666666667</v>
      </c>
      <c r="I120" s="75" t="n">
        <v>0.5833333333333334</v>
      </c>
      <c r="J120" s="44" t="n">
        <v>0</v>
      </c>
      <c r="K120" s="26">
        <f>IF(OR($H120="",$I120=""),"",MAX(0,ROUND(($I120-$H120)*1440,0)-N($J120)))</f>
        <v/>
      </c>
      <c r="L120" s="41" t="inlineStr">
        <is>
          <t>No</t>
        </is>
      </c>
      <c r="M120" s="34" t="n"/>
    </row>
    <row r="121">
      <c r="A121" s="132" t="n">
        <v>46367</v>
      </c>
      <c r="B121" s="34" t="inlineStr">
        <is>
          <t>Harith Bin Ismail</t>
        </is>
      </c>
      <c r="C121" s="41" t="inlineStr">
        <is>
          <t>M3</t>
        </is>
      </c>
      <c r="D121" s="26">
        <f>IF($A121="","",3+INT(($A121-DATE(2026,10,5))/7))</f>
        <v/>
      </c>
      <c r="E121" s="41" t="inlineStr">
        <is>
          <t>PM</t>
        </is>
      </c>
      <c r="F121" s="41" t="inlineStr">
        <is>
          <t>T40</t>
        </is>
      </c>
      <c r="G121" s="34" t="inlineStr">
        <is>
          <t>SYSTEM - Postmortem: review the data and agree three changes</t>
        </is>
      </c>
      <c r="H121" s="75" t="n">
        <v>0.5</v>
      </c>
      <c r="I121" s="75" t="n">
        <v>0.625</v>
      </c>
      <c r="J121" s="44" t="n">
        <v>0</v>
      </c>
      <c r="K121" s="26">
        <f>IF(OR($H121="",$I121=""),"",MAX(0,ROUND(($I121-$H121)*1440,0)-N($J121)))</f>
        <v/>
      </c>
      <c r="L121" s="41" t="inlineStr">
        <is>
          <t>No</t>
        </is>
      </c>
      <c r="M121" s="34" t="n"/>
    </row>
    <row r="122">
      <c r="A122" s="132" t="n">
        <v>46300</v>
      </c>
      <c r="B122" s="34" t="inlineStr">
        <is>
          <t>Priya Nair</t>
        </is>
      </c>
      <c r="C122" s="41" t="inlineStr">
        <is>
          <t>M1</t>
        </is>
      </c>
      <c r="D122" s="26">
        <f>IF($A122="","",3+INT(($A122-DATE(2026,10,5))/7))</f>
        <v/>
      </c>
      <c r="E122" s="41" t="inlineStr">
        <is>
          <t>MGMT</t>
        </is>
      </c>
      <c r="F122" s="41" t="inlineStr">
        <is>
          <t>T01</t>
        </is>
      </c>
      <c r="G122" s="34" t="inlineStr">
        <is>
          <t>SYSTEM - Team admin, lab attendance, instructor check-ins</t>
        </is>
      </c>
      <c r="H122" s="75" t="n">
        <v>0.4479166666666667</v>
      </c>
      <c r="I122" s="75" t="n">
        <v>0.53125</v>
      </c>
      <c r="J122" s="44" t="n">
        <v>0</v>
      </c>
      <c r="K122" s="26">
        <f>IF(OR($H122="",$I122=""),"",MAX(0,ROUND(($I122-$H122)*1440,0)-N($J122)))</f>
        <v/>
      </c>
      <c r="L122" s="41" t="inlineStr">
        <is>
          <t>No</t>
        </is>
      </c>
      <c r="M122" s="34" t="n"/>
    </row>
    <row r="123">
      <c r="A123" s="132" t="n">
        <v>46301</v>
      </c>
      <c r="B123" s="34" t="inlineStr">
        <is>
          <t>Priya Nair</t>
        </is>
      </c>
      <c r="C123" s="41" t="inlineStr">
        <is>
          <t>M1</t>
        </is>
      </c>
      <c r="D123" s="26">
        <f>IF($A123="","",3+INT(($A123-DATE(2026,10,5))/7))</f>
        <v/>
      </c>
      <c r="E123" s="41" t="inlineStr">
        <is>
          <t>STRAT</t>
        </is>
      </c>
      <c r="F123" s="41" t="inlineStr">
        <is>
          <t>T02</t>
        </is>
      </c>
      <c r="G123" s="34" t="inlineStr">
        <is>
          <t>SYSTEM - Launch meeting, cycle strategy and stack decisions</t>
        </is>
      </c>
      <c r="H123" s="75" t="n">
        <v>0.53125</v>
      </c>
      <c r="I123" s="75" t="n">
        <v>0.6354166666666666</v>
      </c>
      <c r="J123" s="44" t="n">
        <v>0</v>
      </c>
      <c r="K123" s="26">
        <f>IF(OR($H123="",$I123=""),"",MAX(0,ROUND(($I123-$H123)*1440,0)-N($J123)))</f>
        <v/>
      </c>
      <c r="L123" s="41" t="inlineStr">
        <is>
          <t>No</t>
        </is>
      </c>
      <c r="M123" s="34" t="n"/>
    </row>
    <row r="124">
      <c r="A124" s="132" t="n">
        <v>46302</v>
      </c>
      <c r="B124" s="34" t="inlineStr">
        <is>
          <t>Priya Nair</t>
        </is>
      </c>
      <c r="C124" s="41" t="inlineStr">
        <is>
          <t>M1</t>
        </is>
      </c>
      <c r="D124" s="26">
        <f>IF($A124="","",3+INT(($A124-DATE(2026,10,5))/7))</f>
        <v/>
      </c>
      <c r="E124" s="41" t="inlineStr">
        <is>
          <t>PLAN</t>
        </is>
      </c>
      <c r="F124" s="41" t="inlineStr">
        <is>
          <t>T03</t>
        </is>
      </c>
      <c r="G124" s="34" t="inlineStr">
        <is>
          <t>SYSTEM - Task and schedule plan for the cycle</t>
        </is>
      </c>
      <c r="H124" s="75" t="n">
        <v>0.65625</v>
      </c>
      <c r="I124" s="75" t="n">
        <v>0.7604166666666666</v>
      </c>
      <c r="J124" s="44" t="n">
        <v>0</v>
      </c>
      <c r="K124" s="26">
        <f>IF(OR($H124="",$I124=""),"",MAX(0,ROUND(($I124-$H124)*1440,0)-N($J124)))</f>
        <v/>
      </c>
      <c r="L124" s="41" t="inlineStr">
        <is>
          <t>No</t>
        </is>
      </c>
      <c r="M124" s="34" t="n"/>
    </row>
    <row r="125">
      <c r="A125" s="132" t="n">
        <v>46310</v>
      </c>
      <c r="B125" s="34" t="inlineStr">
        <is>
          <t>Priya Nair</t>
        </is>
      </c>
      <c r="C125" s="41" t="inlineStr">
        <is>
          <t>M1</t>
        </is>
      </c>
      <c r="D125" s="26">
        <f>IF($A125="","",3+INT(($A125-DATE(2026,10,5))/7))</f>
        <v/>
      </c>
      <c r="E125" s="41" t="inlineStr">
        <is>
          <t>STP</t>
        </is>
      </c>
      <c r="F125" s="41" t="inlineStr">
        <is>
          <t>T05</t>
        </is>
      </c>
      <c r="G125" s="34" t="inlineStr">
        <is>
          <t>SYSTEM - System test plan</t>
        </is>
      </c>
      <c r="H125" s="75" t="n">
        <v>0.4166666666666667</v>
      </c>
      <c r="I125" s="75" t="n">
        <v>0.425</v>
      </c>
      <c r="J125" s="44" t="n">
        <v>0</v>
      </c>
      <c r="K125" s="26">
        <f>IF(OR($H125="",$I125=""),"",MAX(0,ROUND(($I125-$H125)*1440,0)-N($J125)))</f>
        <v/>
      </c>
      <c r="L125" s="41" t="inlineStr">
        <is>
          <t>No</t>
        </is>
      </c>
      <c r="M125" s="34" t="n"/>
    </row>
    <row r="126">
      <c r="A126" s="132" t="n">
        <v>46311</v>
      </c>
      <c r="B126" s="34" t="inlineStr">
        <is>
          <t>Priya Nair</t>
        </is>
      </c>
      <c r="C126" s="41" t="inlineStr">
        <is>
          <t>M1</t>
        </is>
      </c>
      <c r="D126" s="26">
        <f>IF($A126="","",3+INT(($A126-DATE(2026,10,5))/7))</f>
        <v/>
      </c>
      <c r="E126" s="41" t="inlineStr">
        <is>
          <t>REQINSP</t>
        </is>
      </c>
      <c r="F126" s="41" t="inlineStr">
        <is>
          <t>T06</t>
        </is>
      </c>
      <c r="G126" s="34" t="inlineStr">
        <is>
          <t>SYSTEM - Team inspection of the SRS</t>
        </is>
      </c>
      <c r="H126" s="75" t="n">
        <v>0.4583333333333333</v>
      </c>
      <c r="I126" s="75" t="n">
        <v>0.5</v>
      </c>
      <c r="J126" s="44" t="n">
        <v>0</v>
      </c>
      <c r="K126" s="26">
        <f>IF(OR($H126="",$I126=""),"",MAX(0,ROUND(($I126-$H126)*1440,0)-N($J126)))</f>
        <v/>
      </c>
      <c r="L126" s="41" t="inlineStr">
        <is>
          <t>No</t>
        </is>
      </c>
      <c r="M126" s="34" t="n"/>
    </row>
    <row r="127">
      <c r="A127" s="132" t="n">
        <v>46312</v>
      </c>
      <c r="B127" s="34" t="inlineStr">
        <is>
          <t>Priya Nair</t>
        </is>
      </c>
      <c r="C127" s="41" t="inlineStr">
        <is>
          <t>M1</t>
        </is>
      </c>
      <c r="D127" s="26">
        <f>IF($A127="","",3+INT(($A127-DATE(2026,10,5))/7))</f>
        <v/>
      </c>
      <c r="E127" s="41" t="inlineStr">
        <is>
          <t>HLD</t>
        </is>
      </c>
      <c r="F127" s="41" t="inlineStr">
        <is>
          <t>T07</t>
        </is>
      </c>
      <c r="G127" s="34" t="inlineStr">
        <is>
          <t>SYSTEM - Architecture and SDD</t>
        </is>
      </c>
      <c r="H127" s="75" t="n">
        <v>0.5416666666666666</v>
      </c>
      <c r="I127" s="75" t="n">
        <v>0.5833333333333334</v>
      </c>
      <c r="J127" s="44" t="n">
        <v>0</v>
      </c>
      <c r="K127" s="26">
        <f>IF(OR($H127="",$I127=""),"",MAX(0,ROUND(($I127-$H127)*1440,0)-N($J127)))</f>
        <v/>
      </c>
      <c r="L127" s="41" t="inlineStr">
        <is>
          <t>No</t>
        </is>
      </c>
      <c r="M127" s="34" t="n"/>
    </row>
    <row r="128">
      <c r="A128" s="132" t="n">
        <v>46307</v>
      </c>
      <c r="B128" s="34" t="inlineStr">
        <is>
          <t>Priya Nair</t>
        </is>
      </c>
      <c r="C128" s="41" t="inlineStr">
        <is>
          <t>M1</t>
        </is>
      </c>
      <c r="D128" s="26">
        <f>IF($A128="","",3+INT(($A128-DATE(2026,10,5))/7))</f>
        <v/>
      </c>
      <c r="E128" s="41" t="inlineStr">
        <is>
          <t>HLDINSP</t>
        </is>
      </c>
      <c r="F128" s="41" t="inlineStr">
        <is>
          <t>T09</t>
        </is>
      </c>
      <c r="G128" s="34" t="inlineStr">
        <is>
          <t>SYSTEM - Team inspection of the SDD</t>
        </is>
      </c>
      <c r="H128" s="75" t="n">
        <v>0.65625</v>
      </c>
      <c r="I128" s="75" t="n">
        <v>0.6979166666666666</v>
      </c>
      <c r="J128" s="44" t="n">
        <v>0</v>
      </c>
      <c r="K128" s="26">
        <f>IF(OR($H128="",$I128=""),"",MAX(0,ROUND(($I128-$H128)*1440,0)-N($J128)))</f>
        <v/>
      </c>
      <c r="L128" s="41" t="inlineStr">
        <is>
          <t>No</t>
        </is>
      </c>
      <c r="M128" s="34" t="n"/>
    </row>
    <row r="129">
      <c r="A129" s="132" t="n">
        <v>46315</v>
      </c>
      <c r="B129" s="34" t="inlineStr">
        <is>
          <t>Priya Nair</t>
        </is>
      </c>
      <c r="C129" s="41" t="inlineStr">
        <is>
          <t>M1</t>
        </is>
      </c>
      <c r="D129" s="26">
        <f>IF($A129="","",3+INT(($A129-DATE(2026,10,5))/7))</f>
        <v/>
      </c>
      <c r="E129" s="41" t="inlineStr">
        <is>
          <t>DLD</t>
        </is>
      </c>
      <c r="F129" s="41" t="inlineStr">
        <is>
          <t>T10</t>
        </is>
      </c>
      <c r="G129" s="34" t="inlineStr">
        <is>
          <t>UI / screens - Detailed design of screens, widgets and models</t>
        </is>
      </c>
      <c r="H129" s="75" t="n">
        <v>0.4166666666666667</v>
      </c>
      <c r="I129" s="75" t="n">
        <v>0.45</v>
      </c>
      <c r="J129" s="44" t="n">
        <v>0</v>
      </c>
      <c r="K129" s="26">
        <f>IF(OR($H129="",$I129=""),"",MAX(0,ROUND(($I129-$H129)*1440,0)-N($J129)))</f>
        <v/>
      </c>
      <c r="L129" s="41" t="inlineStr">
        <is>
          <t>No</t>
        </is>
      </c>
      <c r="M129" s="34" t="n"/>
    </row>
    <row r="130">
      <c r="A130" s="132" t="n">
        <v>46316</v>
      </c>
      <c r="B130" s="34" t="inlineStr">
        <is>
          <t>Priya Nair</t>
        </is>
      </c>
      <c r="C130" s="41" t="inlineStr">
        <is>
          <t>M1</t>
        </is>
      </c>
      <c r="D130" s="26">
        <f>IF($A130="","",3+INT(($A130-DATE(2026,10,5))/7))</f>
        <v/>
      </c>
      <c r="E130" s="41" t="inlineStr">
        <is>
          <t>DLDR</t>
        </is>
      </c>
      <c r="F130" s="41" t="inlineStr">
        <is>
          <t>T11</t>
        </is>
      </c>
      <c r="G130" s="34" t="inlineStr">
        <is>
          <t>UI / screens - Personal review of the detailed design</t>
        </is>
      </c>
      <c r="H130" s="75" t="n">
        <v>0.4583333333333333</v>
      </c>
      <c r="I130" s="75" t="n">
        <v>0.5208333333333334</v>
      </c>
      <c r="J130" s="44" t="n">
        <v>0</v>
      </c>
      <c r="K130" s="26">
        <f>IF(OR($H130="",$I130=""),"",MAX(0,ROUND(($I130-$H130)*1440,0)-N($J130)))</f>
        <v/>
      </c>
      <c r="L130" s="41" t="inlineStr">
        <is>
          <t>No</t>
        </is>
      </c>
      <c r="M130" s="34" t="n"/>
    </row>
    <row r="131">
      <c r="A131" s="132" t="n">
        <v>46317</v>
      </c>
      <c r="B131" s="34" t="inlineStr">
        <is>
          <t>Priya Nair</t>
        </is>
      </c>
      <c r="C131" s="41" t="inlineStr">
        <is>
          <t>M1</t>
        </is>
      </c>
      <c r="D131" s="26">
        <f>IF($A131="","",3+INT(($A131-DATE(2026,10,5))/7))</f>
        <v/>
      </c>
      <c r="E131" s="41" t="inlineStr">
        <is>
          <t>TD</t>
        </is>
      </c>
      <c r="F131" s="41" t="inlineStr">
        <is>
          <t>T12</t>
        </is>
      </c>
      <c r="G131" s="34" t="inlineStr">
        <is>
          <t>UI / screens - Write the test cases for this component</t>
        </is>
      </c>
      <c r="H131" s="75" t="n">
        <v>0.625</v>
      </c>
      <c r="I131" s="75" t="n">
        <v>0.7291666666666666</v>
      </c>
      <c r="J131" s="44" t="n">
        <v>0</v>
      </c>
      <c r="K131" s="26">
        <f>IF(OR($H131="",$I131=""),"",MAX(0,ROUND(($I131-$H131)*1440,0)-N($J131)))</f>
        <v/>
      </c>
      <c r="L131" s="41" t="inlineStr">
        <is>
          <t>No</t>
        </is>
      </c>
      <c r="M131" s="34" t="n"/>
    </row>
    <row r="132">
      <c r="A132" s="132" t="n">
        <v>46318</v>
      </c>
      <c r="B132" s="34" t="inlineStr">
        <is>
          <t>Priya Nair</t>
        </is>
      </c>
      <c r="C132" s="41" t="inlineStr">
        <is>
          <t>M1</t>
        </is>
      </c>
      <c r="D132" s="26">
        <f>IF($A132="","",3+INT(($A132-DATE(2026,10,5))/7))</f>
        <v/>
      </c>
      <c r="E132" s="41" t="inlineStr">
        <is>
          <t>DLDINSP</t>
        </is>
      </c>
      <c r="F132" s="41" t="inlineStr">
        <is>
          <t>T13</t>
        </is>
      </c>
      <c r="G132" s="34" t="inlineStr">
        <is>
          <t>UI / screens - Team inspection of the detailed design</t>
        </is>
      </c>
      <c r="H132" s="75" t="n">
        <v>0.75</v>
      </c>
      <c r="I132" s="75" t="n">
        <v>0.8125</v>
      </c>
      <c r="J132" s="44" t="n">
        <v>0</v>
      </c>
      <c r="K132" s="26">
        <f>IF(OR($H132="",$I132=""),"",MAX(0,ROUND(($I132-$H132)*1440,0)-N($J132)))</f>
        <v/>
      </c>
      <c r="L132" s="41" t="inlineStr">
        <is>
          <t>No</t>
        </is>
      </c>
      <c r="M132" s="34" t="n"/>
    </row>
    <row r="133">
      <c r="A133" s="132" t="n">
        <v>46326</v>
      </c>
      <c r="B133" s="34" t="inlineStr">
        <is>
          <t>Priya Nair</t>
        </is>
      </c>
      <c r="C133" s="41" t="inlineStr">
        <is>
          <t>M2</t>
        </is>
      </c>
      <c r="D133" s="26">
        <f>IF($A133="","",3+INT(($A133-DATE(2026,10,5))/7))</f>
        <v/>
      </c>
      <c r="E133" s="41" t="inlineStr">
        <is>
          <t>CODE</t>
        </is>
      </c>
      <c r="F133" s="41" t="inlineStr">
        <is>
          <t>T14</t>
        </is>
      </c>
      <c r="G133" s="34" t="inlineStr">
        <is>
          <t>UI / screens - Implement in Dart / Flutter</t>
        </is>
      </c>
      <c r="H133" s="75" t="n">
        <v>0.4166666666666667</v>
      </c>
      <c r="I133" s="75" t="n">
        <v>0.45</v>
      </c>
      <c r="J133" s="44" t="n">
        <v>0</v>
      </c>
      <c r="K133" s="26">
        <f>IF(OR($H133="",$I133=""),"",MAX(0,ROUND(($I133-$H133)*1440,0)-N($J133)))</f>
        <v/>
      </c>
      <c r="L133" s="41" t="inlineStr">
        <is>
          <t>No</t>
        </is>
      </c>
      <c r="M133" s="34" t="n"/>
    </row>
    <row r="134">
      <c r="A134" s="132" t="n">
        <v>46321</v>
      </c>
      <c r="B134" s="34" t="inlineStr">
        <is>
          <t>Priya Nair</t>
        </is>
      </c>
      <c r="C134" s="41" t="inlineStr">
        <is>
          <t>M2</t>
        </is>
      </c>
      <c r="D134" s="26">
        <f>IF($A134="","",3+INT(($A134-DATE(2026,10,5))/7))</f>
        <v/>
      </c>
      <c r="E134" s="41" t="inlineStr">
        <is>
          <t>CR</t>
        </is>
      </c>
      <c r="F134" s="41" t="inlineStr">
        <is>
          <t>T15</t>
        </is>
      </c>
      <c r="G134" s="34" t="inlineStr">
        <is>
          <t>UI / screens - Pull-request review by a teammate</t>
        </is>
      </c>
      <c r="H134" s="75" t="n">
        <v>0.4583333333333333</v>
      </c>
      <c r="I134" s="75" t="n">
        <v>0.5416666666666666</v>
      </c>
      <c r="J134" s="44" t="n">
        <v>0</v>
      </c>
      <c r="K134" s="26">
        <f>IF(OR($H134="",$I134=""),"",MAX(0,ROUND(($I134-$H134)*1440,0)-N($J134)))</f>
        <v/>
      </c>
      <c r="L134" s="41" t="inlineStr">
        <is>
          <t>No</t>
        </is>
      </c>
      <c r="M134" s="34" t="n"/>
    </row>
    <row r="135">
      <c r="A135" s="132" t="n">
        <v>46322</v>
      </c>
      <c r="B135" s="34" t="inlineStr">
        <is>
          <t>Priya Nair</t>
        </is>
      </c>
      <c r="C135" s="41" t="inlineStr">
        <is>
          <t>M2</t>
        </is>
      </c>
      <c r="D135" s="26">
        <f>IF($A135="","",3+INT(($A135-DATE(2026,10,5))/7))</f>
        <v/>
      </c>
      <c r="E135" s="41" t="inlineStr">
        <is>
          <t>BUILD</t>
        </is>
      </c>
      <c r="F135" s="41" t="inlineStr">
        <is>
          <t>T16</t>
        </is>
      </c>
      <c r="G135" s="34" t="inlineStr">
        <is>
          <t>UI / screens - flutter analyze and build, fix what it reports</t>
        </is>
      </c>
      <c r="H135" s="75" t="n">
        <v>0.4166666666666667</v>
      </c>
      <c r="I135" s="75" t="n">
        <v>0.4583333333333333</v>
      </c>
      <c r="J135" s="44" t="n">
        <v>0</v>
      </c>
      <c r="K135" s="26">
        <f>IF(OR($H135="",$I135=""),"",MAX(0,ROUND(($I135-$H135)*1440,0)-N($J135)))</f>
        <v/>
      </c>
      <c r="L135" s="41" t="inlineStr">
        <is>
          <t>No</t>
        </is>
      </c>
      <c r="M135" s="34" t="n"/>
    </row>
    <row r="136">
      <c r="A136" s="132" t="n">
        <v>46323</v>
      </c>
      <c r="B136" s="34" t="inlineStr">
        <is>
          <t>Priya Nair</t>
        </is>
      </c>
      <c r="C136" s="41" t="inlineStr">
        <is>
          <t>M2</t>
        </is>
      </c>
      <c r="D136" s="26">
        <f>IF($A136="","",3+INT(($A136-DATE(2026,10,5))/7))</f>
        <v/>
      </c>
      <c r="E136" s="41" t="inlineStr">
        <is>
          <t>CODEINSP</t>
        </is>
      </c>
      <c r="F136" s="41" t="inlineStr">
        <is>
          <t>T17</t>
        </is>
      </c>
      <c r="G136" s="34" t="inlineStr">
        <is>
          <t>UI / screens - Team code inspection</t>
        </is>
      </c>
      <c r="H136" s="75" t="n">
        <v>0.6666666666666666</v>
      </c>
      <c r="I136" s="75" t="n">
        <v>0.7083333333333334</v>
      </c>
      <c r="J136" s="44" t="n">
        <v>0</v>
      </c>
      <c r="K136" s="26">
        <f>IF(OR($H136="",$I136=""),"",MAX(0,ROUND(($I136-$H136)*1440,0)-N($J136)))</f>
        <v/>
      </c>
      <c r="L136" s="41" t="inlineStr">
        <is>
          <t>No</t>
        </is>
      </c>
      <c r="M136" s="34" t="n"/>
    </row>
    <row r="137">
      <c r="A137" s="132" t="n">
        <v>46331</v>
      </c>
      <c r="B137" s="34" t="inlineStr">
        <is>
          <t>Priya Nair</t>
        </is>
      </c>
      <c r="C137" s="41" t="inlineStr">
        <is>
          <t>M2</t>
        </is>
      </c>
      <c r="D137" s="26">
        <f>IF($A137="","",3+INT(($A137-DATE(2026,10,5))/7))</f>
        <v/>
      </c>
      <c r="E137" s="41" t="inlineStr">
        <is>
          <t>DLDINSP</t>
        </is>
      </c>
      <c r="F137" s="41" t="inlineStr">
        <is>
          <t>T22</t>
        </is>
      </c>
      <c r="G137" s="34" t="inlineStr">
        <is>
          <t>Order &amp; catalogue service - Team inspection of the detailed design</t>
        </is>
      </c>
      <c r="H137" s="75" t="n">
        <v>0.4166666666666667</v>
      </c>
      <c r="I137" s="75" t="n">
        <v>0.5</v>
      </c>
      <c r="J137" s="44" t="n">
        <v>0</v>
      </c>
      <c r="K137" s="26">
        <f>IF(OR($H137="",$I137=""),"",MAX(0,ROUND(($I137-$H137)*1440,0)-N($J137)))</f>
        <v/>
      </c>
      <c r="L137" s="41" t="inlineStr">
        <is>
          <t>No</t>
        </is>
      </c>
      <c r="M137" s="34" t="n"/>
    </row>
    <row r="138">
      <c r="A138" s="132" t="n">
        <v>46332</v>
      </c>
      <c r="B138" s="34" t="inlineStr">
        <is>
          <t>Priya Nair</t>
        </is>
      </c>
      <c r="C138" s="41" t="inlineStr">
        <is>
          <t>M2</t>
        </is>
      </c>
      <c r="D138" s="26">
        <f>IF($A138="","",3+INT(($A138-DATE(2026,10,5))/7))</f>
        <v/>
      </c>
      <c r="E138" s="41" t="inlineStr">
        <is>
          <t>CODE</t>
        </is>
      </c>
      <c r="F138" s="41" t="inlineStr">
        <is>
          <t>T23</t>
        </is>
      </c>
      <c r="G138" s="34" t="inlineStr">
        <is>
          <t>Order &amp; catalogue service - Implement in Dart / Flutter</t>
        </is>
      </c>
      <c r="H138" s="75" t="n">
        <v>0.5833333333333334</v>
      </c>
      <c r="I138" s="75" t="n">
        <v>0.75</v>
      </c>
      <c r="J138" s="44" t="n">
        <v>0</v>
      </c>
      <c r="K138" s="26">
        <f>IF(OR($H138="",$I138=""),"",MAX(0,ROUND(($I138-$H138)*1440,0)-N($J138)))</f>
        <v/>
      </c>
      <c r="L138" s="41" t="inlineStr">
        <is>
          <t>No</t>
        </is>
      </c>
      <c r="M138" s="34" t="n"/>
    </row>
    <row r="139">
      <c r="A139" s="132" t="n">
        <v>46333</v>
      </c>
      <c r="B139" s="34" t="inlineStr">
        <is>
          <t>Priya Nair</t>
        </is>
      </c>
      <c r="C139" s="41" t="inlineStr">
        <is>
          <t>M2</t>
        </is>
      </c>
      <c r="D139" s="26">
        <f>IF($A139="","",3+INT(($A139-DATE(2026,10,5))/7))</f>
        <v/>
      </c>
      <c r="E139" s="41" t="inlineStr">
        <is>
          <t>CR</t>
        </is>
      </c>
      <c r="F139" s="41" t="inlineStr">
        <is>
          <t>T24</t>
        </is>
      </c>
      <c r="G139" s="34" t="inlineStr">
        <is>
          <t>Order &amp; catalogue service - Pull-request review by a teammate</t>
        </is>
      </c>
      <c r="H139" s="75" t="n">
        <v>0.7916666666666666</v>
      </c>
      <c r="I139" s="75" t="n">
        <v>0.875</v>
      </c>
      <c r="J139" s="44" t="n">
        <v>0</v>
      </c>
      <c r="K139" s="26">
        <f>IF(OR($H139="",$I139=""),"",MAX(0,ROUND(($I139-$H139)*1440,0)-N($J139)))</f>
        <v/>
      </c>
      <c r="L139" s="41" t="inlineStr">
        <is>
          <t>No</t>
        </is>
      </c>
      <c r="M139" s="34" t="n"/>
    </row>
    <row r="140">
      <c r="A140" s="132" t="n">
        <v>46342</v>
      </c>
      <c r="B140" s="34" t="inlineStr">
        <is>
          <t>Priya Nair</t>
        </is>
      </c>
      <c r="C140" s="41" t="inlineStr">
        <is>
          <t>M2</t>
        </is>
      </c>
      <c r="D140" s="26">
        <f>IF($A140="","",3+INT(($A140-DATE(2026,10,5))/7))</f>
        <v/>
      </c>
      <c r="E140" s="41" t="inlineStr">
        <is>
          <t>CODEINSP</t>
        </is>
      </c>
      <c r="F140" s="41" t="inlineStr">
        <is>
          <t>T26</t>
        </is>
      </c>
      <c r="G140" s="34" t="inlineStr">
        <is>
          <t>Order &amp; catalogue service - Team code inspection</t>
        </is>
      </c>
      <c r="H140" s="75" t="n">
        <v>0.4166666666666667</v>
      </c>
      <c r="I140" s="75" t="n">
        <v>0.4583333333333333</v>
      </c>
      <c r="J140" s="44" t="n">
        <v>0</v>
      </c>
      <c r="K140" s="26">
        <f>IF(OR($H140="",$I140=""),"",MAX(0,ROUND(($I140-$H140)*1440,0)-N($J140)))</f>
        <v/>
      </c>
      <c r="L140" s="41" t="inlineStr">
        <is>
          <t>No</t>
        </is>
      </c>
      <c r="M140" s="34" t="n"/>
    </row>
    <row r="141">
      <c r="A141" s="132" t="n">
        <v>46343</v>
      </c>
      <c r="B141" s="34" t="inlineStr">
        <is>
          <t>Priya Nair</t>
        </is>
      </c>
      <c r="C141" s="41" t="inlineStr">
        <is>
          <t>M2</t>
        </is>
      </c>
      <c r="D141" s="26">
        <f>IF($A141="","",3+INT(($A141-DATE(2026,10,5))/7))</f>
        <v/>
      </c>
      <c r="E141" s="41" t="inlineStr">
        <is>
          <t>DLDR</t>
        </is>
      </c>
      <c r="F141" s="41" t="inlineStr">
        <is>
          <t>T29</t>
        </is>
      </c>
      <c r="G141" s="34" t="inlineStr">
        <is>
          <t>Local store &amp; sync - Personal review of the detailed design</t>
        </is>
      </c>
      <c r="H141" s="75" t="n">
        <v>0.5833333333333334</v>
      </c>
      <c r="I141" s="75" t="n">
        <v>0.625</v>
      </c>
      <c r="J141" s="44" t="n">
        <v>0</v>
      </c>
      <c r="K141" s="26">
        <f>IF(OR($H141="",$I141=""),"",MAX(0,ROUND(($I141-$H141)*1440,0)-N($J141)))</f>
        <v/>
      </c>
      <c r="L141" s="41" t="inlineStr">
        <is>
          <t>No</t>
        </is>
      </c>
      <c r="M141" s="34" t="n"/>
    </row>
    <row r="142">
      <c r="A142" s="132" t="n">
        <v>46351</v>
      </c>
      <c r="B142" s="34" t="inlineStr">
        <is>
          <t>Priya Nair</t>
        </is>
      </c>
      <c r="C142" s="41" t="inlineStr">
        <is>
          <t>M3</t>
        </is>
      </c>
      <c r="D142" s="26">
        <f>IF($A142="","",3+INT(($A142-DATE(2026,10,5))/7))</f>
        <v/>
      </c>
      <c r="E142" s="41" t="inlineStr">
        <is>
          <t>DLDINSP</t>
        </is>
      </c>
      <c r="F142" s="41" t="inlineStr">
        <is>
          <t>T31</t>
        </is>
      </c>
      <c r="G142" s="34" t="inlineStr">
        <is>
          <t>Local store &amp; sync - Team inspection of the detailed design</t>
        </is>
      </c>
      <c r="H142" s="75" t="n">
        <v>0.5</v>
      </c>
      <c r="I142" s="75" t="n">
        <v>0.5416666666666666</v>
      </c>
      <c r="J142" s="44" t="n">
        <v>0</v>
      </c>
      <c r="K142" s="26">
        <f>IF(OR($H142="",$I142=""),"",MAX(0,ROUND(($I142-$H142)*1440,0)-N($J142)))</f>
        <v/>
      </c>
      <c r="L142" s="41" t="inlineStr">
        <is>
          <t>No</t>
        </is>
      </c>
      <c r="M142" s="34" t="n"/>
    </row>
    <row r="143">
      <c r="A143" s="132" t="n">
        <v>46352</v>
      </c>
      <c r="B143" s="34" t="inlineStr">
        <is>
          <t>Priya Nair</t>
        </is>
      </c>
      <c r="C143" s="41" t="inlineStr">
        <is>
          <t>M3</t>
        </is>
      </c>
      <c r="D143" s="26">
        <f>IF($A143="","",3+INT(($A143-DATE(2026,10,5))/7))</f>
        <v/>
      </c>
      <c r="E143" s="41" t="inlineStr">
        <is>
          <t>CODE</t>
        </is>
      </c>
      <c r="F143" s="41" t="inlineStr">
        <is>
          <t>T32</t>
        </is>
      </c>
      <c r="G143" s="34" t="inlineStr">
        <is>
          <t>Local store &amp; sync - Implement in Dart / Flutter</t>
        </is>
      </c>
      <c r="H143" s="75" t="n">
        <v>0.4166666666666667</v>
      </c>
      <c r="I143" s="75" t="n">
        <v>0.5</v>
      </c>
      <c r="J143" s="44" t="n">
        <v>0</v>
      </c>
      <c r="K143" s="26">
        <f>IF(OR($H143="",$I143=""),"",MAX(0,ROUND(($I143-$H143)*1440,0)-N($J143)))</f>
        <v/>
      </c>
      <c r="L143" s="41" t="inlineStr">
        <is>
          <t>No</t>
        </is>
      </c>
      <c r="M143" s="34" t="n"/>
    </row>
    <row r="144">
      <c r="A144" s="132" t="n">
        <v>46353</v>
      </c>
      <c r="B144" s="34" t="inlineStr">
        <is>
          <t>Priya Nair</t>
        </is>
      </c>
      <c r="C144" s="41" t="inlineStr">
        <is>
          <t>M3</t>
        </is>
      </c>
      <c r="D144" s="26">
        <f>IF($A144="","",3+INT(($A144-DATE(2026,10,5))/7))</f>
        <v/>
      </c>
      <c r="E144" s="41" t="inlineStr">
        <is>
          <t>BUILD</t>
        </is>
      </c>
      <c r="F144" s="41" t="inlineStr">
        <is>
          <t>T34</t>
        </is>
      </c>
      <c r="G144" s="34" t="inlineStr">
        <is>
          <t>Local store &amp; sync - flutter analyze and build, fix what it reports</t>
        </is>
      </c>
      <c r="H144" s="75" t="n">
        <v>0.5416666666666666</v>
      </c>
      <c r="I144" s="75" t="n">
        <v>0.5833333333333334</v>
      </c>
      <c r="J144" s="44" t="n">
        <v>0</v>
      </c>
      <c r="K144" s="26">
        <f>IF(OR($H144="",$I144=""),"",MAX(0,ROUND(($I144-$H144)*1440,0)-N($J144)))</f>
        <v/>
      </c>
      <c r="L144" s="41" t="inlineStr">
        <is>
          <t>No</t>
        </is>
      </c>
      <c r="M144" s="34" t="n"/>
    </row>
    <row r="145">
      <c r="A145" s="132" t="n">
        <v>46361</v>
      </c>
      <c r="B145" s="34" t="inlineStr">
        <is>
          <t>Priya Nair</t>
        </is>
      </c>
      <c r="C145" s="41" t="inlineStr">
        <is>
          <t>M3</t>
        </is>
      </c>
      <c r="D145" s="26">
        <f>IF($A145="","",3+INT(($A145-DATE(2026,10,5))/7))</f>
        <v/>
      </c>
      <c r="E145" s="41" t="inlineStr">
        <is>
          <t>IT</t>
        </is>
      </c>
      <c r="F145" s="41" t="inlineStr">
        <is>
          <t>T37</t>
        </is>
      </c>
      <c r="G145" s="34" t="inlineStr">
        <is>
          <t>SYSTEM - Build and integration test across components</t>
        </is>
      </c>
      <c r="H145" s="75" t="n">
        <v>0.5</v>
      </c>
      <c r="I145" s="75" t="n">
        <v>0.5416666666666666</v>
      </c>
      <c r="J145" s="44" t="n">
        <v>0</v>
      </c>
      <c r="K145" s="26">
        <f>IF(OR($H145="",$I145=""),"",MAX(0,ROUND(($I145-$H145)*1440,0)-N($J145)))</f>
        <v/>
      </c>
      <c r="L145" s="41" t="inlineStr">
        <is>
          <t>No</t>
        </is>
      </c>
      <c r="M145" s="34" t="n"/>
    </row>
    <row r="146">
      <c r="A146" s="132" t="n">
        <v>46363</v>
      </c>
      <c r="B146" s="34" t="inlineStr">
        <is>
          <t>Priya Nair</t>
        </is>
      </c>
      <c r="C146" s="41" t="inlineStr">
        <is>
          <t>M3</t>
        </is>
      </c>
      <c r="D146" s="26">
        <f>IF($A146="","",3+INT(($A146-DATE(2026,10,5))/7))</f>
        <v/>
      </c>
      <c r="E146" s="41" t="inlineStr">
        <is>
          <t>ST</t>
        </is>
      </c>
      <c r="F146" s="41" t="inlineStr">
        <is>
          <t>T38</t>
        </is>
      </c>
      <c r="G146" s="34" t="inlineStr">
        <is>
          <t>SYSTEM - System test against the SRS</t>
        </is>
      </c>
      <c r="H146" s="75" t="n">
        <v>0.5833333333333334</v>
      </c>
      <c r="I146" s="75" t="n">
        <v>0.625</v>
      </c>
      <c r="J146" s="44" t="n">
        <v>0</v>
      </c>
      <c r="K146" s="26">
        <f>IF(OR($H146="",$I146=""),"",MAX(0,ROUND(($I146-$H146)*1440,0)-N($J146)))</f>
        <v/>
      </c>
      <c r="L146" s="41" t="inlineStr">
        <is>
          <t>No</t>
        </is>
      </c>
      <c r="M146" s="34" t="n"/>
    </row>
    <row r="147">
      <c r="A147" s="132" t="n">
        <v>46364</v>
      </c>
      <c r="B147" s="34" t="inlineStr">
        <is>
          <t>Priya Nair</t>
        </is>
      </c>
      <c r="C147" s="41" t="inlineStr">
        <is>
          <t>M3</t>
        </is>
      </c>
      <c r="D147" s="26">
        <f>IF($A147="","",3+INT(($A147-DATE(2026,10,5))/7))</f>
        <v/>
      </c>
      <c r="E147" s="41" t="inlineStr">
        <is>
          <t>DOC</t>
        </is>
      </c>
      <c r="F147" s="41" t="inlineStr">
        <is>
          <t>T39</t>
        </is>
      </c>
      <c r="G147" s="34" t="inlineStr">
        <is>
          <t>SYSTEM - User manual and final report</t>
        </is>
      </c>
      <c r="H147" s="75" t="n">
        <v>0.4166666666666667</v>
      </c>
      <c r="I147" s="75" t="n">
        <v>0.5</v>
      </c>
      <c r="J147" s="44" t="n">
        <v>0</v>
      </c>
      <c r="K147" s="26">
        <f>IF(OR($H147="",$I147=""),"",MAX(0,ROUND(($I147-$H147)*1440,0)-N($J147)))</f>
        <v/>
      </c>
      <c r="L147" s="41" t="inlineStr">
        <is>
          <t>No</t>
        </is>
      </c>
      <c r="M147" s="34" t="n"/>
    </row>
    <row r="148">
      <c r="A148" s="132" t="n">
        <v>46365</v>
      </c>
      <c r="B148" s="34" t="inlineStr">
        <is>
          <t>Priya Nair</t>
        </is>
      </c>
      <c r="C148" s="41" t="inlineStr">
        <is>
          <t>M3</t>
        </is>
      </c>
      <c r="D148" s="26">
        <f>IF($A148="","",3+INT(($A148-DATE(2026,10,5))/7))</f>
        <v/>
      </c>
      <c r="E148" s="41" t="inlineStr">
        <is>
          <t>PM</t>
        </is>
      </c>
      <c r="F148" s="41" t="inlineStr">
        <is>
          <t>T40</t>
        </is>
      </c>
      <c r="G148" s="34" t="inlineStr">
        <is>
          <t>SYSTEM - Postmortem: review the data and agree three changes</t>
        </is>
      </c>
      <c r="H148" s="75" t="n">
        <v>0.5833333333333334</v>
      </c>
      <c r="I148" s="75" t="n">
        <v>0.6666666666666666</v>
      </c>
      <c r="J148" s="44" t="n">
        <v>0</v>
      </c>
      <c r="K148" s="26">
        <f>IF(OR($H148="",$I148=""),"",MAX(0,ROUND(($I148-$H148)*1440,0)-N($J148)))</f>
        <v/>
      </c>
      <c r="L148" s="41" t="inlineStr">
        <is>
          <t>No</t>
        </is>
      </c>
      <c r="M148" s="34" t="n"/>
    </row>
    <row r="149">
      <c r="A149" s="132" t="n">
        <v>46328</v>
      </c>
      <c r="B149" s="34" t="inlineStr">
        <is>
          <t>Priya Nair</t>
        </is>
      </c>
      <c r="C149" s="41" t="inlineStr">
        <is>
          <t>M2</t>
        </is>
      </c>
      <c r="D149" s="26">
        <f>IF($A149="","",3+INT(($A149-DATE(2026,10,5))/7))</f>
        <v/>
      </c>
      <c r="E149" s="41" t="inlineStr">
        <is>
          <t>AIGEN</t>
        </is>
      </c>
      <c r="F149" s="41" t="inlineStr">
        <is>
          <t>T41</t>
        </is>
      </c>
      <c r="G149" s="34" t="inlineStr">
        <is>
          <t>UI / screens - Generate with Copilot, review, keep what survives</t>
        </is>
      </c>
      <c r="H149" s="75" t="n">
        <v>0.375</v>
      </c>
      <c r="I149" s="75" t="n">
        <v>0.4791666666666667</v>
      </c>
      <c r="J149" s="44" t="n">
        <v>0</v>
      </c>
      <c r="K149" s="26">
        <f>IF(OR($H149="",$I149=""),"",MAX(0,ROUND(($I149-$H149)*1440,0)-N($J149)))</f>
        <v/>
      </c>
      <c r="L149" s="41" t="inlineStr">
        <is>
          <t>Yes</t>
        </is>
      </c>
      <c r="M149" s="34" t="n"/>
    </row>
    <row r="150">
      <c r="A150" s="132" t="n">
        <v>46329</v>
      </c>
      <c r="B150" s="34" t="inlineStr">
        <is>
          <t>Priya Nair</t>
        </is>
      </c>
      <c r="C150" s="41" t="inlineStr">
        <is>
          <t>M2</t>
        </is>
      </c>
      <c r="D150" s="26">
        <f>IF($A150="","",3+INT(($A150-DATE(2026,10,5))/7))</f>
        <v/>
      </c>
      <c r="E150" s="41" t="inlineStr">
        <is>
          <t>AIGEN</t>
        </is>
      </c>
      <c r="F150" s="41" t="inlineStr">
        <is>
          <t>T41</t>
        </is>
      </c>
      <c r="G150" s="34" t="inlineStr">
        <is>
          <t>UI / screens - Generate with Copilot, review, keep what survives</t>
        </is>
      </c>
      <c r="H150" s="75" t="n">
        <v>0.8333333333333334</v>
      </c>
      <c r="I150" s="75" t="n">
        <v>0.9166666666666666</v>
      </c>
      <c r="J150" s="44" t="n">
        <v>0</v>
      </c>
      <c r="K150" s="26">
        <f>IF(OR($H150="",$I150=""),"",MAX(0,ROUND(($I150-$H150)*1440,0)-N($J150)))</f>
        <v/>
      </c>
      <c r="L150" s="41" t="inlineStr">
        <is>
          <t>Yes</t>
        </is>
      </c>
      <c r="M150" s="34" t="n"/>
    </row>
    <row r="151">
      <c r="A151" s="132" t="n">
        <v>46331</v>
      </c>
      <c r="B151" s="34" t="inlineStr">
        <is>
          <t>Priya Nair</t>
        </is>
      </c>
      <c r="C151" s="41" t="inlineStr">
        <is>
          <t>M2</t>
        </is>
      </c>
      <c r="D151" s="26">
        <f>IF($A151="","",3+INT(($A151-DATE(2026,10,5))/7))</f>
        <v/>
      </c>
      <c r="E151" s="41" t="inlineStr">
        <is>
          <t>AIGEN</t>
        </is>
      </c>
      <c r="F151" s="41" t="inlineStr">
        <is>
          <t>T41</t>
        </is>
      </c>
      <c r="G151" s="34" t="inlineStr">
        <is>
          <t>UI / screens - Generate with Copilot, review, keep what survives</t>
        </is>
      </c>
      <c r="H151" s="75" t="n">
        <v>0.3958333333333333</v>
      </c>
      <c r="I151" s="75" t="n">
        <v>0.5</v>
      </c>
      <c r="J151" s="44" t="n">
        <v>20</v>
      </c>
      <c r="K151" s="26">
        <f>IF(OR($H151="",$I151=""),"",MAX(0,ROUND(($I151-$H151)*1440,0)-N($J151)))</f>
        <v/>
      </c>
      <c r="L151" s="41" t="inlineStr">
        <is>
          <t>Yes</t>
        </is>
      </c>
      <c r="M151" s="34" t="n"/>
    </row>
    <row r="152">
      <c r="A152" s="132" t="n">
        <v>46342</v>
      </c>
      <c r="B152" s="34" t="inlineStr">
        <is>
          <t>Daniel Wong Jun Hao</t>
        </is>
      </c>
      <c r="C152" s="41" t="inlineStr">
        <is>
          <t>M2</t>
        </is>
      </c>
      <c r="D152" s="26">
        <f>IF($A152="","",3+INT(($A152-DATE(2026,10,5))/7))</f>
        <v/>
      </c>
      <c r="E152" s="41" t="inlineStr">
        <is>
          <t>AIGEN</t>
        </is>
      </c>
      <c r="F152" s="41" t="inlineStr">
        <is>
          <t>T42</t>
        </is>
      </c>
      <c r="G152" s="34" t="inlineStr">
        <is>
          <t>Order &amp; catalogue service - Generate with Copilot, review, keep what s</t>
        </is>
      </c>
      <c r="H152" s="75" t="n">
        <v>0.5833333333333334</v>
      </c>
      <c r="I152" s="75" t="n">
        <v>0.6875</v>
      </c>
      <c r="J152" s="44" t="n">
        <v>0</v>
      </c>
      <c r="K152" s="26">
        <f>IF(OR($H152="",$I152=""),"",MAX(0,ROUND(($I152-$H152)*1440,0)-N($J152)))</f>
        <v/>
      </c>
      <c r="L152" s="41" t="inlineStr">
        <is>
          <t>Yes</t>
        </is>
      </c>
      <c r="M152" s="34" t="n"/>
    </row>
    <row r="153">
      <c r="A153" s="132" t="n">
        <v>46344</v>
      </c>
      <c r="B153" s="34" t="inlineStr">
        <is>
          <t>Daniel Wong Jun Hao</t>
        </is>
      </c>
      <c r="C153" s="41" t="inlineStr">
        <is>
          <t>M2</t>
        </is>
      </c>
      <c r="D153" s="26">
        <f>IF($A153="","",3+INT(($A153-DATE(2026,10,5))/7))</f>
        <v/>
      </c>
      <c r="E153" s="41" t="inlineStr">
        <is>
          <t>AIGEN</t>
        </is>
      </c>
      <c r="F153" s="41" t="inlineStr">
        <is>
          <t>T42</t>
        </is>
      </c>
      <c r="G153" s="34" t="inlineStr">
        <is>
          <t>Order &amp; catalogue service - Generate with Copilot, review, keep what s</t>
        </is>
      </c>
      <c r="H153" s="75" t="n">
        <v>0.8541666666666666</v>
      </c>
      <c r="I153" s="75" t="n">
        <v>0.9375</v>
      </c>
      <c r="J153" s="44" t="n">
        <v>15</v>
      </c>
      <c r="K153" s="26">
        <f>IF(OR($H153="",$I153=""),"",MAX(0,ROUND(($I153-$H153)*1440,0)-N($J153)))</f>
        <v/>
      </c>
      <c r="L153" s="41" t="inlineStr">
        <is>
          <t>Yes</t>
        </is>
      </c>
      <c r="M153" s="34" t="n"/>
    </row>
    <row r="154">
      <c r="A154" s="132" t="n">
        <v>46350</v>
      </c>
      <c r="B154" s="34" t="inlineStr">
        <is>
          <t>Mei Ling Chong</t>
        </is>
      </c>
      <c r="C154" s="41" t="inlineStr">
        <is>
          <t>M3</t>
        </is>
      </c>
      <c r="D154" s="26">
        <f>IF($A154="","",3+INT(($A154-DATE(2026,10,5))/7))</f>
        <v/>
      </c>
      <c r="E154" s="41" t="inlineStr">
        <is>
          <t>WT</t>
        </is>
      </c>
      <c r="F154" s="41" t="inlineStr">
        <is>
          <t>T43</t>
        </is>
      </c>
      <c r="G154" s="34" t="inlineStr">
        <is>
          <t>UI / screens - Widget tests for the screens</t>
        </is>
      </c>
      <c r="H154" s="75" t="n">
        <v>0.375</v>
      </c>
      <c r="I154" s="75" t="n">
        <v>0.5</v>
      </c>
      <c r="J154" s="44" t="n">
        <v>0</v>
      </c>
      <c r="K154" s="26">
        <f>IF(OR($H154="",$I154=""),"",MAX(0,ROUND(($I154-$H154)*1440,0)-N($J154)))</f>
        <v/>
      </c>
      <c r="L154" s="41" t="inlineStr">
        <is>
          <t>No</t>
        </is>
      </c>
      <c r="M154" s="34" t="n"/>
    </row>
    <row r="155">
      <c r="A155" s="132" t="n">
        <v>46352</v>
      </c>
      <c r="B155" s="34" t="inlineStr">
        <is>
          <t>Mei Ling Chong</t>
        </is>
      </c>
      <c r="C155" s="41" t="inlineStr">
        <is>
          <t>M3</t>
        </is>
      </c>
      <c r="D155" s="26">
        <f>IF($A155="","",3+INT(($A155-DATE(2026,10,5))/7))</f>
        <v/>
      </c>
      <c r="E155" s="41" t="inlineStr">
        <is>
          <t>WT</t>
        </is>
      </c>
      <c r="F155" s="41" t="inlineStr">
        <is>
          <t>T43</t>
        </is>
      </c>
      <c r="G155" s="34" t="inlineStr">
        <is>
          <t>UI / screens - Widget tests for the screens</t>
        </is>
      </c>
      <c r="H155" s="75" t="n">
        <v>0.5833333333333334</v>
      </c>
      <c r="I155" s="75" t="n">
        <v>0.7083333333333334</v>
      </c>
      <c r="J155" s="44" t="n">
        <v>30</v>
      </c>
      <c r="K155" s="26">
        <f>IF(OR($H155="",$I155=""),"",MAX(0,ROUND(($I155-$H155)*1440,0)-N($J155)))</f>
        <v/>
      </c>
      <c r="L155" s="41" t="inlineStr">
        <is>
          <t>No</t>
        </is>
      </c>
      <c r="M155" s="34" t="n"/>
    </row>
    <row r="156">
      <c r="A156" s="132" t="n">
        <v>46353</v>
      </c>
      <c r="B156" s="34" t="inlineStr">
        <is>
          <t>Mei Ling Chong</t>
        </is>
      </c>
      <c r="C156" s="41" t="inlineStr">
        <is>
          <t>M3</t>
        </is>
      </c>
      <c r="D156" s="26">
        <f>IF($A156="","",3+INT(($A156-DATE(2026,10,5))/7))</f>
        <v/>
      </c>
      <c r="E156" s="41" t="inlineStr">
        <is>
          <t>WT</t>
        </is>
      </c>
      <c r="F156" s="41" t="inlineStr">
        <is>
          <t>T43</t>
        </is>
      </c>
      <c r="G156" s="34" t="inlineStr">
        <is>
          <t>UI / screens - Widget tests for the screens</t>
        </is>
      </c>
      <c r="H156" s="75" t="n">
        <v>0.375</v>
      </c>
      <c r="I156" s="75" t="n">
        <v>0.4791666666666667</v>
      </c>
      <c r="J156" s="44" t="n">
        <v>0</v>
      </c>
      <c r="K156" s="26">
        <f>IF(OR($H156="",$I156=""),"",MAX(0,ROUND(($I156-$H156)*1440,0)-N($J156)))</f>
        <v/>
      </c>
      <c r="L156" s="41" t="inlineStr">
        <is>
          <t>No</t>
        </is>
      </c>
      <c r="M156" s="34" t="n"/>
    </row>
    <row r="157">
      <c r="A157" s="132" t="n">
        <v>46344</v>
      </c>
      <c r="B157" s="34" t="inlineStr">
        <is>
          <t>Aisyah Binti Rahman</t>
        </is>
      </c>
      <c r="C157" s="41" t="inlineStr">
        <is>
          <t>M2</t>
        </is>
      </c>
      <c r="D157" s="26">
        <f>IF($A157="","",3+INT(($A157-DATE(2026,10,5))/7))</f>
        <v/>
      </c>
      <c r="E157" s="41" t="inlineStr">
        <is>
          <t>CICD</t>
        </is>
      </c>
      <c r="F157" s="41" t="inlineStr">
        <is>
          <t>T44</t>
        </is>
      </c>
      <c r="G157" s="34" t="inlineStr">
        <is>
          <t>SYSTEM - GitHub Actions workflow and coverage job</t>
        </is>
      </c>
      <c r="H157" s="75" t="n">
        <v>0.625</v>
      </c>
      <c r="I157" s="75" t="n">
        <v>0.7291666666666666</v>
      </c>
      <c r="J157" s="44" t="n">
        <v>0</v>
      </c>
      <c r="K157" s="26">
        <f>IF(OR($H157="",$I157=""),"",MAX(0,ROUND(($I157-$H157)*1440,0)-N($J157)))</f>
        <v/>
      </c>
      <c r="L157" s="41" t="inlineStr">
        <is>
          <t>No</t>
        </is>
      </c>
      <c r="M157" s="34" t="n"/>
    </row>
    <row r="158">
      <c r="A158" s="132" t="n">
        <v>46346</v>
      </c>
      <c r="B158" s="34" t="inlineStr">
        <is>
          <t>Aisyah Binti Rahman</t>
        </is>
      </c>
      <c r="C158" s="41" t="inlineStr">
        <is>
          <t>M2</t>
        </is>
      </c>
      <c r="D158" s="26">
        <f>IF($A158="","",3+INT(($A158-DATE(2026,10,5))/7))</f>
        <v/>
      </c>
      <c r="E158" s="41" t="inlineStr">
        <is>
          <t>CICD</t>
        </is>
      </c>
      <c r="F158" s="41" t="inlineStr">
        <is>
          <t>T44</t>
        </is>
      </c>
      <c r="G158" s="34" t="inlineStr">
        <is>
          <t>SYSTEM - GitHub Actions workflow and coverage job</t>
        </is>
      </c>
      <c r="H158" s="75" t="n">
        <v>0.4166666666666667</v>
      </c>
      <c r="I158" s="75" t="n">
        <v>0.5</v>
      </c>
      <c r="J158" s="44" t="n">
        <v>0</v>
      </c>
      <c r="K158" s="26">
        <f>IF(OR($H158="",$I158=""),"",MAX(0,ROUND(($I158-$H158)*1440,0)-N($J158)))</f>
        <v/>
      </c>
      <c r="L158" s="41" t="inlineStr">
        <is>
          <t>No</t>
        </is>
      </c>
      <c r="M158" s="34" t="n"/>
    </row>
    <row r="159">
      <c r="A159" s="132" t="n">
        <v>46349</v>
      </c>
      <c r="B159" s="34" t="inlineStr">
        <is>
          <t>Mei Ling Chong</t>
        </is>
      </c>
      <c r="C159" s="41" t="inlineStr">
        <is>
          <t>M3</t>
        </is>
      </c>
      <c r="D159" s="26">
        <f>IF($A159="","",3+INT(($A159-DATE(2026,10,5))/7))</f>
        <v/>
      </c>
      <c r="E159" s="41" t="inlineStr">
        <is>
          <t>AIGEN</t>
        </is>
      </c>
      <c r="F159" s="41" t="inlineStr">
        <is>
          <t>T46</t>
        </is>
      </c>
      <c r="G159" s="34" t="inlineStr">
        <is>
          <t>Local store &amp; sync - Generate with Copilot, review, keep what survives</t>
        </is>
      </c>
      <c r="H159" s="75" t="n">
        <v>0.8333333333333334</v>
      </c>
      <c r="I159" s="75" t="n">
        <v>0.8958333333333334</v>
      </c>
      <c r="J159" s="44" t="n">
        <v>0</v>
      </c>
      <c r="K159" s="26">
        <f>IF(OR($H159="",$I159=""),"",MAX(0,ROUND(($I159-$H159)*1440,0)-N($J159)))</f>
        <v/>
      </c>
      <c r="L159" s="41" t="inlineStr">
        <is>
          <t>Yes</t>
        </is>
      </c>
      <c r="M159" s="34" t="n"/>
    </row>
    <row r="160">
      <c r="A160" s="132" t="n">
        <v>46351</v>
      </c>
      <c r="B160" s="34" t="inlineStr">
        <is>
          <t>Mei Ling Chong</t>
        </is>
      </c>
      <c r="C160" s="41" t="inlineStr">
        <is>
          <t>M3</t>
        </is>
      </c>
      <c r="D160" s="26">
        <f>IF($A160="","",3+INT(($A160-DATE(2026,10,5))/7))</f>
        <v/>
      </c>
      <c r="E160" s="41" t="inlineStr">
        <is>
          <t>AIGEN</t>
        </is>
      </c>
      <c r="F160" s="41" t="inlineStr">
        <is>
          <t>T46</t>
        </is>
      </c>
      <c r="G160" s="34" t="inlineStr">
        <is>
          <t>Local store &amp; sync - Generate with Copilot, review, keep what survives</t>
        </is>
      </c>
      <c r="H160" s="75" t="n">
        <v>0.375</v>
      </c>
      <c r="I160" s="75" t="n">
        <v>0.4583333333333333</v>
      </c>
      <c r="J160" s="44" t="n">
        <v>0</v>
      </c>
      <c r="K160" s="26">
        <f>IF(OR($H160="",$I160=""),"",MAX(0,ROUND(($I160-$H160)*1440,0)-N($J160)))</f>
        <v/>
      </c>
      <c r="L160" s="41" t="inlineStr">
        <is>
          <t>Yes</t>
        </is>
      </c>
      <c r="M160" s="34" t="n"/>
    </row>
    <row r="161">
      <c r="A161" s="132" t="n">
        <v>46368</v>
      </c>
      <c r="B161" s="34" t="inlineStr">
        <is>
          <t>Harith Bin Ismail</t>
        </is>
      </c>
      <c r="C161" s="41" t="inlineStr">
        <is>
          <t>M3</t>
        </is>
      </c>
      <c r="D161" s="26">
        <f>IF($A161="","",3+INT(($A161-DATE(2026,10,5))/7))</f>
        <v/>
      </c>
      <c r="E161" s="41" t="inlineStr">
        <is>
          <t>UAT</t>
        </is>
      </c>
      <c r="F161" s="41" t="inlineStr">
        <is>
          <t>T45</t>
        </is>
      </c>
      <c r="G161" s="34" t="inlineStr">
        <is>
          <t>SYSTEM - Client acceptance test session at the shop</t>
        </is>
      </c>
      <c r="H161" s="75" t="n">
        <v>0.375</v>
      </c>
      <c r="I161" s="75" t="n">
        <v>0.5208333333333334</v>
      </c>
      <c r="J161" s="44" t="n">
        <v>30</v>
      </c>
      <c r="K161" s="26">
        <f>IF(OR($H161="",$I161=""),"",MAX(0,ROUND(($I161-$H161)*1440,0)-N($J161)))</f>
        <v/>
      </c>
      <c r="L161" s="41" t="inlineStr">
        <is>
          <t>No</t>
        </is>
      </c>
      <c r="M161" s="34" t="n"/>
    </row>
    <row r="162">
      <c r="A162" s="132" t="n">
        <v>46368</v>
      </c>
      <c r="B162" s="34" t="inlineStr">
        <is>
          <t>Harith Bin Ismail</t>
        </is>
      </c>
      <c r="C162" s="41" t="inlineStr">
        <is>
          <t>M3</t>
        </is>
      </c>
      <c r="D162" s="26">
        <f>IF($A162="","",3+INT(($A162-DATE(2026,10,5))/7))</f>
        <v/>
      </c>
      <c r="E162" s="41" t="inlineStr">
        <is>
          <t>UAT</t>
        </is>
      </c>
      <c r="F162" s="41" t="inlineStr">
        <is>
          <t>T45</t>
        </is>
      </c>
      <c r="G162" s="34" t="inlineStr">
        <is>
          <t>SYSTEM - Client acceptance test session at the shop</t>
        </is>
      </c>
      <c r="H162" s="75" t="n">
        <v>0.5833333333333334</v>
      </c>
      <c r="I162" s="75" t="n">
        <v>0.6666666666666666</v>
      </c>
      <c r="J162" s="44" t="n">
        <v>0</v>
      </c>
      <c r="K162" s="26">
        <f>IF(OR($H162="",$I162=""),"",MAX(0,ROUND(($I162-$H162)*1440,0)-N($J162)))</f>
        <v/>
      </c>
      <c r="L162" s="41" t="inlineStr">
        <is>
          <t>No</t>
        </is>
      </c>
      <c r="M162" s="34" t="n"/>
    </row>
    <row r="163">
      <c r="A163" s="132" t="n">
        <v>46368</v>
      </c>
      <c r="B163" s="34" t="inlineStr">
        <is>
          <t>Aisyah Binti Rahman</t>
        </is>
      </c>
      <c r="C163" s="41" t="inlineStr">
        <is>
          <t>M3</t>
        </is>
      </c>
      <c r="D163" s="26">
        <f>IF($A163="","",3+INT(($A163-DATE(2026,10,5))/7))</f>
        <v/>
      </c>
      <c r="E163" s="41" t="inlineStr">
        <is>
          <t>UAT</t>
        </is>
      </c>
      <c r="F163" s="41" t="inlineStr">
        <is>
          <t>T45</t>
        </is>
      </c>
      <c r="G163" s="34" t="inlineStr">
        <is>
          <t>SYSTEM - Client acceptance test session at the shop</t>
        </is>
      </c>
      <c r="H163" s="75" t="n">
        <v>0.375</v>
      </c>
      <c r="I163" s="75" t="n">
        <v>0.5208333333333334</v>
      </c>
      <c r="J163" s="44" t="n">
        <v>30</v>
      </c>
      <c r="K163" s="26">
        <f>IF(OR($H163="",$I163=""),"",MAX(0,ROUND(($I163-$H163)*1440,0)-N($J163)))</f>
        <v/>
      </c>
      <c r="L163" s="41" t="inlineStr">
        <is>
          <t>No</t>
        </is>
      </c>
      <c r="M163" s="34" t="n"/>
    </row>
    <row r="164">
      <c r="A164" s="132" t="n"/>
      <c r="B164" s="34" t="n"/>
      <c r="C164" s="41" t="n"/>
      <c r="D164" s="26">
        <f>IF($A164="","",3+INT(($A164-DATE(2026,10,5))/7))</f>
        <v/>
      </c>
      <c r="E164" s="41" t="n"/>
      <c r="F164" s="41" t="n"/>
      <c r="G164" s="34" t="n"/>
      <c r="H164" s="75" t="n"/>
      <c r="I164" s="75" t="n"/>
      <c r="J164" s="44" t="n"/>
      <c r="K164" s="26">
        <f>IF(OR($H164="",$I164=""),"",MAX(0,ROUND(($I164-$H164)*1440,0)-N($J164)))</f>
        <v/>
      </c>
      <c r="L164" s="41" t="n"/>
      <c r="M164" s="34" t="n"/>
    </row>
    <row r="165">
      <c r="A165" s="132" t="n"/>
      <c r="B165" s="34" t="n"/>
      <c r="C165" s="41" t="n"/>
      <c r="D165" s="26">
        <f>IF($A165="","",3+INT(($A165-DATE(2026,10,5))/7))</f>
        <v/>
      </c>
      <c r="E165" s="41" t="n"/>
      <c r="F165" s="41" t="n"/>
      <c r="G165" s="34" t="n"/>
      <c r="H165" s="75" t="n"/>
      <c r="I165" s="75" t="n"/>
      <c r="J165" s="44" t="n"/>
      <c r="K165" s="26">
        <f>IF(OR($H165="",$I165=""),"",MAX(0,ROUND(($I165-$H165)*1440,0)-N($J165)))</f>
        <v/>
      </c>
      <c r="L165" s="41" t="n"/>
      <c r="M165" s="34" t="n"/>
    </row>
    <row r="166">
      <c r="A166" s="132" t="n"/>
      <c r="B166" s="34" t="n"/>
      <c r="C166" s="41" t="n"/>
      <c r="D166" s="26">
        <f>IF($A166="","",3+INT(($A166-DATE(2026,10,5))/7))</f>
        <v/>
      </c>
      <c r="E166" s="41" t="n"/>
      <c r="F166" s="41" t="n"/>
      <c r="G166" s="34" t="n"/>
      <c r="H166" s="75" t="n"/>
      <c r="I166" s="75" t="n"/>
      <c r="J166" s="44" t="n"/>
      <c r="K166" s="26">
        <f>IF(OR($H166="",$I166=""),"",MAX(0,ROUND(($I166-$H166)*1440,0)-N($J166)))</f>
        <v/>
      </c>
      <c r="L166" s="41" t="n"/>
      <c r="M166" s="34" t="n"/>
    </row>
    <row r="167">
      <c r="A167" s="132" t="n"/>
      <c r="B167" s="34" t="n"/>
      <c r="C167" s="41" t="n"/>
      <c r="D167" s="26">
        <f>IF($A167="","",3+INT(($A167-DATE(2026,10,5))/7))</f>
        <v/>
      </c>
      <c r="E167" s="41" t="n"/>
      <c r="F167" s="41" t="n"/>
      <c r="G167" s="34" t="n"/>
      <c r="H167" s="75" t="n"/>
      <c r="I167" s="75" t="n"/>
      <c r="J167" s="44" t="n"/>
      <c r="K167" s="26">
        <f>IF(OR($H167="",$I167=""),"",MAX(0,ROUND(($I167-$H167)*1440,0)-N($J167)))</f>
        <v/>
      </c>
      <c r="L167" s="41" t="n"/>
      <c r="M167" s="34" t="n"/>
    </row>
    <row r="168">
      <c r="A168" s="132" t="n"/>
      <c r="B168" s="34" t="n"/>
      <c r="C168" s="41" t="n"/>
      <c r="D168" s="26">
        <f>IF($A168="","",3+INT(($A168-DATE(2026,10,5))/7))</f>
        <v/>
      </c>
      <c r="E168" s="41" t="n"/>
      <c r="F168" s="41" t="n"/>
      <c r="G168" s="34" t="n"/>
      <c r="H168" s="75" t="n"/>
      <c r="I168" s="75" t="n"/>
      <c r="J168" s="44" t="n"/>
      <c r="K168" s="26">
        <f>IF(OR($H168="",$I168=""),"",MAX(0,ROUND(($I168-$H168)*1440,0)-N($J168)))</f>
        <v/>
      </c>
      <c r="L168" s="41" t="n"/>
      <c r="M168" s="34" t="n"/>
    </row>
    <row r="169">
      <c r="A169" s="132" t="n"/>
      <c r="B169" s="34" t="n"/>
      <c r="C169" s="41" t="n"/>
      <c r="D169" s="26">
        <f>IF($A169="","",3+INT(($A169-DATE(2026,10,5))/7))</f>
        <v/>
      </c>
      <c r="E169" s="41" t="n"/>
      <c r="F169" s="41" t="n"/>
      <c r="G169" s="34" t="n"/>
      <c r="H169" s="75" t="n"/>
      <c r="I169" s="75" t="n"/>
      <c r="J169" s="44" t="n"/>
      <c r="K169" s="26">
        <f>IF(OR($H169="",$I169=""),"",MAX(0,ROUND(($I169-$H169)*1440,0)-N($J169)))</f>
        <v/>
      </c>
      <c r="L169" s="41" t="n"/>
      <c r="M169" s="34" t="n"/>
    </row>
    <row r="170">
      <c r="A170" s="132" t="n"/>
      <c r="B170" s="34" t="n"/>
      <c r="C170" s="41" t="n"/>
      <c r="D170" s="26">
        <f>IF($A170="","",3+INT(($A170-DATE(2026,10,5))/7))</f>
        <v/>
      </c>
      <c r="E170" s="41" t="n"/>
      <c r="F170" s="41" t="n"/>
      <c r="G170" s="34" t="n"/>
      <c r="H170" s="75" t="n"/>
      <c r="I170" s="75" t="n"/>
      <c r="J170" s="44" t="n"/>
      <c r="K170" s="26">
        <f>IF(OR($H170="",$I170=""),"",MAX(0,ROUND(($I170-$H170)*1440,0)-N($J170)))</f>
        <v/>
      </c>
      <c r="L170" s="41" t="n"/>
      <c r="M170" s="34" t="n"/>
    </row>
    <row r="171">
      <c r="A171" s="132" t="n"/>
      <c r="B171" s="34" t="n"/>
      <c r="C171" s="41" t="n"/>
      <c r="D171" s="26">
        <f>IF($A171="","",3+INT(($A171-DATE(2026,10,5))/7))</f>
        <v/>
      </c>
      <c r="E171" s="41" t="n"/>
      <c r="F171" s="41" t="n"/>
      <c r="G171" s="34" t="n"/>
      <c r="H171" s="75" t="n"/>
      <c r="I171" s="75" t="n"/>
      <c r="J171" s="44" t="n"/>
      <c r="K171" s="26">
        <f>IF(OR($H171="",$I171=""),"",MAX(0,ROUND(($I171-$H171)*1440,0)-N($J171)))</f>
        <v/>
      </c>
      <c r="L171" s="41" t="n"/>
      <c r="M171" s="34" t="n"/>
    </row>
    <row r="172">
      <c r="A172" s="132" t="n"/>
      <c r="B172" s="34" t="n"/>
      <c r="C172" s="41" t="n"/>
      <c r="D172" s="26">
        <f>IF($A172="","",3+INT(($A172-DATE(2026,10,5))/7))</f>
        <v/>
      </c>
      <c r="E172" s="41" t="n"/>
      <c r="F172" s="41" t="n"/>
      <c r="G172" s="34" t="n"/>
      <c r="H172" s="75" t="n"/>
      <c r="I172" s="75" t="n"/>
      <c r="J172" s="44" t="n"/>
      <c r="K172" s="26">
        <f>IF(OR($H172="",$I172=""),"",MAX(0,ROUND(($I172-$H172)*1440,0)-N($J172)))</f>
        <v/>
      </c>
      <c r="L172" s="41" t="n"/>
      <c r="M172" s="34" t="n"/>
    </row>
    <row r="173">
      <c r="A173" s="132" t="n"/>
      <c r="B173" s="34" t="n"/>
      <c r="C173" s="41" t="n"/>
      <c r="D173" s="26">
        <f>IF($A173="","",3+INT(($A173-DATE(2026,10,5))/7))</f>
        <v/>
      </c>
      <c r="E173" s="41" t="n"/>
      <c r="F173" s="41" t="n"/>
      <c r="G173" s="34" t="n"/>
      <c r="H173" s="75" t="n"/>
      <c r="I173" s="75" t="n"/>
      <c r="J173" s="44" t="n"/>
      <c r="K173" s="26">
        <f>IF(OR($H173="",$I173=""),"",MAX(0,ROUND(($I173-$H173)*1440,0)-N($J173)))</f>
        <v/>
      </c>
      <c r="L173" s="41" t="n"/>
      <c r="M173" s="34" t="n"/>
    </row>
    <row r="174">
      <c r="A174" s="132" t="n"/>
      <c r="B174" s="34" t="n"/>
      <c r="C174" s="41" t="n"/>
      <c r="D174" s="26">
        <f>IF($A174="","",3+INT(($A174-DATE(2026,10,5))/7))</f>
        <v/>
      </c>
      <c r="E174" s="41" t="n"/>
      <c r="F174" s="41" t="n"/>
      <c r="G174" s="34" t="n"/>
      <c r="H174" s="75" t="n"/>
      <c r="I174" s="75" t="n"/>
      <c r="J174" s="44" t="n"/>
      <c r="K174" s="26">
        <f>IF(OR($H174="",$I174=""),"",MAX(0,ROUND(($I174-$H174)*1440,0)-N($J174)))</f>
        <v/>
      </c>
      <c r="L174" s="41" t="n"/>
      <c r="M174" s="34" t="n"/>
    </row>
    <row r="175">
      <c r="A175" s="132" t="n"/>
      <c r="B175" s="34" t="n"/>
      <c r="C175" s="41" t="n"/>
      <c r="D175" s="26">
        <f>IF($A175="","",3+INT(($A175-DATE(2026,10,5))/7))</f>
        <v/>
      </c>
      <c r="E175" s="41" t="n"/>
      <c r="F175" s="41" t="n"/>
      <c r="G175" s="34" t="n"/>
      <c r="H175" s="75" t="n"/>
      <c r="I175" s="75" t="n"/>
      <c r="J175" s="44" t="n"/>
      <c r="K175" s="26">
        <f>IF(OR($H175="",$I175=""),"",MAX(0,ROUND(($I175-$H175)*1440,0)-N($J175)))</f>
        <v/>
      </c>
      <c r="L175" s="41" t="n"/>
      <c r="M175" s="34" t="n"/>
    </row>
    <row r="176">
      <c r="A176" s="132" t="n"/>
      <c r="B176" s="34" t="n"/>
      <c r="C176" s="41" t="n"/>
      <c r="D176" s="26">
        <f>IF($A176="","",3+INT(($A176-DATE(2026,10,5))/7))</f>
        <v/>
      </c>
      <c r="E176" s="41" t="n"/>
      <c r="F176" s="41" t="n"/>
      <c r="G176" s="34" t="n"/>
      <c r="H176" s="75" t="n"/>
      <c r="I176" s="75" t="n"/>
      <c r="J176" s="44" t="n"/>
      <c r="K176" s="26">
        <f>IF(OR($H176="",$I176=""),"",MAX(0,ROUND(($I176-$H176)*1440,0)-N($J176)))</f>
        <v/>
      </c>
      <c r="L176" s="41" t="n"/>
      <c r="M176" s="34" t="n"/>
    </row>
    <row r="177">
      <c r="A177" s="132" t="n"/>
      <c r="B177" s="34" t="n"/>
      <c r="C177" s="41" t="n"/>
      <c r="D177" s="26">
        <f>IF($A177="","",3+INT(($A177-DATE(2026,10,5))/7))</f>
        <v/>
      </c>
      <c r="E177" s="41" t="n"/>
      <c r="F177" s="41" t="n"/>
      <c r="G177" s="34" t="n"/>
      <c r="H177" s="75" t="n"/>
      <c r="I177" s="75" t="n"/>
      <c r="J177" s="44" t="n"/>
      <c r="K177" s="26">
        <f>IF(OR($H177="",$I177=""),"",MAX(0,ROUND(($I177-$H177)*1440,0)-N($J177)))</f>
        <v/>
      </c>
      <c r="L177" s="41" t="n"/>
      <c r="M177" s="34" t="n"/>
    </row>
    <row r="178">
      <c r="A178" s="132" t="n"/>
      <c r="B178" s="34" t="n"/>
      <c r="C178" s="41" t="n"/>
      <c r="D178" s="26">
        <f>IF($A178="","",3+INT(($A178-DATE(2026,10,5))/7))</f>
        <v/>
      </c>
      <c r="E178" s="41" t="n"/>
      <c r="F178" s="41" t="n"/>
      <c r="G178" s="34" t="n"/>
      <c r="H178" s="75" t="n"/>
      <c r="I178" s="75" t="n"/>
      <c r="J178" s="44" t="n"/>
      <c r="K178" s="26">
        <f>IF(OR($H178="",$I178=""),"",MAX(0,ROUND(($I178-$H178)*1440,0)-N($J178)))</f>
        <v/>
      </c>
      <c r="L178" s="41" t="n"/>
      <c r="M178" s="34" t="n"/>
    </row>
    <row r="179">
      <c r="A179" s="132" t="n"/>
      <c r="B179" s="34" t="n"/>
      <c r="C179" s="41" t="n"/>
      <c r="D179" s="26">
        <f>IF($A179="","",3+INT(($A179-DATE(2026,10,5))/7))</f>
        <v/>
      </c>
      <c r="E179" s="41" t="n"/>
      <c r="F179" s="41" t="n"/>
      <c r="G179" s="34" t="n"/>
      <c r="H179" s="75" t="n"/>
      <c r="I179" s="75" t="n"/>
      <c r="J179" s="44" t="n"/>
      <c r="K179" s="26">
        <f>IF(OR($H179="",$I179=""),"",MAX(0,ROUND(($I179-$H179)*1440,0)-N($J179)))</f>
        <v/>
      </c>
      <c r="L179" s="41" t="n"/>
      <c r="M179" s="34" t="n"/>
    </row>
    <row r="180">
      <c r="A180" s="132" t="n"/>
      <c r="B180" s="34" t="n"/>
      <c r="C180" s="41" t="n"/>
      <c r="D180" s="26">
        <f>IF($A180="","",3+INT(($A180-DATE(2026,10,5))/7))</f>
        <v/>
      </c>
      <c r="E180" s="41" t="n"/>
      <c r="F180" s="41" t="n"/>
      <c r="G180" s="34" t="n"/>
      <c r="H180" s="75" t="n"/>
      <c r="I180" s="75" t="n"/>
      <c r="J180" s="44" t="n"/>
      <c r="K180" s="26">
        <f>IF(OR($H180="",$I180=""),"",MAX(0,ROUND(($I180-$H180)*1440,0)-N($J180)))</f>
        <v/>
      </c>
      <c r="L180" s="41" t="n"/>
      <c r="M180" s="34" t="n"/>
    </row>
    <row r="181">
      <c r="A181" s="132" t="n"/>
      <c r="B181" s="34" t="n"/>
      <c r="C181" s="41" t="n"/>
      <c r="D181" s="26">
        <f>IF($A181="","",3+INT(($A181-DATE(2026,10,5))/7))</f>
        <v/>
      </c>
      <c r="E181" s="41" t="n"/>
      <c r="F181" s="41" t="n"/>
      <c r="G181" s="34" t="n"/>
      <c r="H181" s="75" t="n"/>
      <c r="I181" s="75" t="n"/>
      <c r="J181" s="44" t="n"/>
      <c r="K181" s="26">
        <f>IF(OR($H181="",$I181=""),"",MAX(0,ROUND(($I181-$H181)*1440,0)-N($J181)))</f>
        <v/>
      </c>
      <c r="L181" s="41" t="n"/>
      <c r="M181" s="34" t="n"/>
    </row>
    <row r="182">
      <c r="A182" s="132" t="n"/>
      <c r="B182" s="34" t="n"/>
      <c r="C182" s="41" t="n"/>
      <c r="D182" s="26">
        <f>IF($A182="","",3+INT(($A182-DATE(2026,10,5))/7))</f>
        <v/>
      </c>
      <c r="E182" s="41" t="n"/>
      <c r="F182" s="41" t="n"/>
      <c r="G182" s="34" t="n"/>
      <c r="H182" s="75" t="n"/>
      <c r="I182" s="75" t="n"/>
      <c r="J182" s="44" t="n"/>
      <c r="K182" s="26">
        <f>IF(OR($H182="",$I182=""),"",MAX(0,ROUND(($I182-$H182)*1440,0)-N($J182)))</f>
        <v/>
      </c>
      <c r="L182" s="41" t="n"/>
      <c r="M182" s="34" t="n"/>
    </row>
    <row r="183">
      <c r="A183" s="132" t="n"/>
      <c r="B183" s="34" t="n"/>
      <c r="C183" s="41" t="n"/>
      <c r="D183" s="26">
        <f>IF($A183="","",3+INT(($A183-DATE(2026,10,5))/7))</f>
        <v/>
      </c>
      <c r="E183" s="41" t="n"/>
      <c r="F183" s="41" t="n"/>
      <c r="G183" s="34" t="n"/>
      <c r="H183" s="75" t="n"/>
      <c r="I183" s="75" t="n"/>
      <c r="J183" s="44" t="n"/>
      <c r="K183" s="26">
        <f>IF(OR($H183="",$I183=""),"",MAX(0,ROUND(($I183-$H183)*1440,0)-N($J183)))</f>
        <v/>
      </c>
      <c r="L183" s="41" t="n"/>
      <c r="M183" s="34" t="n"/>
    </row>
    <row r="184">
      <c r="A184" s="132" t="n"/>
      <c r="B184" s="34" t="n"/>
      <c r="C184" s="41" t="n"/>
      <c r="D184" s="26">
        <f>IF($A184="","",3+INT(($A184-DATE(2026,10,5))/7))</f>
        <v/>
      </c>
      <c r="E184" s="41" t="n"/>
      <c r="F184" s="41" t="n"/>
      <c r="G184" s="34" t="n"/>
      <c r="H184" s="75" t="n"/>
      <c r="I184" s="75" t="n"/>
      <c r="J184" s="44" t="n"/>
      <c r="K184" s="26">
        <f>IF(OR($H184="",$I184=""),"",MAX(0,ROUND(($I184-$H184)*1440,0)-N($J184)))</f>
        <v/>
      </c>
      <c r="L184" s="41" t="n"/>
      <c r="M184" s="34" t="n"/>
    </row>
    <row r="185">
      <c r="A185" s="132" t="n"/>
      <c r="B185" s="34" t="n"/>
      <c r="C185" s="41" t="n"/>
      <c r="D185" s="26">
        <f>IF($A185="","",3+INT(($A185-DATE(2026,10,5))/7))</f>
        <v/>
      </c>
      <c r="E185" s="41" t="n"/>
      <c r="F185" s="41" t="n"/>
      <c r="G185" s="34" t="n"/>
      <c r="H185" s="75" t="n"/>
      <c r="I185" s="75" t="n"/>
      <c r="J185" s="44" t="n"/>
      <c r="K185" s="26">
        <f>IF(OR($H185="",$I185=""),"",MAX(0,ROUND(($I185-$H185)*1440,0)-N($J185)))</f>
        <v/>
      </c>
      <c r="L185" s="41" t="n"/>
      <c r="M185" s="34" t="n"/>
    </row>
    <row r="186">
      <c r="A186" s="132" t="n"/>
      <c r="B186" s="34" t="n"/>
      <c r="C186" s="41" t="n"/>
      <c r="D186" s="26">
        <f>IF($A186="","",3+INT(($A186-DATE(2026,10,5))/7))</f>
        <v/>
      </c>
      <c r="E186" s="41" t="n"/>
      <c r="F186" s="41" t="n"/>
      <c r="G186" s="34" t="n"/>
      <c r="H186" s="75" t="n"/>
      <c r="I186" s="75" t="n"/>
      <c r="J186" s="44" t="n"/>
      <c r="K186" s="26">
        <f>IF(OR($H186="",$I186=""),"",MAX(0,ROUND(($I186-$H186)*1440,0)-N($J186)))</f>
        <v/>
      </c>
      <c r="L186" s="41" t="n"/>
      <c r="M186" s="34" t="n"/>
    </row>
    <row r="187">
      <c r="A187" s="132" t="n"/>
      <c r="B187" s="34" t="n"/>
      <c r="C187" s="41" t="n"/>
      <c r="D187" s="26">
        <f>IF($A187="","",3+INT(($A187-DATE(2026,10,5))/7))</f>
        <v/>
      </c>
      <c r="E187" s="41" t="n"/>
      <c r="F187" s="41" t="n"/>
      <c r="G187" s="34" t="n"/>
      <c r="H187" s="75" t="n"/>
      <c r="I187" s="75" t="n"/>
      <c r="J187" s="44" t="n"/>
      <c r="K187" s="26">
        <f>IF(OR($H187="",$I187=""),"",MAX(0,ROUND(($I187-$H187)*1440,0)-N($J187)))</f>
        <v/>
      </c>
      <c r="L187" s="41" t="n"/>
      <c r="M187" s="34" t="n"/>
    </row>
    <row r="188">
      <c r="A188" s="132" t="n"/>
      <c r="B188" s="34" t="n"/>
      <c r="C188" s="41" t="n"/>
      <c r="D188" s="26">
        <f>IF($A188="","",3+INT(($A188-DATE(2026,10,5))/7))</f>
        <v/>
      </c>
      <c r="E188" s="41" t="n"/>
      <c r="F188" s="41" t="n"/>
      <c r="G188" s="34" t="n"/>
      <c r="H188" s="75" t="n"/>
      <c r="I188" s="75" t="n"/>
      <c r="J188" s="44" t="n"/>
      <c r="K188" s="26">
        <f>IF(OR($H188="",$I188=""),"",MAX(0,ROUND(($I188-$H188)*1440,0)-N($J188)))</f>
        <v/>
      </c>
      <c r="L188" s="41" t="n"/>
      <c r="M188" s="34" t="n"/>
    </row>
    <row r="189">
      <c r="A189" s="132" t="n"/>
      <c r="B189" s="34" t="n"/>
      <c r="C189" s="41" t="n"/>
      <c r="D189" s="26">
        <f>IF($A189="","",3+INT(($A189-DATE(2026,10,5))/7))</f>
        <v/>
      </c>
      <c r="E189" s="41" t="n"/>
      <c r="F189" s="41" t="n"/>
      <c r="G189" s="34" t="n"/>
      <c r="H189" s="75" t="n"/>
      <c r="I189" s="75" t="n"/>
      <c r="J189" s="44" t="n"/>
      <c r="K189" s="26">
        <f>IF(OR($H189="",$I189=""),"",MAX(0,ROUND(($I189-$H189)*1440,0)-N($J189)))</f>
        <v/>
      </c>
      <c r="L189" s="41" t="n"/>
      <c r="M189" s="34" t="n"/>
    </row>
    <row r="190">
      <c r="A190" s="132" t="n"/>
      <c r="B190" s="34" t="n"/>
      <c r="C190" s="41" t="n"/>
      <c r="D190" s="26">
        <f>IF($A190="","",3+INT(($A190-DATE(2026,10,5))/7))</f>
        <v/>
      </c>
      <c r="E190" s="41" t="n"/>
      <c r="F190" s="41" t="n"/>
      <c r="G190" s="34" t="n"/>
      <c r="H190" s="75" t="n"/>
      <c r="I190" s="75" t="n"/>
      <c r="J190" s="44" t="n"/>
      <c r="K190" s="26">
        <f>IF(OR($H190="",$I190=""),"",MAX(0,ROUND(($I190-$H190)*1440,0)-N($J190)))</f>
        <v/>
      </c>
      <c r="L190" s="41" t="n"/>
      <c r="M190" s="34" t="n"/>
    </row>
    <row r="191">
      <c r="A191" s="132" t="n"/>
      <c r="B191" s="34" t="n"/>
      <c r="C191" s="41" t="n"/>
      <c r="D191" s="26">
        <f>IF($A191="","",3+INT(($A191-DATE(2026,10,5))/7))</f>
        <v/>
      </c>
      <c r="E191" s="41" t="n"/>
      <c r="F191" s="41" t="n"/>
      <c r="G191" s="34" t="n"/>
      <c r="H191" s="75" t="n"/>
      <c r="I191" s="75" t="n"/>
      <c r="J191" s="44" t="n"/>
      <c r="K191" s="26">
        <f>IF(OR($H191="",$I191=""),"",MAX(0,ROUND(($I191-$H191)*1440,0)-N($J191)))</f>
        <v/>
      </c>
      <c r="L191" s="41" t="n"/>
      <c r="M191" s="34" t="n"/>
    </row>
    <row r="192">
      <c r="A192" s="132" t="n"/>
      <c r="B192" s="34" t="n"/>
      <c r="C192" s="41" t="n"/>
      <c r="D192" s="26">
        <f>IF($A192="","",3+INT(($A192-DATE(2026,10,5))/7))</f>
        <v/>
      </c>
      <c r="E192" s="41" t="n"/>
      <c r="F192" s="41" t="n"/>
      <c r="G192" s="34" t="n"/>
      <c r="H192" s="75" t="n"/>
      <c r="I192" s="75" t="n"/>
      <c r="J192" s="44" t="n"/>
      <c r="K192" s="26">
        <f>IF(OR($H192="",$I192=""),"",MAX(0,ROUND(($I192-$H192)*1440,0)-N($J192)))</f>
        <v/>
      </c>
      <c r="L192" s="41" t="n"/>
      <c r="M192" s="34" t="n"/>
    </row>
    <row r="193">
      <c r="A193" s="132" t="n"/>
      <c r="B193" s="34" t="n"/>
      <c r="C193" s="41" t="n"/>
      <c r="D193" s="26">
        <f>IF($A193="","",3+INT(($A193-DATE(2026,10,5))/7))</f>
        <v/>
      </c>
      <c r="E193" s="41" t="n"/>
      <c r="F193" s="41" t="n"/>
      <c r="G193" s="34" t="n"/>
      <c r="H193" s="75" t="n"/>
      <c r="I193" s="75" t="n"/>
      <c r="J193" s="44" t="n"/>
      <c r="K193" s="26">
        <f>IF(OR($H193="",$I193=""),"",MAX(0,ROUND(($I193-$H193)*1440,0)-N($J193)))</f>
        <v/>
      </c>
      <c r="L193" s="41" t="n"/>
      <c r="M193" s="34" t="n"/>
    </row>
    <row r="194">
      <c r="A194" s="132" t="n"/>
      <c r="B194" s="34" t="n"/>
      <c r="C194" s="41" t="n"/>
      <c r="D194" s="26">
        <f>IF($A194="","",3+INT(($A194-DATE(2026,10,5))/7))</f>
        <v/>
      </c>
      <c r="E194" s="41" t="n"/>
      <c r="F194" s="41" t="n"/>
      <c r="G194" s="34" t="n"/>
      <c r="H194" s="75" t="n"/>
      <c r="I194" s="75" t="n"/>
      <c r="J194" s="44" t="n"/>
      <c r="K194" s="26">
        <f>IF(OR($H194="",$I194=""),"",MAX(0,ROUND(($I194-$H194)*1440,0)-N($J194)))</f>
        <v/>
      </c>
      <c r="L194" s="41" t="n"/>
      <c r="M194" s="34" t="n"/>
    </row>
    <row r="195">
      <c r="A195" s="132" t="n"/>
      <c r="B195" s="34" t="n"/>
      <c r="C195" s="41" t="n"/>
      <c r="D195" s="26">
        <f>IF($A195="","",3+INT(($A195-DATE(2026,10,5))/7))</f>
        <v/>
      </c>
      <c r="E195" s="41" t="n"/>
      <c r="F195" s="41" t="n"/>
      <c r="G195" s="34" t="n"/>
      <c r="H195" s="75" t="n"/>
      <c r="I195" s="75" t="n"/>
      <c r="J195" s="44" t="n"/>
      <c r="K195" s="26">
        <f>IF(OR($H195="",$I195=""),"",MAX(0,ROUND(($I195-$H195)*1440,0)-N($J195)))</f>
        <v/>
      </c>
      <c r="L195" s="41" t="n"/>
      <c r="M195" s="34" t="n"/>
    </row>
    <row r="196">
      <c r="A196" s="132" t="n"/>
      <c r="B196" s="34" t="n"/>
      <c r="C196" s="41" t="n"/>
      <c r="D196" s="26">
        <f>IF($A196="","",3+INT(($A196-DATE(2026,10,5))/7))</f>
        <v/>
      </c>
      <c r="E196" s="41" t="n"/>
      <c r="F196" s="41" t="n"/>
      <c r="G196" s="34" t="n"/>
      <c r="H196" s="75" t="n"/>
      <c r="I196" s="75" t="n"/>
      <c r="J196" s="44" t="n"/>
      <c r="K196" s="26">
        <f>IF(OR($H196="",$I196=""),"",MAX(0,ROUND(($I196-$H196)*1440,0)-N($J196)))</f>
        <v/>
      </c>
      <c r="L196" s="41" t="n"/>
      <c r="M196" s="34" t="n"/>
    </row>
    <row r="197">
      <c r="A197" s="132" t="n"/>
      <c r="B197" s="34" t="n"/>
      <c r="C197" s="41" t="n"/>
      <c r="D197" s="26">
        <f>IF($A197="","",3+INT(($A197-DATE(2026,10,5))/7))</f>
        <v/>
      </c>
      <c r="E197" s="41" t="n"/>
      <c r="F197" s="41" t="n"/>
      <c r="G197" s="34" t="n"/>
      <c r="H197" s="75" t="n"/>
      <c r="I197" s="75" t="n"/>
      <c r="J197" s="44" t="n"/>
      <c r="K197" s="26">
        <f>IF(OR($H197="",$I197=""),"",MAX(0,ROUND(($I197-$H197)*1440,0)-N($J197)))</f>
        <v/>
      </c>
      <c r="L197" s="41" t="n"/>
      <c r="M197" s="34" t="n"/>
    </row>
    <row r="198">
      <c r="A198" s="132" t="n"/>
      <c r="B198" s="34" t="n"/>
      <c r="C198" s="41" t="n"/>
      <c r="D198" s="26">
        <f>IF($A198="","",3+INT(($A198-DATE(2026,10,5))/7))</f>
        <v/>
      </c>
      <c r="E198" s="41" t="n"/>
      <c r="F198" s="41" t="n"/>
      <c r="G198" s="34" t="n"/>
      <c r="H198" s="75" t="n"/>
      <c r="I198" s="75" t="n"/>
      <c r="J198" s="44" t="n"/>
      <c r="K198" s="26">
        <f>IF(OR($H198="",$I198=""),"",MAX(0,ROUND(($I198-$H198)*1440,0)-N($J198)))</f>
        <v/>
      </c>
      <c r="L198" s="41" t="n"/>
      <c r="M198" s="34" t="n"/>
    </row>
    <row r="199">
      <c r="A199" s="132" t="n"/>
      <c r="B199" s="34" t="n"/>
      <c r="C199" s="41" t="n"/>
      <c r="D199" s="26">
        <f>IF($A199="","",3+INT(($A199-DATE(2026,10,5))/7))</f>
        <v/>
      </c>
      <c r="E199" s="41" t="n"/>
      <c r="F199" s="41" t="n"/>
      <c r="G199" s="34" t="n"/>
      <c r="H199" s="75" t="n"/>
      <c r="I199" s="75" t="n"/>
      <c r="J199" s="44" t="n"/>
      <c r="K199" s="26">
        <f>IF(OR($H199="",$I199=""),"",MAX(0,ROUND(($I199-$H199)*1440,0)-N($J199)))</f>
        <v/>
      </c>
      <c r="L199" s="41" t="n"/>
      <c r="M199" s="34" t="n"/>
    </row>
    <row r="200">
      <c r="A200" s="132" t="n"/>
      <c r="B200" s="34" t="n"/>
      <c r="C200" s="41" t="n"/>
      <c r="D200" s="26">
        <f>IF($A200="","",3+INT(($A200-DATE(2026,10,5))/7))</f>
        <v/>
      </c>
      <c r="E200" s="41" t="n"/>
      <c r="F200" s="41" t="n"/>
      <c r="G200" s="34" t="n"/>
      <c r="H200" s="75" t="n"/>
      <c r="I200" s="75" t="n"/>
      <c r="J200" s="44" t="n"/>
      <c r="K200" s="26">
        <f>IF(OR($H200="",$I200=""),"",MAX(0,ROUND(($I200-$H200)*1440,0)-N($J200)))</f>
        <v/>
      </c>
      <c r="L200" s="41" t="n"/>
      <c r="M200" s="34" t="n"/>
    </row>
    <row r="201">
      <c r="A201" s="132" t="n"/>
      <c r="B201" s="34" t="n"/>
      <c r="C201" s="41" t="n"/>
      <c r="D201" s="26">
        <f>IF($A201="","",3+INT(($A201-DATE(2026,10,5))/7))</f>
        <v/>
      </c>
      <c r="E201" s="41" t="n"/>
      <c r="F201" s="41" t="n"/>
      <c r="G201" s="34" t="n"/>
      <c r="H201" s="75" t="n"/>
      <c r="I201" s="75" t="n"/>
      <c r="J201" s="44" t="n"/>
      <c r="K201" s="26">
        <f>IF(OR($H201="",$I201=""),"",MAX(0,ROUND(($I201-$H201)*1440,0)-N($J201)))</f>
        <v/>
      </c>
      <c r="L201" s="41" t="n"/>
      <c r="M201" s="34" t="n"/>
    </row>
    <row r="202">
      <c r="A202" s="132" t="n"/>
      <c r="B202" s="34" t="n"/>
      <c r="C202" s="41" t="n"/>
      <c r="D202" s="26">
        <f>IF($A202="","",3+INT(($A202-DATE(2026,10,5))/7))</f>
        <v/>
      </c>
      <c r="E202" s="41" t="n"/>
      <c r="F202" s="41" t="n"/>
      <c r="G202" s="34" t="n"/>
      <c r="H202" s="75" t="n"/>
      <c r="I202" s="75" t="n"/>
      <c r="J202" s="44" t="n"/>
      <c r="K202" s="26">
        <f>IF(OR($H202="",$I202=""),"",MAX(0,ROUND(($I202-$H202)*1440,0)-N($J202)))</f>
        <v/>
      </c>
      <c r="L202" s="41" t="n"/>
      <c r="M202" s="34" t="n"/>
    </row>
    <row r="203">
      <c r="A203" s="132" t="n"/>
      <c r="B203" s="34" t="n"/>
      <c r="C203" s="41" t="n"/>
      <c r="D203" s="26">
        <f>IF($A203="","",3+INT(($A203-DATE(2026,10,5))/7))</f>
        <v/>
      </c>
      <c r="E203" s="41" t="n"/>
      <c r="F203" s="41" t="n"/>
      <c r="G203" s="34" t="n"/>
      <c r="H203" s="75" t="n"/>
      <c r="I203" s="75" t="n"/>
      <c r="J203" s="44" t="n"/>
      <c r="K203" s="26">
        <f>IF(OR($H203="",$I203=""),"",MAX(0,ROUND(($I203-$H203)*1440,0)-N($J203)))</f>
        <v/>
      </c>
      <c r="L203" s="41" t="n"/>
      <c r="M203" s="34" t="n"/>
    </row>
    <row r="204">
      <c r="A204" s="132" t="n"/>
      <c r="B204" s="34" t="n"/>
      <c r="C204" s="41" t="n"/>
      <c r="D204" s="26">
        <f>IF($A204="","",3+INT(($A204-DATE(2026,10,5))/7))</f>
        <v/>
      </c>
      <c r="E204" s="41" t="n"/>
      <c r="F204" s="41" t="n"/>
      <c r="G204" s="34" t="n"/>
      <c r="H204" s="75" t="n"/>
      <c r="I204" s="75" t="n"/>
      <c r="J204" s="44" t="n"/>
      <c r="K204" s="26">
        <f>IF(OR($H204="",$I204=""),"",MAX(0,ROUND(($I204-$H204)*1440,0)-N($J204)))</f>
        <v/>
      </c>
      <c r="L204" s="41" t="n"/>
      <c r="M204" s="34" t="n"/>
    </row>
    <row r="205">
      <c r="A205" s="132" t="n"/>
      <c r="B205" s="34" t="n"/>
      <c r="C205" s="41" t="n"/>
      <c r="D205" s="26">
        <f>IF($A205="","",3+INT(($A205-DATE(2026,10,5))/7))</f>
        <v/>
      </c>
      <c r="E205" s="41" t="n"/>
      <c r="F205" s="41" t="n"/>
      <c r="G205" s="34" t="n"/>
      <c r="H205" s="75" t="n"/>
      <c r="I205" s="75" t="n"/>
      <c r="J205" s="44" t="n"/>
      <c r="K205" s="26">
        <f>IF(OR($H205="",$I205=""),"",MAX(0,ROUND(($I205-$H205)*1440,0)-N($J205)))</f>
        <v/>
      </c>
      <c r="L205" s="41" t="n"/>
      <c r="M205" s="34" t="n"/>
    </row>
    <row r="206">
      <c r="A206" s="132" t="n"/>
      <c r="B206" s="34" t="n"/>
      <c r="C206" s="41" t="n"/>
      <c r="D206" s="26">
        <f>IF($A206="","",3+INT(($A206-DATE(2026,10,5))/7))</f>
        <v/>
      </c>
      <c r="E206" s="41" t="n"/>
      <c r="F206" s="41" t="n"/>
      <c r="G206" s="34" t="n"/>
      <c r="H206" s="75" t="n"/>
      <c r="I206" s="75" t="n"/>
      <c r="J206" s="44" t="n"/>
      <c r="K206" s="26">
        <f>IF(OR($H206="",$I206=""),"",MAX(0,ROUND(($I206-$H206)*1440,0)-N($J206)))</f>
        <v/>
      </c>
      <c r="L206" s="41" t="n"/>
      <c r="M206" s="34" t="n"/>
    </row>
    <row r="207">
      <c r="A207" s="132" t="n"/>
      <c r="B207" s="34" t="n"/>
      <c r="C207" s="41" t="n"/>
      <c r="D207" s="26">
        <f>IF($A207="","",3+INT(($A207-DATE(2026,10,5))/7))</f>
        <v/>
      </c>
      <c r="E207" s="41" t="n"/>
      <c r="F207" s="41" t="n"/>
      <c r="G207" s="34" t="n"/>
      <c r="H207" s="75" t="n"/>
      <c r="I207" s="75" t="n"/>
      <c r="J207" s="44" t="n"/>
      <c r="K207" s="26">
        <f>IF(OR($H207="",$I207=""),"",MAX(0,ROUND(($I207-$H207)*1440,0)-N($J207)))</f>
        <v/>
      </c>
      <c r="L207" s="41" t="n"/>
      <c r="M207" s="34" t="n"/>
    </row>
    <row r="208">
      <c r="A208" s="132" t="n"/>
      <c r="B208" s="34" t="n"/>
      <c r="C208" s="41" t="n"/>
      <c r="D208" s="26">
        <f>IF($A208="","",3+INT(($A208-DATE(2026,10,5))/7))</f>
        <v/>
      </c>
      <c r="E208" s="41" t="n"/>
      <c r="F208" s="41" t="n"/>
      <c r="G208" s="34" t="n"/>
      <c r="H208" s="75" t="n"/>
      <c r="I208" s="75" t="n"/>
      <c r="J208" s="44" t="n"/>
      <c r="K208" s="26">
        <f>IF(OR($H208="",$I208=""),"",MAX(0,ROUND(($I208-$H208)*1440,0)-N($J208)))</f>
        <v/>
      </c>
      <c r="L208" s="41" t="n"/>
      <c r="M208" s="34" t="n"/>
    </row>
    <row r="209">
      <c r="A209" s="132" t="n"/>
      <c r="B209" s="34" t="n"/>
      <c r="C209" s="41" t="n"/>
      <c r="D209" s="26">
        <f>IF($A209="","",3+INT(($A209-DATE(2026,10,5))/7))</f>
        <v/>
      </c>
      <c r="E209" s="41" t="n"/>
      <c r="F209" s="41" t="n"/>
      <c r="G209" s="34" t="n"/>
      <c r="H209" s="75" t="n"/>
      <c r="I209" s="75" t="n"/>
      <c r="J209" s="44" t="n"/>
      <c r="K209" s="26">
        <f>IF(OR($H209="",$I209=""),"",MAX(0,ROUND(($I209-$H209)*1440,0)-N($J209)))</f>
        <v/>
      </c>
      <c r="L209" s="41" t="n"/>
      <c r="M209" s="34" t="n"/>
    </row>
    <row r="210">
      <c r="A210" s="132" t="n"/>
      <c r="B210" s="34" t="n"/>
      <c r="C210" s="41" t="n"/>
      <c r="D210" s="26">
        <f>IF($A210="","",3+INT(($A210-DATE(2026,10,5))/7))</f>
        <v/>
      </c>
      <c r="E210" s="41" t="n"/>
      <c r="F210" s="41" t="n"/>
      <c r="G210" s="34" t="n"/>
      <c r="H210" s="75" t="n"/>
      <c r="I210" s="75" t="n"/>
      <c r="J210" s="44" t="n"/>
      <c r="K210" s="26">
        <f>IF(OR($H210="",$I210=""),"",MAX(0,ROUND(($I210-$H210)*1440,0)-N($J210)))</f>
        <v/>
      </c>
      <c r="L210" s="41" t="n"/>
      <c r="M210" s="34" t="n"/>
    </row>
    <row r="211">
      <c r="A211" s="132" t="n"/>
      <c r="B211" s="34" t="n"/>
      <c r="C211" s="41" t="n"/>
      <c r="D211" s="26">
        <f>IF($A211="","",3+INT(($A211-DATE(2026,10,5))/7))</f>
        <v/>
      </c>
      <c r="E211" s="41" t="n"/>
      <c r="F211" s="41" t="n"/>
      <c r="G211" s="34" t="n"/>
      <c r="H211" s="75" t="n"/>
      <c r="I211" s="75" t="n"/>
      <c r="J211" s="44" t="n"/>
      <c r="K211" s="26">
        <f>IF(OR($H211="",$I211=""),"",MAX(0,ROUND(($I211-$H211)*1440,0)-N($J211)))</f>
        <v/>
      </c>
      <c r="L211" s="41" t="n"/>
      <c r="M211" s="34" t="n"/>
    </row>
    <row r="212">
      <c r="A212" s="132" t="n"/>
      <c r="B212" s="34" t="n"/>
      <c r="C212" s="41" t="n"/>
      <c r="D212" s="26">
        <f>IF($A212="","",3+INT(($A212-DATE(2026,10,5))/7))</f>
        <v/>
      </c>
      <c r="E212" s="41" t="n"/>
      <c r="F212" s="41" t="n"/>
      <c r="G212" s="34" t="n"/>
      <c r="H212" s="75" t="n"/>
      <c r="I212" s="75" t="n"/>
      <c r="J212" s="44" t="n"/>
      <c r="K212" s="26">
        <f>IF(OR($H212="",$I212=""),"",MAX(0,ROUND(($I212-$H212)*1440,0)-N($J212)))</f>
        <v/>
      </c>
      <c r="L212" s="41" t="n"/>
      <c r="M212" s="34" t="n"/>
    </row>
    <row r="213">
      <c r="A213" s="132" t="n"/>
      <c r="B213" s="34" t="n"/>
      <c r="C213" s="41" t="n"/>
      <c r="D213" s="26">
        <f>IF($A213="","",3+INT(($A213-DATE(2026,10,5))/7))</f>
        <v/>
      </c>
      <c r="E213" s="41" t="n"/>
      <c r="F213" s="41" t="n"/>
      <c r="G213" s="34" t="n"/>
      <c r="H213" s="75" t="n"/>
      <c r="I213" s="75" t="n"/>
      <c r="J213" s="44" t="n"/>
      <c r="K213" s="26">
        <f>IF(OR($H213="",$I213=""),"",MAX(0,ROUND(($I213-$H213)*1440,0)-N($J213)))</f>
        <v/>
      </c>
      <c r="L213" s="41" t="n"/>
      <c r="M213" s="34" t="n"/>
    </row>
    <row r="214">
      <c r="A214" s="132" t="n"/>
      <c r="B214" s="34" t="n"/>
      <c r="C214" s="41" t="n"/>
      <c r="D214" s="26">
        <f>IF($A214="","",3+INT(($A214-DATE(2026,10,5))/7))</f>
        <v/>
      </c>
      <c r="E214" s="41" t="n"/>
      <c r="F214" s="41" t="n"/>
      <c r="G214" s="34" t="n"/>
      <c r="H214" s="75" t="n"/>
      <c r="I214" s="75" t="n"/>
      <c r="J214" s="44" t="n"/>
      <c r="K214" s="26">
        <f>IF(OR($H214="",$I214=""),"",MAX(0,ROUND(($I214-$H214)*1440,0)-N($J214)))</f>
        <v/>
      </c>
      <c r="L214" s="41" t="n"/>
      <c r="M214" s="34" t="n"/>
    </row>
    <row r="215">
      <c r="A215" s="132" t="n"/>
      <c r="B215" s="34" t="n"/>
      <c r="C215" s="41" t="n"/>
      <c r="D215" s="26">
        <f>IF($A215="","",3+INT(($A215-DATE(2026,10,5))/7))</f>
        <v/>
      </c>
      <c r="E215" s="41" t="n"/>
      <c r="F215" s="41" t="n"/>
      <c r="G215" s="34" t="n"/>
      <c r="H215" s="75" t="n"/>
      <c r="I215" s="75" t="n"/>
      <c r="J215" s="44" t="n"/>
      <c r="K215" s="26">
        <f>IF(OR($H215="",$I215=""),"",MAX(0,ROUND(($I215-$H215)*1440,0)-N($J215)))</f>
        <v/>
      </c>
      <c r="L215" s="41" t="n"/>
      <c r="M215" s="34" t="n"/>
    </row>
    <row r="216">
      <c r="A216" s="132" t="n"/>
      <c r="B216" s="34" t="n"/>
      <c r="C216" s="41" t="n"/>
      <c r="D216" s="26">
        <f>IF($A216="","",3+INT(($A216-DATE(2026,10,5))/7))</f>
        <v/>
      </c>
      <c r="E216" s="41" t="n"/>
      <c r="F216" s="41" t="n"/>
      <c r="G216" s="34" t="n"/>
      <c r="H216" s="75" t="n"/>
      <c r="I216" s="75" t="n"/>
      <c r="J216" s="44" t="n"/>
      <c r="K216" s="26">
        <f>IF(OR($H216="",$I216=""),"",MAX(0,ROUND(($I216-$H216)*1440,0)-N($J216)))</f>
        <v/>
      </c>
      <c r="L216" s="41" t="n"/>
      <c r="M216" s="34" t="n"/>
    </row>
    <row r="217">
      <c r="A217" s="132" t="n"/>
      <c r="B217" s="34" t="n"/>
      <c r="C217" s="41" t="n"/>
      <c r="D217" s="26">
        <f>IF($A217="","",3+INT(($A217-DATE(2026,10,5))/7))</f>
        <v/>
      </c>
      <c r="E217" s="41" t="n"/>
      <c r="F217" s="41" t="n"/>
      <c r="G217" s="34" t="n"/>
      <c r="H217" s="75" t="n"/>
      <c r="I217" s="75" t="n"/>
      <c r="J217" s="44" t="n"/>
      <c r="K217" s="26">
        <f>IF(OR($H217="",$I217=""),"",MAX(0,ROUND(($I217-$H217)*1440,0)-N($J217)))</f>
        <v/>
      </c>
      <c r="L217" s="41" t="n"/>
      <c r="M217" s="34" t="n"/>
    </row>
    <row r="218">
      <c r="A218" s="132" t="n"/>
      <c r="B218" s="34" t="n"/>
      <c r="C218" s="41" t="n"/>
      <c r="D218" s="26">
        <f>IF($A218="","",3+INT(($A218-DATE(2026,10,5))/7))</f>
        <v/>
      </c>
      <c r="E218" s="41" t="n"/>
      <c r="F218" s="41" t="n"/>
      <c r="G218" s="34" t="n"/>
      <c r="H218" s="75" t="n"/>
      <c r="I218" s="75" t="n"/>
      <c r="J218" s="44" t="n"/>
      <c r="K218" s="26">
        <f>IF(OR($H218="",$I218=""),"",MAX(0,ROUND(($I218-$H218)*1440,0)-N($J218)))</f>
        <v/>
      </c>
      <c r="L218" s="41" t="n"/>
      <c r="M218" s="34" t="n"/>
    </row>
    <row r="219">
      <c r="A219" s="132" t="n"/>
      <c r="B219" s="34" t="n"/>
      <c r="C219" s="41" t="n"/>
      <c r="D219" s="26">
        <f>IF($A219="","",3+INT(($A219-DATE(2026,10,5))/7))</f>
        <v/>
      </c>
      <c r="E219" s="41" t="n"/>
      <c r="F219" s="41" t="n"/>
      <c r="G219" s="34" t="n"/>
      <c r="H219" s="75" t="n"/>
      <c r="I219" s="75" t="n"/>
      <c r="J219" s="44" t="n"/>
      <c r="K219" s="26">
        <f>IF(OR($H219="",$I219=""),"",MAX(0,ROUND(($I219-$H219)*1440,0)-N($J219)))</f>
        <v/>
      </c>
      <c r="L219" s="41" t="n"/>
      <c r="M219" s="34" t="n"/>
    </row>
    <row r="220">
      <c r="A220" s="132" t="n"/>
      <c r="B220" s="34" t="n"/>
      <c r="C220" s="41" t="n"/>
      <c r="D220" s="26">
        <f>IF($A220="","",3+INT(($A220-DATE(2026,10,5))/7))</f>
        <v/>
      </c>
      <c r="E220" s="41" t="n"/>
      <c r="F220" s="41" t="n"/>
      <c r="G220" s="34" t="n"/>
      <c r="H220" s="75" t="n"/>
      <c r="I220" s="75" t="n"/>
      <c r="J220" s="44" t="n"/>
      <c r="K220" s="26">
        <f>IF(OR($H220="",$I220=""),"",MAX(0,ROUND(($I220-$H220)*1440,0)-N($J220)))</f>
        <v/>
      </c>
      <c r="L220" s="41" t="n"/>
      <c r="M220" s="34" t="n"/>
    </row>
    <row r="221">
      <c r="A221" s="132" t="n"/>
      <c r="B221" s="34" t="n"/>
      <c r="C221" s="41" t="n"/>
      <c r="D221" s="26">
        <f>IF($A221="","",3+INT(($A221-DATE(2026,10,5))/7))</f>
        <v/>
      </c>
      <c r="E221" s="41" t="n"/>
      <c r="F221" s="41" t="n"/>
      <c r="G221" s="34" t="n"/>
      <c r="H221" s="75" t="n"/>
      <c r="I221" s="75" t="n"/>
      <c r="J221" s="44" t="n"/>
      <c r="K221" s="26">
        <f>IF(OR($H221="",$I221=""),"",MAX(0,ROUND(($I221-$H221)*1440,0)-N($J221)))</f>
        <v/>
      </c>
      <c r="L221" s="41" t="n"/>
      <c r="M221" s="34" t="n"/>
    </row>
    <row r="222">
      <c r="A222" s="132" t="n"/>
      <c r="B222" s="34" t="n"/>
      <c r="C222" s="41" t="n"/>
      <c r="D222" s="26">
        <f>IF($A222="","",3+INT(($A222-DATE(2026,10,5))/7))</f>
        <v/>
      </c>
      <c r="E222" s="41" t="n"/>
      <c r="F222" s="41" t="n"/>
      <c r="G222" s="34" t="n"/>
      <c r="H222" s="75" t="n"/>
      <c r="I222" s="75" t="n"/>
      <c r="J222" s="44" t="n"/>
      <c r="K222" s="26">
        <f>IF(OR($H222="",$I222=""),"",MAX(0,ROUND(($I222-$H222)*1440,0)-N($J222)))</f>
        <v/>
      </c>
      <c r="L222" s="41" t="n"/>
      <c r="M222" s="34" t="n"/>
    </row>
    <row r="223">
      <c r="A223" s="132" t="n"/>
      <c r="B223" s="34" t="n"/>
      <c r="C223" s="41" t="n"/>
      <c r="D223" s="26">
        <f>IF($A223="","",3+INT(($A223-DATE(2026,10,5))/7))</f>
        <v/>
      </c>
      <c r="E223" s="41" t="n"/>
      <c r="F223" s="41" t="n"/>
      <c r="G223" s="34" t="n"/>
      <c r="H223" s="75" t="n"/>
      <c r="I223" s="75" t="n"/>
      <c r="J223" s="44" t="n"/>
      <c r="K223" s="26">
        <f>IF(OR($H223="",$I223=""),"",MAX(0,ROUND(($I223-$H223)*1440,0)-N($J223)))</f>
        <v/>
      </c>
      <c r="L223" s="41" t="n"/>
      <c r="M223" s="34" t="n"/>
    </row>
    <row r="224">
      <c r="A224" s="132" t="n"/>
      <c r="B224" s="34" t="n"/>
      <c r="C224" s="41" t="n"/>
      <c r="D224" s="26">
        <f>IF($A224="","",3+INT(($A224-DATE(2026,10,5))/7))</f>
        <v/>
      </c>
      <c r="E224" s="41" t="n"/>
      <c r="F224" s="41" t="n"/>
      <c r="G224" s="34" t="n"/>
      <c r="H224" s="75" t="n"/>
      <c r="I224" s="75" t="n"/>
      <c r="J224" s="44" t="n"/>
      <c r="K224" s="26">
        <f>IF(OR($H224="",$I224=""),"",MAX(0,ROUND(($I224-$H224)*1440,0)-N($J224)))</f>
        <v/>
      </c>
      <c r="L224" s="41" t="n"/>
      <c r="M224" s="34" t="n"/>
    </row>
    <row r="225">
      <c r="A225" s="132" t="n"/>
      <c r="B225" s="34" t="n"/>
      <c r="C225" s="41" t="n"/>
      <c r="D225" s="26">
        <f>IF($A225="","",3+INT(($A225-DATE(2026,10,5))/7))</f>
        <v/>
      </c>
      <c r="E225" s="41" t="n"/>
      <c r="F225" s="41" t="n"/>
      <c r="G225" s="34" t="n"/>
      <c r="H225" s="75" t="n"/>
      <c r="I225" s="75" t="n"/>
      <c r="J225" s="44" t="n"/>
      <c r="K225" s="26">
        <f>IF(OR($H225="",$I225=""),"",MAX(0,ROUND(($I225-$H225)*1440,0)-N($J225)))</f>
        <v/>
      </c>
      <c r="L225" s="41" t="n"/>
      <c r="M225" s="34" t="n"/>
    </row>
    <row r="226">
      <c r="A226" s="132" t="n"/>
      <c r="B226" s="34" t="n"/>
      <c r="C226" s="41" t="n"/>
      <c r="D226" s="26">
        <f>IF($A226="","",3+INT(($A226-DATE(2026,10,5))/7))</f>
        <v/>
      </c>
      <c r="E226" s="41" t="n"/>
      <c r="F226" s="41" t="n"/>
      <c r="G226" s="34" t="n"/>
      <c r="H226" s="75" t="n"/>
      <c r="I226" s="75" t="n"/>
      <c r="J226" s="44" t="n"/>
      <c r="K226" s="26">
        <f>IF(OR($H226="",$I226=""),"",MAX(0,ROUND(($I226-$H226)*1440,0)-N($J226)))</f>
        <v/>
      </c>
      <c r="L226" s="41" t="n"/>
      <c r="M226" s="34" t="n"/>
    </row>
    <row r="227">
      <c r="A227" s="132" t="n"/>
      <c r="B227" s="34" t="n"/>
      <c r="C227" s="41" t="n"/>
      <c r="D227" s="26">
        <f>IF($A227="","",3+INT(($A227-DATE(2026,10,5))/7))</f>
        <v/>
      </c>
      <c r="E227" s="41" t="n"/>
      <c r="F227" s="41" t="n"/>
      <c r="G227" s="34" t="n"/>
      <c r="H227" s="75" t="n"/>
      <c r="I227" s="75" t="n"/>
      <c r="J227" s="44" t="n"/>
      <c r="K227" s="26">
        <f>IF(OR($H227="",$I227=""),"",MAX(0,ROUND(($I227-$H227)*1440,0)-N($J227)))</f>
        <v/>
      </c>
      <c r="L227" s="41" t="n"/>
      <c r="M227" s="34" t="n"/>
    </row>
    <row r="228">
      <c r="A228" s="132" t="n"/>
      <c r="B228" s="34" t="n"/>
      <c r="C228" s="41" t="n"/>
      <c r="D228" s="26">
        <f>IF($A228="","",3+INT(($A228-DATE(2026,10,5))/7))</f>
        <v/>
      </c>
      <c r="E228" s="41" t="n"/>
      <c r="F228" s="41" t="n"/>
      <c r="G228" s="34" t="n"/>
      <c r="H228" s="75" t="n"/>
      <c r="I228" s="75" t="n"/>
      <c r="J228" s="44" t="n"/>
      <c r="K228" s="26">
        <f>IF(OR($H228="",$I228=""),"",MAX(0,ROUND(($I228-$H228)*1440,0)-N($J228)))</f>
        <v/>
      </c>
      <c r="L228" s="41" t="n"/>
      <c r="M228" s="34" t="n"/>
    </row>
    <row r="229">
      <c r="A229" s="132" t="n"/>
      <c r="B229" s="34" t="n"/>
      <c r="C229" s="41" t="n"/>
      <c r="D229" s="26">
        <f>IF($A229="","",3+INT(($A229-DATE(2026,10,5))/7))</f>
        <v/>
      </c>
      <c r="E229" s="41" t="n"/>
      <c r="F229" s="41" t="n"/>
      <c r="G229" s="34" t="n"/>
      <c r="H229" s="75" t="n"/>
      <c r="I229" s="75" t="n"/>
      <c r="J229" s="44" t="n"/>
      <c r="K229" s="26">
        <f>IF(OR($H229="",$I229=""),"",MAX(0,ROUND(($I229-$H229)*1440,0)-N($J229)))</f>
        <v/>
      </c>
      <c r="L229" s="41" t="n"/>
      <c r="M229" s="34" t="n"/>
    </row>
    <row r="230">
      <c r="A230" s="132" t="n"/>
      <c r="B230" s="34" t="n"/>
      <c r="C230" s="41" t="n"/>
      <c r="D230" s="26">
        <f>IF($A230="","",3+INT(($A230-DATE(2026,10,5))/7))</f>
        <v/>
      </c>
      <c r="E230" s="41" t="n"/>
      <c r="F230" s="41" t="n"/>
      <c r="G230" s="34" t="n"/>
      <c r="H230" s="75" t="n"/>
      <c r="I230" s="75" t="n"/>
      <c r="J230" s="44" t="n"/>
      <c r="K230" s="26">
        <f>IF(OR($H230="",$I230=""),"",MAX(0,ROUND(($I230-$H230)*1440,0)-N($J230)))</f>
        <v/>
      </c>
      <c r="L230" s="41" t="n"/>
      <c r="M230" s="34" t="n"/>
    </row>
    <row r="231">
      <c r="A231" s="132" t="n"/>
      <c r="B231" s="34" t="n"/>
      <c r="C231" s="41" t="n"/>
      <c r="D231" s="26">
        <f>IF($A231="","",3+INT(($A231-DATE(2026,10,5))/7))</f>
        <v/>
      </c>
      <c r="E231" s="41" t="n"/>
      <c r="F231" s="41" t="n"/>
      <c r="G231" s="34" t="n"/>
      <c r="H231" s="75" t="n"/>
      <c r="I231" s="75" t="n"/>
      <c r="J231" s="44" t="n"/>
      <c r="K231" s="26">
        <f>IF(OR($H231="",$I231=""),"",MAX(0,ROUND(($I231-$H231)*1440,0)-N($J231)))</f>
        <v/>
      </c>
      <c r="L231" s="41" t="n"/>
      <c r="M231" s="34" t="n"/>
    </row>
    <row r="232">
      <c r="A232" s="132" t="n"/>
      <c r="B232" s="34" t="n"/>
      <c r="C232" s="41" t="n"/>
      <c r="D232" s="26">
        <f>IF($A232="","",3+INT(($A232-DATE(2026,10,5))/7))</f>
        <v/>
      </c>
      <c r="E232" s="41" t="n"/>
      <c r="F232" s="41" t="n"/>
      <c r="G232" s="34" t="n"/>
      <c r="H232" s="75" t="n"/>
      <c r="I232" s="75" t="n"/>
      <c r="J232" s="44" t="n"/>
      <c r="K232" s="26">
        <f>IF(OR($H232="",$I232=""),"",MAX(0,ROUND(($I232-$H232)*1440,0)-N($J232)))</f>
        <v/>
      </c>
      <c r="L232" s="41" t="n"/>
      <c r="M232" s="34" t="n"/>
    </row>
    <row r="233">
      <c r="A233" s="132" t="n"/>
      <c r="B233" s="34" t="n"/>
      <c r="C233" s="41" t="n"/>
      <c r="D233" s="26">
        <f>IF($A233="","",3+INT(($A233-DATE(2026,10,5))/7))</f>
        <v/>
      </c>
      <c r="E233" s="41" t="n"/>
      <c r="F233" s="41" t="n"/>
      <c r="G233" s="34" t="n"/>
      <c r="H233" s="75" t="n"/>
      <c r="I233" s="75" t="n"/>
      <c r="J233" s="44" t="n"/>
      <c r="K233" s="26">
        <f>IF(OR($H233="",$I233=""),"",MAX(0,ROUND(($I233-$H233)*1440,0)-N($J233)))</f>
        <v/>
      </c>
      <c r="L233" s="41" t="n"/>
      <c r="M233" s="34" t="n"/>
    </row>
    <row r="234">
      <c r="A234" s="132" t="n"/>
      <c r="B234" s="34" t="n"/>
      <c r="C234" s="41" t="n"/>
      <c r="D234" s="26">
        <f>IF($A234="","",3+INT(($A234-DATE(2026,10,5))/7))</f>
        <v/>
      </c>
      <c r="E234" s="41" t="n"/>
      <c r="F234" s="41" t="n"/>
      <c r="G234" s="34" t="n"/>
      <c r="H234" s="75" t="n"/>
      <c r="I234" s="75" t="n"/>
      <c r="J234" s="44" t="n"/>
      <c r="K234" s="26">
        <f>IF(OR($H234="",$I234=""),"",MAX(0,ROUND(($I234-$H234)*1440,0)-N($J234)))</f>
        <v/>
      </c>
      <c r="L234" s="41" t="n"/>
      <c r="M234" s="34" t="n"/>
    </row>
    <row r="235">
      <c r="A235" s="132" t="n"/>
      <c r="B235" s="34" t="n"/>
      <c r="C235" s="41" t="n"/>
      <c r="D235" s="26">
        <f>IF($A235="","",3+INT(($A235-DATE(2026,10,5))/7))</f>
        <v/>
      </c>
      <c r="E235" s="41" t="n"/>
      <c r="F235" s="41" t="n"/>
      <c r="G235" s="34" t="n"/>
      <c r="H235" s="75" t="n"/>
      <c r="I235" s="75" t="n"/>
      <c r="J235" s="44" t="n"/>
      <c r="K235" s="26">
        <f>IF(OR($H235="",$I235=""),"",MAX(0,ROUND(($I235-$H235)*1440,0)-N($J235)))</f>
        <v/>
      </c>
      <c r="L235" s="41" t="n"/>
      <c r="M235" s="34" t="n"/>
    </row>
    <row r="236">
      <c r="A236" s="132" t="n"/>
      <c r="B236" s="34" t="n"/>
      <c r="C236" s="41" t="n"/>
      <c r="D236" s="26">
        <f>IF($A236="","",3+INT(($A236-DATE(2026,10,5))/7))</f>
        <v/>
      </c>
      <c r="E236" s="41" t="n"/>
      <c r="F236" s="41" t="n"/>
      <c r="G236" s="34" t="n"/>
      <c r="H236" s="75" t="n"/>
      <c r="I236" s="75" t="n"/>
      <c r="J236" s="44" t="n"/>
      <c r="K236" s="26">
        <f>IF(OR($H236="",$I236=""),"",MAX(0,ROUND(($I236-$H236)*1440,0)-N($J236)))</f>
        <v/>
      </c>
      <c r="L236" s="41" t="n"/>
      <c r="M236" s="34" t="n"/>
    </row>
    <row r="237">
      <c r="A237" s="132" t="n"/>
      <c r="B237" s="34" t="n"/>
      <c r="C237" s="41" t="n"/>
      <c r="D237" s="26">
        <f>IF($A237="","",3+INT(($A237-DATE(2026,10,5))/7))</f>
        <v/>
      </c>
      <c r="E237" s="41" t="n"/>
      <c r="F237" s="41" t="n"/>
      <c r="G237" s="34" t="n"/>
      <c r="H237" s="75" t="n"/>
      <c r="I237" s="75" t="n"/>
      <c r="J237" s="44" t="n"/>
      <c r="K237" s="26">
        <f>IF(OR($H237="",$I237=""),"",MAX(0,ROUND(($I237-$H237)*1440,0)-N($J237)))</f>
        <v/>
      </c>
      <c r="L237" s="41" t="n"/>
      <c r="M237" s="34" t="n"/>
    </row>
    <row r="238">
      <c r="A238" s="132" t="n"/>
      <c r="B238" s="34" t="n"/>
      <c r="C238" s="41" t="n"/>
      <c r="D238" s="26">
        <f>IF($A238="","",3+INT(($A238-DATE(2026,10,5))/7))</f>
        <v/>
      </c>
      <c r="E238" s="41" t="n"/>
      <c r="F238" s="41" t="n"/>
      <c r="G238" s="34" t="n"/>
      <c r="H238" s="75" t="n"/>
      <c r="I238" s="75" t="n"/>
      <c r="J238" s="44" t="n"/>
      <c r="K238" s="26">
        <f>IF(OR($H238="",$I238=""),"",MAX(0,ROUND(($I238-$H238)*1440,0)-N($J238)))</f>
        <v/>
      </c>
      <c r="L238" s="41" t="n"/>
      <c r="M238" s="34" t="n"/>
    </row>
    <row r="239">
      <c r="A239" s="132" t="n"/>
      <c r="B239" s="34" t="n"/>
      <c r="C239" s="41" t="n"/>
      <c r="D239" s="26">
        <f>IF($A239="","",3+INT(($A239-DATE(2026,10,5))/7))</f>
        <v/>
      </c>
      <c r="E239" s="41" t="n"/>
      <c r="F239" s="41" t="n"/>
      <c r="G239" s="34" t="n"/>
      <c r="H239" s="75" t="n"/>
      <c r="I239" s="75" t="n"/>
      <c r="J239" s="44" t="n"/>
      <c r="K239" s="26">
        <f>IF(OR($H239="",$I239=""),"",MAX(0,ROUND(($I239-$H239)*1440,0)-N($J239)))</f>
        <v/>
      </c>
      <c r="L239" s="41" t="n"/>
      <c r="M239" s="34" t="n"/>
    </row>
    <row r="240">
      <c r="A240" s="132" t="n"/>
      <c r="B240" s="34" t="n"/>
      <c r="C240" s="41" t="n"/>
      <c r="D240" s="26">
        <f>IF($A240="","",3+INT(($A240-DATE(2026,10,5))/7))</f>
        <v/>
      </c>
      <c r="E240" s="41" t="n"/>
      <c r="F240" s="41" t="n"/>
      <c r="G240" s="34" t="n"/>
      <c r="H240" s="75" t="n"/>
      <c r="I240" s="75" t="n"/>
      <c r="J240" s="44" t="n"/>
      <c r="K240" s="26">
        <f>IF(OR($H240="",$I240=""),"",MAX(0,ROUND(($I240-$H240)*1440,0)-N($J240)))</f>
        <v/>
      </c>
      <c r="L240" s="41" t="n"/>
      <c r="M240" s="34" t="n"/>
    </row>
    <row r="241">
      <c r="A241" s="132" t="n"/>
      <c r="B241" s="34" t="n"/>
      <c r="C241" s="41" t="n"/>
      <c r="D241" s="26">
        <f>IF($A241="","",3+INT(($A241-DATE(2026,10,5))/7))</f>
        <v/>
      </c>
      <c r="E241" s="41" t="n"/>
      <c r="F241" s="41" t="n"/>
      <c r="G241" s="34" t="n"/>
      <c r="H241" s="75" t="n"/>
      <c r="I241" s="75" t="n"/>
      <c r="J241" s="44" t="n"/>
      <c r="K241" s="26">
        <f>IF(OR($H241="",$I241=""),"",MAX(0,ROUND(($I241-$H241)*1440,0)-N($J241)))</f>
        <v/>
      </c>
      <c r="L241" s="41" t="n"/>
      <c r="M241" s="34" t="n"/>
    </row>
    <row r="242">
      <c r="A242" s="132" t="n"/>
      <c r="B242" s="34" t="n"/>
      <c r="C242" s="41" t="n"/>
      <c r="D242" s="26">
        <f>IF($A242="","",3+INT(($A242-DATE(2026,10,5))/7))</f>
        <v/>
      </c>
      <c r="E242" s="41" t="n"/>
      <c r="F242" s="41" t="n"/>
      <c r="G242" s="34" t="n"/>
      <c r="H242" s="75" t="n"/>
      <c r="I242" s="75" t="n"/>
      <c r="J242" s="44" t="n"/>
      <c r="K242" s="26">
        <f>IF(OR($H242="",$I242=""),"",MAX(0,ROUND(($I242-$H242)*1440,0)-N($J242)))</f>
        <v/>
      </c>
      <c r="L242" s="41" t="n"/>
      <c r="M242" s="34" t="n"/>
    </row>
    <row r="243">
      <c r="A243" s="132" t="n"/>
      <c r="B243" s="34" t="n"/>
      <c r="C243" s="41" t="n"/>
      <c r="D243" s="26">
        <f>IF($A243="","",3+INT(($A243-DATE(2026,10,5))/7))</f>
        <v/>
      </c>
      <c r="E243" s="41" t="n"/>
      <c r="F243" s="41" t="n"/>
      <c r="G243" s="34" t="n"/>
      <c r="H243" s="75" t="n"/>
      <c r="I243" s="75" t="n"/>
      <c r="J243" s="44" t="n"/>
      <c r="K243" s="26">
        <f>IF(OR($H243="",$I243=""),"",MAX(0,ROUND(($I243-$H243)*1440,0)-N($J243)))</f>
        <v/>
      </c>
      <c r="L243" s="41" t="n"/>
      <c r="M243" s="34" t="n"/>
    </row>
    <row r="244">
      <c r="A244" s="132" t="n"/>
      <c r="B244" s="34" t="n"/>
      <c r="C244" s="41" t="n"/>
      <c r="D244" s="26">
        <f>IF($A244="","",3+INT(($A244-DATE(2026,10,5))/7))</f>
        <v/>
      </c>
      <c r="E244" s="41" t="n"/>
      <c r="F244" s="41" t="n"/>
      <c r="G244" s="34" t="n"/>
      <c r="H244" s="75" t="n"/>
      <c r="I244" s="75" t="n"/>
      <c r="J244" s="44" t="n"/>
      <c r="K244" s="26">
        <f>IF(OR($H244="",$I244=""),"",MAX(0,ROUND(($I244-$H244)*1440,0)-N($J244)))</f>
        <v/>
      </c>
      <c r="L244" s="41" t="n"/>
      <c r="M244" s="34" t="n"/>
    </row>
    <row r="245">
      <c r="A245" s="132" t="n"/>
      <c r="B245" s="34" t="n"/>
      <c r="C245" s="41" t="n"/>
      <c r="D245" s="26">
        <f>IF($A245="","",3+INT(($A245-DATE(2026,10,5))/7))</f>
        <v/>
      </c>
      <c r="E245" s="41" t="n"/>
      <c r="F245" s="41" t="n"/>
      <c r="G245" s="34" t="n"/>
      <c r="H245" s="75" t="n"/>
      <c r="I245" s="75" t="n"/>
      <c r="J245" s="44" t="n"/>
      <c r="K245" s="26">
        <f>IF(OR($H245="",$I245=""),"",MAX(0,ROUND(($I245-$H245)*1440,0)-N($J245)))</f>
        <v/>
      </c>
      <c r="L245" s="41" t="n"/>
      <c r="M245" s="34" t="n"/>
    </row>
    <row r="246">
      <c r="A246" s="132" t="n"/>
      <c r="B246" s="34" t="n"/>
      <c r="C246" s="41" t="n"/>
      <c r="D246" s="26">
        <f>IF($A246="","",3+INT(($A246-DATE(2026,10,5))/7))</f>
        <v/>
      </c>
      <c r="E246" s="41" t="n"/>
      <c r="F246" s="41" t="n"/>
      <c r="G246" s="34" t="n"/>
      <c r="H246" s="75" t="n"/>
      <c r="I246" s="75" t="n"/>
      <c r="J246" s="44" t="n"/>
      <c r="K246" s="26">
        <f>IF(OR($H246="",$I246=""),"",MAX(0,ROUND(($I246-$H246)*1440,0)-N($J246)))</f>
        <v/>
      </c>
      <c r="L246" s="41" t="n"/>
      <c r="M246" s="34" t="n"/>
    </row>
    <row r="247">
      <c r="A247" s="132" t="n"/>
      <c r="B247" s="34" t="n"/>
      <c r="C247" s="41" t="n"/>
      <c r="D247" s="26">
        <f>IF($A247="","",3+INT(($A247-DATE(2026,10,5))/7))</f>
        <v/>
      </c>
      <c r="E247" s="41" t="n"/>
      <c r="F247" s="41" t="n"/>
      <c r="G247" s="34" t="n"/>
      <c r="H247" s="75" t="n"/>
      <c r="I247" s="75" t="n"/>
      <c r="J247" s="44" t="n"/>
      <c r="K247" s="26">
        <f>IF(OR($H247="",$I247=""),"",MAX(0,ROUND(($I247-$H247)*1440,0)-N($J247)))</f>
        <v/>
      </c>
      <c r="L247" s="41" t="n"/>
      <c r="M247" s="34" t="n"/>
    </row>
    <row r="248">
      <c r="A248" s="132" t="n"/>
      <c r="B248" s="34" t="n"/>
      <c r="C248" s="41" t="n"/>
      <c r="D248" s="26">
        <f>IF($A248="","",3+INT(($A248-DATE(2026,10,5))/7))</f>
        <v/>
      </c>
      <c r="E248" s="41" t="n"/>
      <c r="F248" s="41" t="n"/>
      <c r="G248" s="34" t="n"/>
      <c r="H248" s="75" t="n"/>
      <c r="I248" s="75" t="n"/>
      <c r="J248" s="44" t="n"/>
      <c r="K248" s="26">
        <f>IF(OR($H248="",$I248=""),"",MAX(0,ROUND(($I248-$H248)*1440,0)-N($J248)))</f>
        <v/>
      </c>
      <c r="L248" s="41" t="n"/>
      <c r="M248" s="34" t="n"/>
    </row>
    <row r="249">
      <c r="A249" s="132" t="n"/>
      <c r="B249" s="34" t="n"/>
      <c r="C249" s="41" t="n"/>
      <c r="D249" s="26">
        <f>IF($A249="","",3+INT(($A249-DATE(2026,10,5))/7))</f>
        <v/>
      </c>
      <c r="E249" s="41" t="n"/>
      <c r="F249" s="41" t="n"/>
      <c r="G249" s="34" t="n"/>
      <c r="H249" s="75" t="n"/>
      <c r="I249" s="75" t="n"/>
      <c r="J249" s="44" t="n"/>
      <c r="K249" s="26">
        <f>IF(OR($H249="",$I249=""),"",MAX(0,ROUND(($I249-$H249)*1440,0)-N($J249)))</f>
        <v/>
      </c>
      <c r="L249" s="41" t="n"/>
      <c r="M249" s="34" t="n"/>
    </row>
    <row r="250">
      <c r="A250" s="132" t="n"/>
      <c r="B250" s="34" t="n"/>
      <c r="C250" s="41" t="n"/>
      <c r="D250" s="26">
        <f>IF($A250="","",3+INT(($A250-DATE(2026,10,5))/7))</f>
        <v/>
      </c>
      <c r="E250" s="41" t="n"/>
      <c r="F250" s="41" t="n"/>
      <c r="G250" s="34" t="n"/>
      <c r="H250" s="75" t="n"/>
      <c r="I250" s="75" t="n"/>
      <c r="J250" s="44" t="n"/>
      <c r="K250" s="26">
        <f>IF(OR($H250="",$I250=""),"",MAX(0,ROUND(($I250-$H250)*1440,0)-N($J250)))</f>
        <v/>
      </c>
      <c r="L250" s="41" t="n"/>
      <c r="M250" s="34" t="n"/>
    </row>
    <row r="251">
      <c r="A251" s="132" t="n"/>
      <c r="B251" s="34" t="n"/>
      <c r="C251" s="41" t="n"/>
      <c r="D251" s="26">
        <f>IF($A251="","",3+INT(($A251-DATE(2026,10,5))/7))</f>
        <v/>
      </c>
      <c r="E251" s="41" t="n"/>
      <c r="F251" s="41" t="n"/>
      <c r="G251" s="34" t="n"/>
      <c r="H251" s="75" t="n"/>
      <c r="I251" s="75" t="n"/>
      <c r="J251" s="44" t="n"/>
      <c r="K251" s="26">
        <f>IF(OR($H251="",$I251=""),"",MAX(0,ROUND(($I251-$H251)*1440,0)-N($J251)))</f>
        <v/>
      </c>
      <c r="L251" s="41" t="n"/>
      <c r="M251" s="34" t="n"/>
    </row>
    <row r="252">
      <c r="A252" s="132" t="n"/>
      <c r="B252" s="34" t="n"/>
      <c r="C252" s="41" t="n"/>
      <c r="D252" s="26">
        <f>IF($A252="","",3+INT(($A252-DATE(2026,10,5))/7))</f>
        <v/>
      </c>
      <c r="E252" s="41" t="n"/>
      <c r="F252" s="41" t="n"/>
      <c r="G252" s="34" t="n"/>
      <c r="H252" s="75" t="n"/>
      <c r="I252" s="75" t="n"/>
      <c r="J252" s="44" t="n"/>
      <c r="K252" s="26">
        <f>IF(OR($H252="",$I252=""),"",MAX(0,ROUND(($I252-$H252)*1440,0)-N($J252)))</f>
        <v/>
      </c>
      <c r="L252" s="41" t="n"/>
      <c r="M252" s="34" t="n"/>
    </row>
    <row r="253">
      <c r="A253" s="132" t="n"/>
      <c r="B253" s="34" t="n"/>
      <c r="C253" s="41" t="n"/>
      <c r="D253" s="26">
        <f>IF($A253="","",3+INT(($A253-DATE(2026,10,5))/7))</f>
        <v/>
      </c>
      <c r="E253" s="41" t="n"/>
      <c r="F253" s="41" t="n"/>
      <c r="G253" s="34" t="n"/>
      <c r="H253" s="75" t="n"/>
      <c r="I253" s="75" t="n"/>
      <c r="J253" s="44" t="n"/>
      <c r="K253" s="26">
        <f>IF(OR($H253="",$I253=""),"",MAX(0,ROUND(($I253-$H253)*1440,0)-N($J253)))</f>
        <v/>
      </c>
      <c r="L253" s="41" t="n"/>
      <c r="M253" s="34" t="n"/>
    </row>
    <row r="254">
      <c r="A254" s="132" t="n"/>
      <c r="B254" s="34" t="n"/>
      <c r="C254" s="41" t="n"/>
      <c r="D254" s="26">
        <f>IF($A254="","",3+INT(($A254-DATE(2026,10,5))/7))</f>
        <v/>
      </c>
      <c r="E254" s="41" t="n"/>
      <c r="F254" s="41" t="n"/>
      <c r="G254" s="34" t="n"/>
      <c r="H254" s="75" t="n"/>
      <c r="I254" s="75" t="n"/>
      <c r="J254" s="44" t="n"/>
      <c r="K254" s="26">
        <f>IF(OR($H254="",$I254=""),"",MAX(0,ROUND(($I254-$H254)*1440,0)-N($J254)))</f>
        <v/>
      </c>
      <c r="L254" s="41" t="n"/>
      <c r="M254" s="34" t="n"/>
    </row>
    <row r="255">
      <c r="A255" s="132" t="n"/>
      <c r="B255" s="34" t="n"/>
      <c r="C255" s="41" t="n"/>
      <c r="D255" s="26">
        <f>IF($A255="","",3+INT(($A255-DATE(2026,10,5))/7))</f>
        <v/>
      </c>
      <c r="E255" s="41" t="n"/>
      <c r="F255" s="41" t="n"/>
      <c r="G255" s="34" t="n"/>
      <c r="H255" s="75" t="n"/>
      <c r="I255" s="75" t="n"/>
      <c r="J255" s="44" t="n"/>
      <c r="K255" s="26">
        <f>IF(OR($H255="",$I255=""),"",MAX(0,ROUND(($I255-$H255)*1440,0)-N($J255)))</f>
        <v/>
      </c>
      <c r="L255" s="41" t="n"/>
      <c r="M255" s="34" t="n"/>
    </row>
    <row r="256">
      <c r="A256" s="132" t="n"/>
      <c r="B256" s="34" t="n"/>
      <c r="C256" s="41" t="n"/>
      <c r="D256" s="26">
        <f>IF($A256="","",3+INT(($A256-DATE(2026,10,5))/7))</f>
        <v/>
      </c>
      <c r="E256" s="41" t="n"/>
      <c r="F256" s="41" t="n"/>
      <c r="G256" s="34" t="n"/>
      <c r="H256" s="75" t="n"/>
      <c r="I256" s="75" t="n"/>
      <c r="J256" s="44" t="n"/>
      <c r="K256" s="26">
        <f>IF(OR($H256="",$I256=""),"",MAX(0,ROUND(($I256-$H256)*1440,0)-N($J256)))</f>
        <v/>
      </c>
      <c r="L256" s="41" t="n"/>
      <c r="M256" s="34" t="n"/>
    </row>
    <row r="257">
      <c r="A257" s="132" t="n"/>
      <c r="B257" s="34" t="n"/>
      <c r="C257" s="41" t="n"/>
      <c r="D257" s="26">
        <f>IF($A257="","",3+INT(($A257-DATE(2026,10,5))/7))</f>
        <v/>
      </c>
      <c r="E257" s="41" t="n"/>
      <c r="F257" s="41" t="n"/>
      <c r="G257" s="34" t="n"/>
      <c r="H257" s="75" t="n"/>
      <c r="I257" s="75" t="n"/>
      <c r="J257" s="44" t="n"/>
      <c r="K257" s="26">
        <f>IF(OR($H257="",$I257=""),"",MAX(0,ROUND(($I257-$H257)*1440,0)-N($J257)))</f>
        <v/>
      </c>
      <c r="L257" s="41" t="n"/>
      <c r="M257" s="34" t="n"/>
    </row>
    <row r="258">
      <c r="A258" s="132" t="n"/>
      <c r="B258" s="34" t="n"/>
      <c r="C258" s="41" t="n"/>
      <c r="D258" s="26">
        <f>IF($A258="","",3+INT(($A258-DATE(2026,10,5))/7))</f>
        <v/>
      </c>
      <c r="E258" s="41" t="n"/>
      <c r="F258" s="41" t="n"/>
      <c r="G258" s="34" t="n"/>
      <c r="H258" s="75" t="n"/>
      <c r="I258" s="75" t="n"/>
      <c r="J258" s="44" t="n"/>
      <c r="K258" s="26">
        <f>IF(OR($H258="",$I258=""),"",MAX(0,ROUND(($I258-$H258)*1440,0)-N($J258)))</f>
        <v/>
      </c>
      <c r="L258" s="41" t="n"/>
      <c r="M258" s="34" t="n"/>
    </row>
    <row r="259">
      <c r="A259" s="132" t="n"/>
      <c r="B259" s="34" t="n"/>
      <c r="C259" s="41" t="n"/>
      <c r="D259" s="26">
        <f>IF($A259="","",3+INT(($A259-DATE(2026,10,5))/7))</f>
        <v/>
      </c>
      <c r="E259" s="41" t="n"/>
      <c r="F259" s="41" t="n"/>
      <c r="G259" s="34" t="n"/>
      <c r="H259" s="75" t="n"/>
      <c r="I259" s="75" t="n"/>
      <c r="J259" s="44" t="n"/>
      <c r="K259" s="26">
        <f>IF(OR($H259="",$I259=""),"",MAX(0,ROUND(($I259-$H259)*1440,0)-N($J259)))</f>
        <v/>
      </c>
      <c r="L259" s="41" t="n"/>
      <c r="M259" s="34" t="n"/>
    </row>
    <row r="260">
      <c r="A260" s="132" t="n"/>
      <c r="B260" s="34" t="n"/>
      <c r="C260" s="41" t="n"/>
      <c r="D260" s="26">
        <f>IF($A260="","",3+INT(($A260-DATE(2026,10,5))/7))</f>
        <v/>
      </c>
      <c r="E260" s="41" t="n"/>
      <c r="F260" s="41" t="n"/>
      <c r="G260" s="34" t="n"/>
      <c r="H260" s="75" t="n"/>
      <c r="I260" s="75" t="n"/>
      <c r="J260" s="44" t="n"/>
      <c r="K260" s="26">
        <f>IF(OR($H260="",$I260=""),"",MAX(0,ROUND(($I260-$H260)*1440,0)-N($J260)))</f>
        <v/>
      </c>
      <c r="L260" s="41" t="n"/>
      <c r="M260" s="34" t="n"/>
    </row>
    <row r="261">
      <c r="A261" s="132" t="n"/>
      <c r="B261" s="34" t="n"/>
      <c r="C261" s="41" t="n"/>
      <c r="D261" s="26">
        <f>IF($A261="","",3+INT(($A261-DATE(2026,10,5))/7))</f>
        <v/>
      </c>
      <c r="E261" s="41" t="n"/>
      <c r="F261" s="41" t="n"/>
      <c r="G261" s="34" t="n"/>
      <c r="H261" s="75" t="n"/>
      <c r="I261" s="75" t="n"/>
      <c r="J261" s="44" t="n"/>
      <c r="K261" s="26">
        <f>IF(OR($H261="",$I261=""),"",MAX(0,ROUND(($I261-$H261)*1440,0)-N($J261)))</f>
        <v/>
      </c>
      <c r="L261" s="41" t="n"/>
      <c r="M261" s="34" t="n"/>
    </row>
    <row r="262">
      <c r="A262" s="132" t="n"/>
      <c r="B262" s="34" t="n"/>
      <c r="C262" s="41" t="n"/>
      <c r="D262" s="26">
        <f>IF($A262="","",3+INT(($A262-DATE(2026,10,5))/7))</f>
        <v/>
      </c>
      <c r="E262" s="41" t="n"/>
      <c r="F262" s="41" t="n"/>
      <c r="G262" s="34" t="n"/>
      <c r="H262" s="75" t="n"/>
      <c r="I262" s="75" t="n"/>
      <c r="J262" s="44" t="n"/>
      <c r="K262" s="26">
        <f>IF(OR($H262="",$I262=""),"",MAX(0,ROUND(($I262-$H262)*1440,0)-N($J262)))</f>
        <v/>
      </c>
      <c r="L262" s="41" t="n"/>
      <c r="M262" s="34" t="n"/>
    </row>
    <row r="263">
      <c r="A263" s="132" t="n"/>
      <c r="B263" s="34" t="n"/>
      <c r="C263" s="41" t="n"/>
      <c r="D263" s="26">
        <f>IF($A263="","",3+INT(($A263-DATE(2026,10,5))/7))</f>
        <v/>
      </c>
      <c r="E263" s="41" t="n"/>
      <c r="F263" s="41" t="n"/>
      <c r="G263" s="34" t="n"/>
      <c r="H263" s="75" t="n"/>
      <c r="I263" s="75" t="n"/>
      <c r="J263" s="44" t="n"/>
      <c r="K263" s="26">
        <f>IF(OR($H263="",$I263=""),"",MAX(0,ROUND(($I263-$H263)*1440,0)-N($J263)))</f>
        <v/>
      </c>
      <c r="L263" s="41" t="n"/>
      <c r="M263" s="34" t="n"/>
    </row>
    <row r="264">
      <c r="A264" s="132" t="n"/>
      <c r="B264" s="34" t="n"/>
      <c r="C264" s="41" t="n"/>
      <c r="D264" s="26">
        <f>IF($A264="","",3+INT(($A264-DATE(2026,10,5))/7))</f>
        <v/>
      </c>
      <c r="E264" s="41" t="n"/>
      <c r="F264" s="41" t="n"/>
      <c r="G264" s="34" t="n"/>
      <c r="H264" s="75" t="n"/>
      <c r="I264" s="75" t="n"/>
      <c r="J264" s="44" t="n"/>
      <c r="K264" s="26">
        <f>IF(OR($H264="",$I264=""),"",MAX(0,ROUND(($I264-$H264)*1440,0)-N($J264)))</f>
        <v/>
      </c>
      <c r="L264" s="41" t="n"/>
      <c r="M264" s="34" t="n"/>
    </row>
    <row r="265">
      <c r="A265" s="132" t="n"/>
      <c r="B265" s="34" t="n"/>
      <c r="C265" s="41" t="n"/>
      <c r="D265" s="26">
        <f>IF($A265="","",3+INT(($A265-DATE(2026,10,5))/7))</f>
        <v/>
      </c>
      <c r="E265" s="41" t="n"/>
      <c r="F265" s="41" t="n"/>
      <c r="G265" s="34" t="n"/>
      <c r="H265" s="75" t="n"/>
      <c r="I265" s="75" t="n"/>
      <c r="J265" s="44" t="n"/>
      <c r="K265" s="26">
        <f>IF(OR($H265="",$I265=""),"",MAX(0,ROUND(($I265-$H265)*1440,0)-N($J265)))</f>
        <v/>
      </c>
      <c r="L265" s="41" t="n"/>
      <c r="M265" s="34" t="n"/>
    </row>
    <row r="266">
      <c r="A266" s="132" t="n"/>
      <c r="B266" s="34" t="n"/>
      <c r="C266" s="41" t="n"/>
      <c r="D266" s="26">
        <f>IF($A266="","",3+INT(($A266-DATE(2026,10,5))/7))</f>
        <v/>
      </c>
      <c r="E266" s="41" t="n"/>
      <c r="F266" s="41" t="n"/>
      <c r="G266" s="34" t="n"/>
      <c r="H266" s="75" t="n"/>
      <c r="I266" s="75" t="n"/>
      <c r="J266" s="44" t="n"/>
      <c r="K266" s="26">
        <f>IF(OR($H266="",$I266=""),"",MAX(0,ROUND(($I266-$H266)*1440,0)-N($J266)))</f>
        <v/>
      </c>
      <c r="L266" s="41" t="n"/>
      <c r="M266" s="34" t="n"/>
    </row>
    <row r="267">
      <c r="A267" s="132" t="n"/>
      <c r="B267" s="34" t="n"/>
      <c r="C267" s="41" t="n"/>
      <c r="D267" s="26">
        <f>IF($A267="","",3+INT(($A267-DATE(2026,10,5))/7))</f>
        <v/>
      </c>
      <c r="E267" s="41" t="n"/>
      <c r="F267" s="41" t="n"/>
      <c r="G267" s="34" t="n"/>
      <c r="H267" s="75" t="n"/>
      <c r="I267" s="75" t="n"/>
      <c r="J267" s="44" t="n"/>
      <c r="K267" s="26">
        <f>IF(OR($H267="",$I267=""),"",MAX(0,ROUND(($I267-$H267)*1440,0)-N($J267)))</f>
        <v/>
      </c>
      <c r="L267" s="41" t="n"/>
      <c r="M267" s="34" t="n"/>
    </row>
    <row r="268">
      <c r="A268" s="132" t="n"/>
      <c r="B268" s="34" t="n"/>
      <c r="C268" s="41" t="n"/>
      <c r="D268" s="26">
        <f>IF($A268="","",3+INT(($A268-DATE(2026,10,5))/7))</f>
        <v/>
      </c>
      <c r="E268" s="41" t="n"/>
      <c r="F268" s="41" t="n"/>
      <c r="G268" s="34" t="n"/>
      <c r="H268" s="75" t="n"/>
      <c r="I268" s="75" t="n"/>
      <c r="J268" s="44" t="n"/>
      <c r="K268" s="26">
        <f>IF(OR($H268="",$I268=""),"",MAX(0,ROUND(($I268-$H268)*1440,0)-N($J268)))</f>
        <v/>
      </c>
      <c r="L268" s="41" t="n"/>
      <c r="M268" s="34" t="n"/>
    </row>
    <row r="269">
      <c r="A269" s="132" t="n"/>
      <c r="B269" s="34" t="n"/>
      <c r="C269" s="41" t="n"/>
      <c r="D269" s="26">
        <f>IF($A269="","",3+INT(($A269-DATE(2026,10,5))/7))</f>
        <v/>
      </c>
      <c r="E269" s="41" t="n"/>
      <c r="F269" s="41" t="n"/>
      <c r="G269" s="34" t="n"/>
      <c r="H269" s="75" t="n"/>
      <c r="I269" s="75" t="n"/>
      <c r="J269" s="44" t="n"/>
      <c r="K269" s="26">
        <f>IF(OR($H269="",$I269=""),"",MAX(0,ROUND(($I269-$H269)*1440,0)-N($J269)))</f>
        <v/>
      </c>
      <c r="L269" s="41" t="n"/>
      <c r="M269" s="34" t="n"/>
    </row>
    <row r="270">
      <c r="A270" s="132" t="n"/>
      <c r="B270" s="34" t="n"/>
      <c r="C270" s="41" t="n"/>
      <c r="D270" s="26">
        <f>IF($A270="","",3+INT(($A270-DATE(2026,10,5))/7))</f>
        <v/>
      </c>
      <c r="E270" s="41" t="n"/>
      <c r="F270" s="41" t="n"/>
      <c r="G270" s="34" t="n"/>
      <c r="H270" s="75" t="n"/>
      <c r="I270" s="75" t="n"/>
      <c r="J270" s="44" t="n"/>
      <c r="K270" s="26">
        <f>IF(OR($H270="",$I270=""),"",MAX(0,ROUND(($I270-$H270)*1440,0)-N($J270)))</f>
        <v/>
      </c>
      <c r="L270" s="41" t="n"/>
      <c r="M270" s="34" t="n"/>
    </row>
    <row r="271">
      <c r="A271" s="132" t="n"/>
      <c r="B271" s="34" t="n"/>
      <c r="C271" s="41" t="n"/>
      <c r="D271" s="26">
        <f>IF($A271="","",3+INT(($A271-DATE(2026,10,5))/7))</f>
        <v/>
      </c>
      <c r="E271" s="41" t="n"/>
      <c r="F271" s="41" t="n"/>
      <c r="G271" s="34" t="n"/>
      <c r="H271" s="75" t="n"/>
      <c r="I271" s="75" t="n"/>
      <c r="J271" s="44" t="n"/>
      <c r="K271" s="26">
        <f>IF(OR($H271="",$I271=""),"",MAX(0,ROUND(($I271-$H271)*1440,0)-N($J271)))</f>
        <v/>
      </c>
      <c r="L271" s="41" t="n"/>
      <c r="M271" s="34" t="n"/>
    </row>
    <row r="272">
      <c r="A272" s="132" t="n"/>
      <c r="B272" s="34" t="n"/>
      <c r="C272" s="41" t="n"/>
      <c r="D272" s="26">
        <f>IF($A272="","",3+INT(($A272-DATE(2026,10,5))/7))</f>
        <v/>
      </c>
      <c r="E272" s="41" t="n"/>
      <c r="F272" s="41" t="n"/>
      <c r="G272" s="34" t="n"/>
      <c r="H272" s="75" t="n"/>
      <c r="I272" s="75" t="n"/>
      <c r="J272" s="44" t="n"/>
      <c r="K272" s="26">
        <f>IF(OR($H272="",$I272=""),"",MAX(0,ROUND(($I272-$H272)*1440,0)-N($J272)))</f>
        <v/>
      </c>
      <c r="L272" s="41" t="n"/>
      <c r="M272" s="34" t="n"/>
    </row>
    <row r="273">
      <c r="A273" s="132" t="n"/>
      <c r="B273" s="34" t="n"/>
      <c r="C273" s="41" t="n"/>
      <c r="D273" s="26">
        <f>IF($A273="","",3+INT(($A273-DATE(2026,10,5))/7))</f>
        <v/>
      </c>
      <c r="E273" s="41" t="n"/>
      <c r="F273" s="41" t="n"/>
      <c r="G273" s="34" t="n"/>
      <c r="H273" s="75" t="n"/>
      <c r="I273" s="75" t="n"/>
      <c r="J273" s="44" t="n"/>
      <c r="K273" s="26">
        <f>IF(OR($H273="",$I273=""),"",MAX(0,ROUND(($I273-$H273)*1440,0)-N($J273)))</f>
        <v/>
      </c>
      <c r="L273" s="41" t="n"/>
      <c r="M273" s="34" t="n"/>
    </row>
    <row r="274">
      <c r="A274" s="132" t="n"/>
      <c r="B274" s="34" t="n"/>
      <c r="C274" s="41" t="n"/>
      <c r="D274" s="26">
        <f>IF($A274="","",3+INT(($A274-DATE(2026,10,5))/7))</f>
        <v/>
      </c>
      <c r="E274" s="41" t="n"/>
      <c r="F274" s="41" t="n"/>
      <c r="G274" s="34" t="n"/>
      <c r="H274" s="75" t="n"/>
      <c r="I274" s="75" t="n"/>
      <c r="J274" s="44" t="n"/>
      <c r="K274" s="26">
        <f>IF(OR($H274="",$I274=""),"",MAX(0,ROUND(($I274-$H274)*1440,0)-N($J274)))</f>
        <v/>
      </c>
      <c r="L274" s="41" t="n"/>
      <c r="M274" s="34" t="n"/>
    </row>
    <row r="275">
      <c r="A275" s="132" t="n"/>
      <c r="B275" s="34" t="n"/>
      <c r="C275" s="41" t="n"/>
      <c r="D275" s="26">
        <f>IF($A275="","",3+INT(($A275-DATE(2026,10,5))/7))</f>
        <v/>
      </c>
      <c r="E275" s="41" t="n"/>
      <c r="F275" s="41" t="n"/>
      <c r="G275" s="34" t="n"/>
      <c r="H275" s="75" t="n"/>
      <c r="I275" s="75" t="n"/>
      <c r="J275" s="44" t="n"/>
      <c r="K275" s="26">
        <f>IF(OR($H275="",$I275=""),"",MAX(0,ROUND(($I275-$H275)*1440,0)-N($J275)))</f>
        <v/>
      </c>
      <c r="L275" s="41" t="n"/>
      <c r="M275" s="34" t="n"/>
    </row>
    <row r="276">
      <c r="A276" s="132" t="n"/>
      <c r="B276" s="34" t="n"/>
      <c r="C276" s="41" t="n"/>
      <c r="D276" s="26">
        <f>IF($A276="","",3+INT(($A276-DATE(2026,10,5))/7))</f>
        <v/>
      </c>
      <c r="E276" s="41" t="n"/>
      <c r="F276" s="41" t="n"/>
      <c r="G276" s="34" t="n"/>
      <c r="H276" s="75" t="n"/>
      <c r="I276" s="75" t="n"/>
      <c r="J276" s="44" t="n"/>
      <c r="K276" s="26">
        <f>IF(OR($H276="",$I276=""),"",MAX(0,ROUND(($I276-$H276)*1440,0)-N($J276)))</f>
        <v/>
      </c>
      <c r="L276" s="41" t="n"/>
      <c r="M276" s="34" t="n"/>
    </row>
    <row r="277">
      <c r="A277" s="132" t="n"/>
      <c r="B277" s="34" t="n"/>
      <c r="C277" s="41" t="n"/>
      <c r="D277" s="26">
        <f>IF($A277="","",3+INT(($A277-DATE(2026,10,5))/7))</f>
        <v/>
      </c>
      <c r="E277" s="41" t="n"/>
      <c r="F277" s="41" t="n"/>
      <c r="G277" s="34" t="n"/>
      <c r="H277" s="75" t="n"/>
      <c r="I277" s="75" t="n"/>
      <c r="J277" s="44" t="n"/>
      <c r="K277" s="26">
        <f>IF(OR($H277="",$I277=""),"",MAX(0,ROUND(($I277-$H277)*1440,0)-N($J277)))</f>
        <v/>
      </c>
      <c r="L277" s="41" t="n"/>
      <c r="M277" s="34" t="n"/>
    </row>
    <row r="278">
      <c r="A278" s="132" t="n"/>
      <c r="B278" s="34" t="n"/>
      <c r="C278" s="41" t="n"/>
      <c r="D278" s="26">
        <f>IF($A278="","",3+INT(($A278-DATE(2026,10,5))/7))</f>
        <v/>
      </c>
      <c r="E278" s="41" t="n"/>
      <c r="F278" s="41" t="n"/>
      <c r="G278" s="34" t="n"/>
      <c r="H278" s="75" t="n"/>
      <c r="I278" s="75" t="n"/>
      <c r="J278" s="44" t="n"/>
      <c r="K278" s="26">
        <f>IF(OR($H278="",$I278=""),"",MAX(0,ROUND(($I278-$H278)*1440,0)-N($J278)))</f>
        <v/>
      </c>
      <c r="L278" s="41" t="n"/>
      <c r="M278" s="34" t="n"/>
    </row>
    <row r="279">
      <c r="A279" s="132" t="n"/>
      <c r="B279" s="34" t="n"/>
      <c r="C279" s="41" t="n"/>
      <c r="D279" s="26">
        <f>IF($A279="","",3+INT(($A279-DATE(2026,10,5))/7))</f>
        <v/>
      </c>
      <c r="E279" s="41" t="n"/>
      <c r="F279" s="41" t="n"/>
      <c r="G279" s="34" t="n"/>
      <c r="H279" s="75" t="n"/>
      <c r="I279" s="75" t="n"/>
      <c r="J279" s="44" t="n"/>
      <c r="K279" s="26">
        <f>IF(OR($H279="",$I279=""),"",MAX(0,ROUND(($I279-$H279)*1440,0)-N($J279)))</f>
        <v/>
      </c>
      <c r="L279" s="41" t="n"/>
      <c r="M279" s="34" t="n"/>
    </row>
    <row r="280">
      <c r="A280" s="132" t="n"/>
      <c r="B280" s="34" t="n"/>
      <c r="C280" s="41" t="n"/>
      <c r="D280" s="26">
        <f>IF($A280="","",3+INT(($A280-DATE(2026,10,5))/7))</f>
        <v/>
      </c>
      <c r="E280" s="41" t="n"/>
      <c r="F280" s="41" t="n"/>
      <c r="G280" s="34" t="n"/>
      <c r="H280" s="75" t="n"/>
      <c r="I280" s="75" t="n"/>
      <c r="J280" s="44" t="n"/>
      <c r="K280" s="26">
        <f>IF(OR($H280="",$I280=""),"",MAX(0,ROUND(($I280-$H280)*1440,0)-N($J280)))</f>
        <v/>
      </c>
      <c r="L280" s="41" t="n"/>
      <c r="M280" s="34" t="n"/>
    </row>
    <row r="281">
      <c r="A281" s="132" t="n"/>
      <c r="B281" s="34" t="n"/>
      <c r="C281" s="41" t="n"/>
      <c r="D281" s="26">
        <f>IF($A281="","",3+INT(($A281-DATE(2026,10,5))/7))</f>
        <v/>
      </c>
      <c r="E281" s="41" t="n"/>
      <c r="F281" s="41" t="n"/>
      <c r="G281" s="34" t="n"/>
      <c r="H281" s="75" t="n"/>
      <c r="I281" s="75" t="n"/>
      <c r="J281" s="44" t="n"/>
      <c r="K281" s="26">
        <f>IF(OR($H281="",$I281=""),"",MAX(0,ROUND(($I281-$H281)*1440,0)-N($J281)))</f>
        <v/>
      </c>
      <c r="L281" s="41" t="n"/>
      <c r="M281" s="34" t="n"/>
    </row>
    <row r="282">
      <c r="A282" s="132" t="n"/>
      <c r="B282" s="34" t="n"/>
      <c r="C282" s="41" t="n"/>
      <c r="D282" s="26">
        <f>IF($A282="","",3+INT(($A282-DATE(2026,10,5))/7))</f>
        <v/>
      </c>
      <c r="E282" s="41" t="n"/>
      <c r="F282" s="41" t="n"/>
      <c r="G282" s="34" t="n"/>
      <c r="H282" s="75" t="n"/>
      <c r="I282" s="75" t="n"/>
      <c r="J282" s="44" t="n"/>
      <c r="K282" s="26">
        <f>IF(OR($H282="",$I282=""),"",MAX(0,ROUND(($I282-$H282)*1440,0)-N($J282)))</f>
        <v/>
      </c>
      <c r="L282" s="41" t="n"/>
      <c r="M282" s="34" t="n"/>
    </row>
    <row r="283">
      <c r="A283" s="132" t="n"/>
      <c r="B283" s="34" t="n"/>
      <c r="C283" s="41" t="n"/>
      <c r="D283" s="26">
        <f>IF($A283="","",3+INT(($A283-DATE(2026,10,5))/7))</f>
        <v/>
      </c>
      <c r="E283" s="41" t="n"/>
      <c r="F283" s="41" t="n"/>
      <c r="G283" s="34" t="n"/>
      <c r="H283" s="75" t="n"/>
      <c r="I283" s="75" t="n"/>
      <c r="J283" s="44" t="n"/>
      <c r="K283" s="26">
        <f>IF(OR($H283="",$I283=""),"",MAX(0,ROUND(($I283-$H283)*1440,0)-N($J283)))</f>
        <v/>
      </c>
      <c r="L283" s="41" t="n"/>
      <c r="M283" s="34" t="n"/>
    </row>
    <row r="284">
      <c r="A284" s="132" t="n"/>
      <c r="B284" s="34" t="n"/>
      <c r="C284" s="41" t="n"/>
      <c r="D284" s="26">
        <f>IF($A284="","",3+INT(($A284-DATE(2026,10,5))/7))</f>
        <v/>
      </c>
      <c r="E284" s="41" t="n"/>
      <c r="F284" s="41" t="n"/>
      <c r="G284" s="34" t="n"/>
      <c r="H284" s="75" t="n"/>
      <c r="I284" s="75" t="n"/>
      <c r="J284" s="44" t="n"/>
      <c r="K284" s="26">
        <f>IF(OR($H284="",$I284=""),"",MAX(0,ROUND(($I284-$H284)*1440,0)-N($J284)))</f>
        <v/>
      </c>
      <c r="L284" s="41" t="n"/>
      <c r="M284" s="34" t="n"/>
    </row>
    <row r="285">
      <c r="A285" s="132" t="n"/>
      <c r="B285" s="34" t="n"/>
      <c r="C285" s="41" t="n"/>
      <c r="D285" s="26">
        <f>IF($A285="","",3+INT(($A285-DATE(2026,10,5))/7))</f>
        <v/>
      </c>
      <c r="E285" s="41" t="n"/>
      <c r="F285" s="41" t="n"/>
      <c r="G285" s="34" t="n"/>
      <c r="H285" s="75" t="n"/>
      <c r="I285" s="75" t="n"/>
      <c r="J285" s="44" t="n"/>
      <c r="K285" s="26">
        <f>IF(OR($H285="",$I285=""),"",MAX(0,ROUND(($I285-$H285)*1440,0)-N($J285)))</f>
        <v/>
      </c>
      <c r="L285" s="41" t="n"/>
      <c r="M285" s="34" t="n"/>
    </row>
    <row r="286">
      <c r="A286" s="132" t="n"/>
      <c r="B286" s="34" t="n"/>
      <c r="C286" s="41" t="n"/>
      <c r="D286" s="26">
        <f>IF($A286="","",3+INT(($A286-DATE(2026,10,5))/7))</f>
        <v/>
      </c>
      <c r="E286" s="41" t="n"/>
      <c r="F286" s="41" t="n"/>
      <c r="G286" s="34" t="n"/>
      <c r="H286" s="75" t="n"/>
      <c r="I286" s="75" t="n"/>
      <c r="J286" s="44" t="n"/>
      <c r="K286" s="26">
        <f>IF(OR($H286="",$I286=""),"",MAX(0,ROUND(($I286-$H286)*1440,0)-N($J286)))</f>
        <v/>
      </c>
      <c r="L286" s="41" t="n"/>
      <c r="M286" s="34" t="n"/>
    </row>
    <row r="287">
      <c r="A287" s="132" t="n"/>
      <c r="B287" s="34" t="n"/>
      <c r="C287" s="41" t="n"/>
      <c r="D287" s="26">
        <f>IF($A287="","",3+INT(($A287-DATE(2026,10,5))/7))</f>
        <v/>
      </c>
      <c r="E287" s="41" t="n"/>
      <c r="F287" s="41" t="n"/>
      <c r="G287" s="34" t="n"/>
      <c r="H287" s="75" t="n"/>
      <c r="I287" s="75" t="n"/>
      <c r="J287" s="44" t="n"/>
      <c r="K287" s="26">
        <f>IF(OR($H287="",$I287=""),"",MAX(0,ROUND(($I287-$H287)*1440,0)-N($J287)))</f>
        <v/>
      </c>
      <c r="L287" s="41" t="n"/>
      <c r="M287" s="34" t="n"/>
    </row>
    <row r="288">
      <c r="A288" s="132" t="n"/>
      <c r="B288" s="34" t="n"/>
      <c r="C288" s="41" t="n"/>
      <c r="D288" s="26">
        <f>IF($A288="","",3+INT(($A288-DATE(2026,10,5))/7))</f>
        <v/>
      </c>
      <c r="E288" s="41" t="n"/>
      <c r="F288" s="41" t="n"/>
      <c r="G288" s="34" t="n"/>
      <c r="H288" s="75" t="n"/>
      <c r="I288" s="75" t="n"/>
      <c r="J288" s="44" t="n"/>
      <c r="K288" s="26">
        <f>IF(OR($H288="",$I288=""),"",MAX(0,ROUND(($I288-$H288)*1440,0)-N($J288)))</f>
        <v/>
      </c>
      <c r="L288" s="41" t="n"/>
      <c r="M288" s="34" t="n"/>
    </row>
    <row r="289">
      <c r="A289" s="132" t="n"/>
      <c r="B289" s="34" t="n"/>
      <c r="C289" s="41" t="n"/>
      <c r="D289" s="26">
        <f>IF($A289="","",3+INT(($A289-DATE(2026,10,5))/7))</f>
        <v/>
      </c>
      <c r="E289" s="41" t="n"/>
      <c r="F289" s="41" t="n"/>
      <c r="G289" s="34" t="n"/>
      <c r="H289" s="75" t="n"/>
      <c r="I289" s="75" t="n"/>
      <c r="J289" s="44" t="n"/>
      <c r="K289" s="26">
        <f>IF(OR($H289="",$I289=""),"",MAX(0,ROUND(($I289-$H289)*1440,0)-N($J289)))</f>
        <v/>
      </c>
      <c r="L289" s="41" t="n"/>
      <c r="M289" s="34" t="n"/>
    </row>
    <row r="290">
      <c r="A290" s="132" t="n"/>
      <c r="B290" s="34" t="n"/>
      <c r="C290" s="41" t="n"/>
      <c r="D290" s="26">
        <f>IF($A290="","",3+INT(($A290-DATE(2026,10,5))/7))</f>
        <v/>
      </c>
      <c r="E290" s="41" t="n"/>
      <c r="F290" s="41" t="n"/>
      <c r="G290" s="34" t="n"/>
      <c r="H290" s="75" t="n"/>
      <c r="I290" s="75" t="n"/>
      <c r="J290" s="44" t="n"/>
      <c r="K290" s="26">
        <f>IF(OR($H290="",$I290=""),"",MAX(0,ROUND(($I290-$H290)*1440,0)-N($J290)))</f>
        <v/>
      </c>
      <c r="L290" s="41" t="n"/>
      <c r="M290" s="34" t="n"/>
    </row>
    <row r="291">
      <c r="A291" s="132" t="n"/>
      <c r="B291" s="34" t="n"/>
      <c r="C291" s="41" t="n"/>
      <c r="D291" s="26">
        <f>IF($A291="","",3+INT(($A291-DATE(2026,10,5))/7))</f>
        <v/>
      </c>
      <c r="E291" s="41" t="n"/>
      <c r="F291" s="41" t="n"/>
      <c r="G291" s="34" t="n"/>
      <c r="H291" s="75" t="n"/>
      <c r="I291" s="75" t="n"/>
      <c r="J291" s="44" t="n"/>
      <c r="K291" s="26">
        <f>IF(OR($H291="",$I291=""),"",MAX(0,ROUND(($I291-$H291)*1440,0)-N($J291)))</f>
        <v/>
      </c>
      <c r="L291" s="41" t="n"/>
      <c r="M291" s="34" t="n"/>
    </row>
    <row r="292">
      <c r="A292" s="132" t="n"/>
      <c r="B292" s="34" t="n"/>
      <c r="C292" s="41" t="n"/>
      <c r="D292" s="26">
        <f>IF($A292="","",3+INT(($A292-DATE(2026,10,5))/7))</f>
        <v/>
      </c>
      <c r="E292" s="41" t="n"/>
      <c r="F292" s="41" t="n"/>
      <c r="G292" s="34" t="n"/>
      <c r="H292" s="75" t="n"/>
      <c r="I292" s="75" t="n"/>
      <c r="J292" s="44" t="n"/>
      <c r="K292" s="26">
        <f>IF(OR($H292="",$I292=""),"",MAX(0,ROUND(($I292-$H292)*1440,0)-N($J292)))</f>
        <v/>
      </c>
      <c r="L292" s="41" t="n"/>
      <c r="M292" s="34" t="n"/>
    </row>
    <row r="293">
      <c r="A293" s="132" t="n"/>
      <c r="B293" s="34" t="n"/>
      <c r="C293" s="41" t="n"/>
      <c r="D293" s="26">
        <f>IF($A293="","",3+INT(($A293-DATE(2026,10,5))/7))</f>
        <v/>
      </c>
      <c r="E293" s="41" t="n"/>
      <c r="F293" s="41" t="n"/>
      <c r="G293" s="34" t="n"/>
      <c r="H293" s="75" t="n"/>
      <c r="I293" s="75" t="n"/>
      <c r="J293" s="44" t="n"/>
      <c r="K293" s="26">
        <f>IF(OR($H293="",$I293=""),"",MAX(0,ROUND(($I293-$H293)*1440,0)-N($J293)))</f>
        <v/>
      </c>
      <c r="L293" s="41" t="n"/>
      <c r="M293" s="34" t="n"/>
    </row>
    <row r="294">
      <c r="A294" s="132" t="n"/>
      <c r="B294" s="34" t="n"/>
      <c r="C294" s="41" t="n"/>
      <c r="D294" s="26">
        <f>IF($A294="","",3+INT(($A294-DATE(2026,10,5))/7))</f>
        <v/>
      </c>
      <c r="E294" s="41" t="n"/>
      <c r="F294" s="41" t="n"/>
      <c r="G294" s="34" t="n"/>
      <c r="H294" s="75" t="n"/>
      <c r="I294" s="75" t="n"/>
      <c r="J294" s="44" t="n"/>
      <c r="K294" s="26">
        <f>IF(OR($H294="",$I294=""),"",MAX(0,ROUND(($I294-$H294)*1440,0)-N($J294)))</f>
        <v/>
      </c>
      <c r="L294" s="41" t="n"/>
      <c r="M294" s="34" t="n"/>
    </row>
    <row r="295">
      <c r="A295" s="132" t="n"/>
      <c r="B295" s="34" t="n"/>
      <c r="C295" s="41" t="n"/>
      <c r="D295" s="26">
        <f>IF($A295="","",3+INT(($A295-DATE(2026,10,5))/7))</f>
        <v/>
      </c>
      <c r="E295" s="41" t="n"/>
      <c r="F295" s="41" t="n"/>
      <c r="G295" s="34" t="n"/>
      <c r="H295" s="75" t="n"/>
      <c r="I295" s="75" t="n"/>
      <c r="J295" s="44" t="n"/>
      <c r="K295" s="26">
        <f>IF(OR($H295="",$I295=""),"",MAX(0,ROUND(($I295-$H295)*1440,0)-N($J295)))</f>
        <v/>
      </c>
      <c r="L295" s="41" t="n"/>
      <c r="M295" s="34" t="n"/>
    </row>
    <row r="296">
      <c r="A296" s="132" t="n"/>
      <c r="B296" s="34" t="n"/>
      <c r="C296" s="41" t="n"/>
      <c r="D296" s="26">
        <f>IF($A296="","",3+INT(($A296-DATE(2026,10,5))/7))</f>
        <v/>
      </c>
      <c r="E296" s="41" t="n"/>
      <c r="F296" s="41" t="n"/>
      <c r="G296" s="34" t="n"/>
      <c r="H296" s="75" t="n"/>
      <c r="I296" s="75" t="n"/>
      <c r="J296" s="44" t="n"/>
      <c r="K296" s="26">
        <f>IF(OR($H296="",$I296=""),"",MAX(0,ROUND(($I296-$H296)*1440,0)-N($J296)))</f>
        <v/>
      </c>
      <c r="L296" s="41" t="n"/>
      <c r="M296" s="34" t="n"/>
    </row>
    <row r="297">
      <c r="A297" s="132" t="n"/>
      <c r="B297" s="34" t="n"/>
      <c r="C297" s="41" t="n"/>
      <c r="D297" s="26">
        <f>IF($A297="","",3+INT(($A297-DATE(2026,10,5))/7))</f>
        <v/>
      </c>
      <c r="E297" s="41" t="n"/>
      <c r="F297" s="41" t="n"/>
      <c r="G297" s="34" t="n"/>
      <c r="H297" s="75" t="n"/>
      <c r="I297" s="75" t="n"/>
      <c r="J297" s="44" t="n"/>
      <c r="K297" s="26">
        <f>IF(OR($H297="",$I297=""),"",MAX(0,ROUND(($I297-$H297)*1440,0)-N($J297)))</f>
        <v/>
      </c>
      <c r="L297" s="41" t="n"/>
      <c r="M297" s="34" t="n"/>
    </row>
    <row r="298">
      <c r="A298" s="132" t="n"/>
      <c r="B298" s="34" t="n"/>
      <c r="C298" s="41" t="n"/>
      <c r="D298" s="26">
        <f>IF($A298="","",3+INT(($A298-DATE(2026,10,5))/7))</f>
        <v/>
      </c>
      <c r="E298" s="41" t="n"/>
      <c r="F298" s="41" t="n"/>
      <c r="G298" s="34" t="n"/>
      <c r="H298" s="75" t="n"/>
      <c r="I298" s="75" t="n"/>
      <c r="J298" s="44" t="n"/>
      <c r="K298" s="26">
        <f>IF(OR($H298="",$I298=""),"",MAX(0,ROUND(($I298-$H298)*1440,0)-N($J298)))</f>
        <v/>
      </c>
      <c r="L298" s="41" t="n"/>
      <c r="M298" s="34" t="n"/>
    </row>
    <row r="299">
      <c r="A299" s="132" t="n"/>
      <c r="B299" s="34" t="n"/>
      <c r="C299" s="41" t="n"/>
      <c r="D299" s="26">
        <f>IF($A299="","",3+INT(($A299-DATE(2026,10,5))/7))</f>
        <v/>
      </c>
      <c r="E299" s="41" t="n"/>
      <c r="F299" s="41" t="n"/>
      <c r="G299" s="34" t="n"/>
      <c r="H299" s="75" t="n"/>
      <c r="I299" s="75" t="n"/>
      <c r="J299" s="44" t="n"/>
      <c r="K299" s="26">
        <f>IF(OR($H299="",$I299=""),"",MAX(0,ROUND(($I299-$H299)*1440,0)-N($J299)))</f>
        <v/>
      </c>
      <c r="L299" s="41" t="n"/>
      <c r="M299" s="34" t="n"/>
    </row>
    <row r="300">
      <c r="A300" s="132" t="n"/>
      <c r="B300" s="34" t="n"/>
      <c r="C300" s="41" t="n"/>
      <c r="D300" s="26">
        <f>IF($A300="","",3+INT(($A300-DATE(2026,10,5))/7))</f>
        <v/>
      </c>
      <c r="E300" s="41" t="n"/>
      <c r="F300" s="41" t="n"/>
      <c r="G300" s="34" t="n"/>
      <c r="H300" s="75" t="n"/>
      <c r="I300" s="75" t="n"/>
      <c r="J300" s="44" t="n"/>
      <c r="K300" s="26">
        <f>IF(OR($H300="",$I300=""),"",MAX(0,ROUND(($I300-$H300)*1440,0)-N($J300)))</f>
        <v/>
      </c>
      <c r="L300" s="41" t="n"/>
      <c r="M300" s="34" t="n"/>
    </row>
    <row r="301">
      <c r="A301" s="132" t="n"/>
      <c r="B301" s="34" t="n"/>
      <c r="C301" s="41" t="n"/>
      <c r="D301" s="26">
        <f>IF($A301="","",3+INT(($A301-DATE(2026,10,5))/7))</f>
        <v/>
      </c>
      <c r="E301" s="41" t="n"/>
      <c r="F301" s="41" t="n"/>
      <c r="G301" s="34" t="n"/>
      <c r="H301" s="75" t="n"/>
      <c r="I301" s="75" t="n"/>
      <c r="J301" s="44" t="n"/>
      <c r="K301" s="26">
        <f>IF(OR($H301="",$I301=""),"",MAX(0,ROUND(($I301-$H301)*1440,0)-N($J301)))</f>
        <v/>
      </c>
      <c r="L301" s="41" t="n"/>
      <c r="M301" s="34" t="n"/>
    </row>
    <row r="302">
      <c r="A302" s="132" t="n"/>
      <c r="B302" s="34" t="n"/>
      <c r="C302" s="41" t="n"/>
      <c r="D302" s="26">
        <f>IF($A302="","",3+INT(($A302-DATE(2026,10,5))/7))</f>
        <v/>
      </c>
      <c r="E302" s="41" t="n"/>
      <c r="F302" s="41" t="n"/>
      <c r="G302" s="34" t="n"/>
      <c r="H302" s="75" t="n"/>
      <c r="I302" s="75" t="n"/>
      <c r="J302" s="44" t="n"/>
      <c r="K302" s="26">
        <f>IF(OR($H302="",$I302=""),"",MAX(0,ROUND(($I302-$H302)*1440,0)-N($J302)))</f>
        <v/>
      </c>
      <c r="L302" s="41" t="n"/>
      <c r="M302" s="34" t="n"/>
    </row>
    <row r="303">
      <c r="A303" s="132" t="n"/>
      <c r="B303" s="34" t="n"/>
      <c r="C303" s="41" t="n"/>
      <c r="D303" s="26">
        <f>IF($A303="","",3+INT(($A303-DATE(2026,10,5))/7))</f>
        <v/>
      </c>
      <c r="E303" s="41" t="n"/>
      <c r="F303" s="41" t="n"/>
      <c r="G303" s="34" t="n"/>
      <c r="H303" s="75" t="n"/>
      <c r="I303" s="75" t="n"/>
      <c r="J303" s="44" t="n"/>
      <c r="K303" s="26">
        <f>IF(OR($H303="",$I303=""),"",MAX(0,ROUND(($I303-$H303)*1440,0)-N($J303)))</f>
        <v/>
      </c>
      <c r="L303" s="41" t="n"/>
      <c r="M303" s="34" t="n"/>
    </row>
    <row r="304">
      <c r="A304" s="132" t="n"/>
      <c r="B304" s="34" t="n"/>
      <c r="C304" s="41" t="n"/>
      <c r="D304" s="26">
        <f>IF($A304="","",3+INT(($A304-DATE(2026,10,5))/7))</f>
        <v/>
      </c>
      <c r="E304" s="41" t="n"/>
      <c r="F304" s="41" t="n"/>
      <c r="G304" s="34" t="n"/>
      <c r="H304" s="75" t="n"/>
      <c r="I304" s="75" t="n"/>
      <c r="J304" s="44" t="n"/>
      <c r="K304" s="26">
        <f>IF(OR($H304="",$I304=""),"",MAX(0,ROUND(($I304-$H304)*1440,0)-N($J304)))</f>
        <v/>
      </c>
      <c r="L304" s="41" t="n"/>
      <c r="M304" s="34" t="n"/>
    </row>
    <row r="305">
      <c r="A305" s="132" t="n"/>
      <c r="B305" s="34" t="n"/>
      <c r="C305" s="41" t="n"/>
      <c r="D305" s="26">
        <f>IF($A305="","",3+INT(($A305-DATE(2026,10,5))/7))</f>
        <v/>
      </c>
      <c r="E305" s="41" t="n"/>
      <c r="F305" s="41" t="n"/>
      <c r="G305" s="34" t="n"/>
      <c r="H305" s="75" t="n"/>
      <c r="I305" s="75" t="n"/>
      <c r="J305" s="44" t="n"/>
      <c r="K305" s="26">
        <f>IF(OR($H305="",$I305=""),"",MAX(0,ROUND(($I305-$H305)*1440,0)-N($J305)))</f>
        <v/>
      </c>
      <c r="L305" s="41" t="n"/>
      <c r="M305" s="34" t="n"/>
    </row>
    <row r="306">
      <c r="A306" s="132" t="n"/>
      <c r="B306" s="34" t="n"/>
      <c r="C306" s="41" t="n"/>
      <c r="D306" s="26">
        <f>IF($A306="","",3+INT(($A306-DATE(2026,10,5))/7))</f>
        <v/>
      </c>
      <c r="E306" s="41" t="n"/>
      <c r="F306" s="41" t="n"/>
      <c r="G306" s="34" t="n"/>
      <c r="H306" s="75" t="n"/>
      <c r="I306" s="75" t="n"/>
      <c r="J306" s="44" t="n"/>
      <c r="K306" s="26">
        <f>IF(OR($H306="",$I306=""),"",MAX(0,ROUND(($I306-$H306)*1440,0)-N($J306)))</f>
        <v/>
      </c>
      <c r="L306" s="41" t="n"/>
      <c r="M306" s="34" t="n"/>
    </row>
    <row r="307">
      <c r="A307" s="132" t="n"/>
      <c r="B307" s="34" t="n"/>
      <c r="C307" s="41" t="n"/>
      <c r="D307" s="26">
        <f>IF($A307="","",3+INT(($A307-DATE(2026,10,5))/7))</f>
        <v/>
      </c>
      <c r="E307" s="41" t="n"/>
      <c r="F307" s="41" t="n"/>
      <c r="G307" s="34" t="n"/>
      <c r="H307" s="75" t="n"/>
      <c r="I307" s="75" t="n"/>
      <c r="J307" s="44" t="n"/>
      <c r="K307" s="26">
        <f>IF(OR($H307="",$I307=""),"",MAX(0,ROUND(($I307-$H307)*1440,0)-N($J307)))</f>
        <v/>
      </c>
      <c r="L307" s="41" t="n"/>
      <c r="M307" s="34" t="n"/>
    </row>
    <row r="308">
      <c r="A308" s="132" t="n"/>
      <c r="B308" s="34" t="n"/>
      <c r="C308" s="41" t="n"/>
      <c r="D308" s="26">
        <f>IF($A308="","",3+INT(($A308-DATE(2026,10,5))/7))</f>
        <v/>
      </c>
      <c r="E308" s="41" t="n"/>
      <c r="F308" s="41" t="n"/>
      <c r="G308" s="34" t="n"/>
      <c r="H308" s="75" t="n"/>
      <c r="I308" s="75" t="n"/>
      <c r="J308" s="44" t="n"/>
      <c r="K308" s="26">
        <f>IF(OR($H308="",$I308=""),"",MAX(0,ROUND(($I308-$H308)*1440,0)-N($J308)))</f>
        <v/>
      </c>
      <c r="L308" s="41" t="n"/>
      <c r="M308" s="34" t="n"/>
    </row>
    <row r="309">
      <c r="A309" s="132" t="n"/>
      <c r="B309" s="34" t="n"/>
      <c r="C309" s="41" t="n"/>
      <c r="D309" s="26">
        <f>IF($A309="","",3+INT(($A309-DATE(2026,10,5))/7))</f>
        <v/>
      </c>
      <c r="E309" s="41" t="n"/>
      <c r="F309" s="41" t="n"/>
      <c r="G309" s="34" t="n"/>
      <c r="H309" s="75" t="n"/>
      <c r="I309" s="75" t="n"/>
      <c r="J309" s="44" t="n"/>
      <c r="K309" s="26">
        <f>IF(OR($H309="",$I309=""),"",MAX(0,ROUND(($I309-$H309)*1440,0)-N($J309)))</f>
        <v/>
      </c>
      <c r="L309" s="41" t="n"/>
      <c r="M309" s="34" t="n"/>
    </row>
    <row r="310">
      <c r="A310" s="132" t="n"/>
      <c r="B310" s="34" t="n"/>
      <c r="C310" s="41" t="n"/>
      <c r="D310" s="26">
        <f>IF($A310="","",3+INT(($A310-DATE(2026,10,5))/7))</f>
        <v/>
      </c>
      <c r="E310" s="41" t="n"/>
      <c r="F310" s="41" t="n"/>
      <c r="G310" s="34" t="n"/>
      <c r="H310" s="75" t="n"/>
      <c r="I310" s="75" t="n"/>
      <c r="J310" s="44" t="n"/>
      <c r="K310" s="26">
        <f>IF(OR($H310="",$I310=""),"",MAX(0,ROUND(($I310-$H310)*1440,0)-N($J310)))</f>
        <v/>
      </c>
      <c r="L310" s="41" t="n"/>
      <c r="M310" s="34" t="n"/>
    </row>
    <row r="311">
      <c r="A311" s="132" t="n"/>
      <c r="B311" s="34" t="n"/>
      <c r="C311" s="41" t="n"/>
      <c r="D311" s="26">
        <f>IF($A311="","",3+INT(($A311-DATE(2026,10,5))/7))</f>
        <v/>
      </c>
      <c r="E311" s="41" t="n"/>
      <c r="F311" s="41" t="n"/>
      <c r="G311" s="34" t="n"/>
      <c r="H311" s="75" t="n"/>
      <c r="I311" s="75" t="n"/>
      <c r="J311" s="44" t="n"/>
      <c r="K311" s="26">
        <f>IF(OR($H311="",$I311=""),"",MAX(0,ROUND(($I311-$H311)*1440,0)-N($J311)))</f>
        <v/>
      </c>
      <c r="L311" s="41" t="n"/>
      <c r="M311" s="34" t="n"/>
    </row>
    <row r="312">
      <c r="A312" s="132" t="n"/>
      <c r="B312" s="34" t="n"/>
      <c r="C312" s="41" t="n"/>
      <c r="D312" s="26">
        <f>IF($A312="","",3+INT(($A312-DATE(2026,10,5))/7))</f>
        <v/>
      </c>
      <c r="E312" s="41" t="n"/>
      <c r="F312" s="41" t="n"/>
      <c r="G312" s="34" t="n"/>
      <c r="H312" s="75" t="n"/>
      <c r="I312" s="75" t="n"/>
      <c r="J312" s="44" t="n"/>
      <c r="K312" s="26">
        <f>IF(OR($H312="",$I312=""),"",MAX(0,ROUND(($I312-$H312)*1440,0)-N($J312)))</f>
        <v/>
      </c>
      <c r="L312" s="41" t="n"/>
      <c r="M312" s="34" t="n"/>
    </row>
    <row r="313">
      <c r="A313" s="132" t="n"/>
      <c r="B313" s="34" t="n"/>
      <c r="C313" s="41" t="n"/>
      <c r="D313" s="26">
        <f>IF($A313="","",3+INT(($A313-DATE(2026,10,5))/7))</f>
        <v/>
      </c>
      <c r="E313" s="41" t="n"/>
      <c r="F313" s="41" t="n"/>
      <c r="G313" s="34" t="n"/>
      <c r="H313" s="75" t="n"/>
      <c r="I313" s="75" t="n"/>
      <c r="J313" s="44" t="n"/>
      <c r="K313" s="26">
        <f>IF(OR($H313="",$I313=""),"",MAX(0,ROUND(($I313-$H313)*1440,0)-N($J313)))</f>
        <v/>
      </c>
      <c r="L313" s="41" t="n"/>
      <c r="M313" s="34" t="n"/>
    </row>
    <row r="314">
      <c r="A314" s="132" t="n"/>
      <c r="B314" s="34" t="n"/>
      <c r="C314" s="41" t="n"/>
      <c r="D314" s="26">
        <f>IF($A314="","",3+INT(($A314-DATE(2026,10,5))/7))</f>
        <v/>
      </c>
      <c r="E314" s="41" t="n"/>
      <c r="F314" s="41" t="n"/>
      <c r="G314" s="34" t="n"/>
      <c r="H314" s="75" t="n"/>
      <c r="I314" s="75" t="n"/>
      <c r="J314" s="44" t="n"/>
      <c r="K314" s="26">
        <f>IF(OR($H314="",$I314=""),"",MAX(0,ROUND(($I314-$H314)*1440,0)-N($J314)))</f>
        <v/>
      </c>
      <c r="L314" s="41" t="n"/>
      <c r="M314" s="34" t="n"/>
    </row>
    <row r="315">
      <c r="A315" s="132" t="n"/>
      <c r="B315" s="34" t="n"/>
      <c r="C315" s="41" t="n"/>
      <c r="D315" s="26">
        <f>IF($A315="","",3+INT(($A315-DATE(2026,10,5))/7))</f>
        <v/>
      </c>
      <c r="E315" s="41" t="n"/>
      <c r="F315" s="41" t="n"/>
      <c r="G315" s="34" t="n"/>
      <c r="H315" s="75" t="n"/>
      <c r="I315" s="75" t="n"/>
      <c r="J315" s="44" t="n"/>
      <c r="K315" s="26">
        <f>IF(OR($H315="",$I315=""),"",MAX(0,ROUND(($I315-$H315)*1440,0)-N($J315)))</f>
        <v/>
      </c>
      <c r="L315" s="41" t="n"/>
      <c r="M315" s="34" t="n"/>
    </row>
    <row r="316">
      <c r="A316" s="132" t="n"/>
      <c r="B316" s="34" t="n"/>
      <c r="C316" s="41" t="n"/>
      <c r="D316" s="26">
        <f>IF($A316="","",3+INT(($A316-DATE(2026,10,5))/7))</f>
        <v/>
      </c>
      <c r="E316" s="41" t="n"/>
      <c r="F316" s="41" t="n"/>
      <c r="G316" s="34" t="n"/>
      <c r="H316" s="75" t="n"/>
      <c r="I316" s="75" t="n"/>
      <c r="J316" s="44" t="n"/>
      <c r="K316" s="26">
        <f>IF(OR($H316="",$I316=""),"",MAX(0,ROUND(($I316-$H316)*1440,0)-N($J316)))</f>
        <v/>
      </c>
      <c r="L316" s="41" t="n"/>
      <c r="M316" s="34" t="n"/>
    </row>
    <row r="317">
      <c r="A317" s="132" t="n"/>
      <c r="B317" s="34" t="n"/>
      <c r="C317" s="41" t="n"/>
      <c r="D317" s="26">
        <f>IF($A317="","",3+INT(($A317-DATE(2026,10,5))/7))</f>
        <v/>
      </c>
      <c r="E317" s="41" t="n"/>
      <c r="F317" s="41" t="n"/>
      <c r="G317" s="34" t="n"/>
      <c r="H317" s="75" t="n"/>
      <c r="I317" s="75" t="n"/>
      <c r="J317" s="44" t="n"/>
      <c r="K317" s="26">
        <f>IF(OR($H317="",$I317=""),"",MAX(0,ROUND(($I317-$H317)*1440,0)-N($J317)))</f>
        <v/>
      </c>
      <c r="L317" s="41" t="n"/>
      <c r="M317" s="34" t="n"/>
    </row>
    <row r="318">
      <c r="A318" s="132" t="n"/>
      <c r="B318" s="34" t="n"/>
      <c r="C318" s="41" t="n"/>
      <c r="D318" s="26">
        <f>IF($A318="","",3+INT(($A318-DATE(2026,10,5))/7))</f>
        <v/>
      </c>
      <c r="E318" s="41" t="n"/>
      <c r="F318" s="41" t="n"/>
      <c r="G318" s="34" t="n"/>
      <c r="H318" s="75" t="n"/>
      <c r="I318" s="75" t="n"/>
      <c r="J318" s="44" t="n"/>
      <c r="K318" s="26">
        <f>IF(OR($H318="",$I318=""),"",MAX(0,ROUND(($I318-$H318)*1440,0)-N($J318)))</f>
        <v/>
      </c>
      <c r="L318" s="41" t="n"/>
      <c r="M318" s="34" t="n"/>
    </row>
    <row r="319">
      <c r="A319" s="132" t="n"/>
      <c r="B319" s="34" t="n"/>
      <c r="C319" s="41" t="n"/>
      <c r="D319" s="26">
        <f>IF($A319="","",3+INT(($A319-DATE(2026,10,5))/7))</f>
        <v/>
      </c>
      <c r="E319" s="41" t="n"/>
      <c r="F319" s="41" t="n"/>
      <c r="G319" s="34" t="n"/>
      <c r="H319" s="75" t="n"/>
      <c r="I319" s="75" t="n"/>
      <c r="J319" s="44" t="n"/>
      <c r="K319" s="26">
        <f>IF(OR($H319="",$I319=""),"",MAX(0,ROUND(($I319-$H319)*1440,0)-N($J319)))</f>
        <v/>
      </c>
      <c r="L319" s="41" t="n"/>
      <c r="M319" s="34" t="n"/>
    </row>
    <row r="320">
      <c r="A320" s="132" t="n"/>
      <c r="B320" s="34" t="n"/>
      <c r="C320" s="41" t="n"/>
      <c r="D320" s="26">
        <f>IF($A320="","",3+INT(($A320-DATE(2026,10,5))/7))</f>
        <v/>
      </c>
      <c r="E320" s="41" t="n"/>
      <c r="F320" s="41" t="n"/>
      <c r="G320" s="34" t="n"/>
      <c r="H320" s="75" t="n"/>
      <c r="I320" s="75" t="n"/>
      <c r="J320" s="44" t="n"/>
      <c r="K320" s="26">
        <f>IF(OR($H320="",$I320=""),"",MAX(0,ROUND(($I320-$H320)*1440,0)-N($J320)))</f>
        <v/>
      </c>
      <c r="L320" s="41" t="n"/>
      <c r="M320" s="34" t="n"/>
    </row>
    <row r="321">
      <c r="A321" s="132" t="n"/>
      <c r="B321" s="34" t="n"/>
      <c r="C321" s="41" t="n"/>
      <c r="D321" s="26">
        <f>IF($A321="","",3+INT(($A321-DATE(2026,10,5))/7))</f>
        <v/>
      </c>
      <c r="E321" s="41" t="n"/>
      <c r="F321" s="41" t="n"/>
      <c r="G321" s="34" t="n"/>
      <c r="H321" s="75" t="n"/>
      <c r="I321" s="75" t="n"/>
      <c r="J321" s="44" t="n"/>
      <c r="K321" s="26">
        <f>IF(OR($H321="",$I321=""),"",MAX(0,ROUND(($I321-$H321)*1440,0)-N($J321)))</f>
        <v/>
      </c>
      <c r="L321" s="41" t="n"/>
      <c r="M321" s="34" t="n"/>
    </row>
    <row r="322">
      <c r="A322" s="132" t="n"/>
      <c r="B322" s="34" t="n"/>
      <c r="C322" s="41" t="n"/>
      <c r="D322" s="26">
        <f>IF($A322="","",3+INT(($A322-DATE(2026,10,5))/7))</f>
        <v/>
      </c>
      <c r="E322" s="41" t="n"/>
      <c r="F322" s="41" t="n"/>
      <c r="G322" s="34" t="n"/>
      <c r="H322" s="75" t="n"/>
      <c r="I322" s="75" t="n"/>
      <c r="J322" s="44" t="n"/>
      <c r="K322" s="26">
        <f>IF(OR($H322="",$I322=""),"",MAX(0,ROUND(($I322-$H322)*1440,0)-N($J322)))</f>
        <v/>
      </c>
      <c r="L322" s="41" t="n"/>
      <c r="M322" s="34" t="n"/>
    </row>
    <row r="323">
      <c r="A323" s="132" t="n"/>
      <c r="B323" s="34" t="n"/>
      <c r="C323" s="41" t="n"/>
      <c r="D323" s="26">
        <f>IF($A323="","",3+INT(($A323-DATE(2026,10,5))/7))</f>
        <v/>
      </c>
      <c r="E323" s="41" t="n"/>
      <c r="F323" s="41" t="n"/>
      <c r="G323" s="34" t="n"/>
      <c r="H323" s="75" t="n"/>
      <c r="I323" s="75" t="n"/>
      <c r="J323" s="44" t="n"/>
      <c r="K323" s="26">
        <f>IF(OR($H323="",$I323=""),"",MAX(0,ROUND(($I323-$H323)*1440,0)-N($J323)))</f>
        <v/>
      </c>
      <c r="L323" s="41" t="n"/>
      <c r="M323" s="34" t="n"/>
    </row>
    <row r="324">
      <c r="A324" s="132" t="n"/>
      <c r="B324" s="34" t="n"/>
      <c r="C324" s="41" t="n"/>
      <c r="D324" s="26">
        <f>IF($A324="","",3+INT(($A324-DATE(2026,10,5))/7))</f>
        <v/>
      </c>
      <c r="E324" s="41" t="n"/>
      <c r="F324" s="41" t="n"/>
      <c r="G324" s="34" t="n"/>
      <c r="H324" s="75" t="n"/>
      <c r="I324" s="75" t="n"/>
      <c r="J324" s="44" t="n"/>
      <c r="K324" s="26">
        <f>IF(OR($H324="",$I324=""),"",MAX(0,ROUND(($I324-$H324)*1440,0)-N($J324)))</f>
        <v/>
      </c>
      <c r="L324" s="41" t="n"/>
      <c r="M324" s="34" t="n"/>
    </row>
    <row r="325">
      <c r="A325" s="132" t="n"/>
      <c r="B325" s="34" t="n"/>
      <c r="C325" s="41" t="n"/>
      <c r="D325" s="26">
        <f>IF($A325="","",3+INT(($A325-DATE(2026,10,5))/7))</f>
        <v/>
      </c>
      <c r="E325" s="41" t="n"/>
      <c r="F325" s="41" t="n"/>
      <c r="G325" s="34" t="n"/>
      <c r="H325" s="75" t="n"/>
      <c r="I325" s="75" t="n"/>
      <c r="J325" s="44" t="n"/>
      <c r="K325" s="26">
        <f>IF(OR($H325="",$I325=""),"",MAX(0,ROUND(($I325-$H325)*1440,0)-N($J325)))</f>
        <v/>
      </c>
      <c r="L325" s="41" t="n"/>
      <c r="M325" s="34" t="n"/>
    </row>
    <row r="326">
      <c r="A326" s="132" t="n"/>
      <c r="B326" s="34" t="n"/>
      <c r="C326" s="41" t="n"/>
      <c r="D326" s="26">
        <f>IF($A326="","",3+INT(($A326-DATE(2026,10,5))/7))</f>
        <v/>
      </c>
      <c r="E326" s="41" t="n"/>
      <c r="F326" s="41" t="n"/>
      <c r="G326" s="34" t="n"/>
      <c r="H326" s="75" t="n"/>
      <c r="I326" s="75" t="n"/>
      <c r="J326" s="44" t="n"/>
      <c r="K326" s="26">
        <f>IF(OR($H326="",$I326=""),"",MAX(0,ROUND(($I326-$H326)*1440,0)-N($J326)))</f>
        <v/>
      </c>
      <c r="L326" s="41" t="n"/>
      <c r="M326" s="34" t="n"/>
    </row>
    <row r="327">
      <c r="A327" s="132" t="n"/>
      <c r="B327" s="34" t="n"/>
      <c r="C327" s="41" t="n"/>
      <c r="D327" s="26">
        <f>IF($A327="","",3+INT(($A327-DATE(2026,10,5))/7))</f>
        <v/>
      </c>
      <c r="E327" s="41" t="n"/>
      <c r="F327" s="41" t="n"/>
      <c r="G327" s="34" t="n"/>
      <c r="H327" s="75" t="n"/>
      <c r="I327" s="75" t="n"/>
      <c r="J327" s="44" t="n"/>
      <c r="K327" s="26">
        <f>IF(OR($H327="",$I327=""),"",MAX(0,ROUND(($I327-$H327)*1440,0)-N($J327)))</f>
        <v/>
      </c>
      <c r="L327" s="41" t="n"/>
      <c r="M327" s="34" t="n"/>
    </row>
    <row r="328">
      <c r="A328" s="132" t="n"/>
      <c r="B328" s="34" t="n"/>
      <c r="C328" s="41" t="n"/>
      <c r="D328" s="26">
        <f>IF($A328="","",3+INT(($A328-DATE(2026,10,5))/7))</f>
        <v/>
      </c>
      <c r="E328" s="41" t="n"/>
      <c r="F328" s="41" t="n"/>
      <c r="G328" s="34" t="n"/>
      <c r="H328" s="75" t="n"/>
      <c r="I328" s="75" t="n"/>
      <c r="J328" s="44" t="n"/>
      <c r="K328" s="26">
        <f>IF(OR($H328="",$I328=""),"",MAX(0,ROUND(($I328-$H328)*1440,0)-N($J328)))</f>
        <v/>
      </c>
      <c r="L328" s="41" t="n"/>
      <c r="M328" s="34" t="n"/>
    </row>
    <row r="329">
      <c r="A329" s="132" t="n"/>
      <c r="B329" s="34" t="n"/>
      <c r="C329" s="41" t="n"/>
      <c r="D329" s="26">
        <f>IF($A329="","",3+INT(($A329-DATE(2026,10,5))/7))</f>
        <v/>
      </c>
      <c r="E329" s="41" t="n"/>
      <c r="F329" s="41" t="n"/>
      <c r="G329" s="34" t="n"/>
      <c r="H329" s="75" t="n"/>
      <c r="I329" s="75" t="n"/>
      <c r="J329" s="44" t="n"/>
      <c r="K329" s="26">
        <f>IF(OR($H329="",$I329=""),"",MAX(0,ROUND(($I329-$H329)*1440,0)-N($J329)))</f>
        <v/>
      </c>
      <c r="L329" s="41" t="n"/>
      <c r="M329" s="34" t="n"/>
    </row>
    <row r="330">
      <c r="A330" s="132" t="n"/>
      <c r="B330" s="34" t="n"/>
      <c r="C330" s="41" t="n"/>
      <c r="D330" s="26">
        <f>IF($A330="","",3+INT(($A330-DATE(2026,10,5))/7))</f>
        <v/>
      </c>
      <c r="E330" s="41" t="n"/>
      <c r="F330" s="41" t="n"/>
      <c r="G330" s="34" t="n"/>
      <c r="H330" s="75" t="n"/>
      <c r="I330" s="75" t="n"/>
      <c r="J330" s="44" t="n"/>
      <c r="K330" s="26">
        <f>IF(OR($H330="",$I330=""),"",MAX(0,ROUND(($I330-$H330)*1440,0)-N($J330)))</f>
        <v/>
      </c>
      <c r="L330" s="41" t="n"/>
      <c r="M330" s="34" t="n"/>
    </row>
    <row r="331">
      <c r="A331" s="132" t="n"/>
      <c r="B331" s="34" t="n"/>
      <c r="C331" s="41" t="n"/>
      <c r="D331" s="26">
        <f>IF($A331="","",3+INT(($A331-DATE(2026,10,5))/7))</f>
        <v/>
      </c>
      <c r="E331" s="41" t="n"/>
      <c r="F331" s="41" t="n"/>
      <c r="G331" s="34" t="n"/>
      <c r="H331" s="75" t="n"/>
      <c r="I331" s="75" t="n"/>
      <c r="J331" s="44" t="n"/>
      <c r="K331" s="26">
        <f>IF(OR($H331="",$I331=""),"",MAX(0,ROUND(($I331-$H331)*1440,0)-N($J331)))</f>
        <v/>
      </c>
      <c r="L331" s="41" t="n"/>
      <c r="M331" s="34" t="n"/>
    </row>
    <row r="332">
      <c r="A332" s="132" t="n"/>
      <c r="B332" s="34" t="n"/>
      <c r="C332" s="41" t="n"/>
      <c r="D332" s="26">
        <f>IF($A332="","",3+INT(($A332-DATE(2026,10,5))/7))</f>
        <v/>
      </c>
      <c r="E332" s="41" t="n"/>
      <c r="F332" s="41" t="n"/>
      <c r="G332" s="34" t="n"/>
      <c r="H332" s="75" t="n"/>
      <c r="I332" s="75" t="n"/>
      <c r="J332" s="44" t="n"/>
      <c r="K332" s="26">
        <f>IF(OR($H332="",$I332=""),"",MAX(0,ROUND(($I332-$H332)*1440,0)-N($J332)))</f>
        <v/>
      </c>
      <c r="L332" s="41" t="n"/>
      <c r="M332" s="34" t="n"/>
    </row>
    <row r="333">
      <c r="A333" s="132" t="n"/>
      <c r="B333" s="34" t="n"/>
      <c r="C333" s="41" t="n"/>
      <c r="D333" s="26">
        <f>IF($A333="","",3+INT(($A333-DATE(2026,10,5))/7))</f>
        <v/>
      </c>
      <c r="E333" s="41" t="n"/>
      <c r="F333" s="41" t="n"/>
      <c r="G333" s="34" t="n"/>
      <c r="H333" s="75" t="n"/>
      <c r="I333" s="75" t="n"/>
      <c r="J333" s="44" t="n"/>
      <c r="K333" s="26">
        <f>IF(OR($H333="",$I333=""),"",MAX(0,ROUND(($I333-$H333)*1440,0)-N($J333)))</f>
        <v/>
      </c>
      <c r="L333" s="41" t="n"/>
      <c r="M333" s="34" t="n"/>
    </row>
    <row r="334">
      <c r="A334" s="132" t="n"/>
      <c r="B334" s="34" t="n"/>
      <c r="C334" s="41" t="n"/>
      <c r="D334" s="26">
        <f>IF($A334="","",3+INT(($A334-DATE(2026,10,5))/7))</f>
        <v/>
      </c>
      <c r="E334" s="41" t="n"/>
      <c r="F334" s="41" t="n"/>
      <c r="G334" s="34" t="n"/>
      <c r="H334" s="75" t="n"/>
      <c r="I334" s="75" t="n"/>
      <c r="J334" s="44" t="n"/>
      <c r="K334" s="26">
        <f>IF(OR($H334="",$I334=""),"",MAX(0,ROUND(($I334-$H334)*1440,0)-N($J334)))</f>
        <v/>
      </c>
      <c r="L334" s="41" t="n"/>
      <c r="M334" s="34" t="n"/>
    </row>
    <row r="335">
      <c r="A335" s="132" t="n"/>
      <c r="B335" s="34" t="n"/>
      <c r="C335" s="41" t="n"/>
      <c r="D335" s="26">
        <f>IF($A335="","",3+INT(($A335-DATE(2026,10,5))/7))</f>
        <v/>
      </c>
      <c r="E335" s="41" t="n"/>
      <c r="F335" s="41" t="n"/>
      <c r="G335" s="34" t="n"/>
      <c r="H335" s="75" t="n"/>
      <c r="I335" s="75" t="n"/>
      <c r="J335" s="44" t="n"/>
      <c r="K335" s="26">
        <f>IF(OR($H335="",$I335=""),"",MAX(0,ROUND(($I335-$H335)*1440,0)-N($J335)))</f>
        <v/>
      </c>
      <c r="L335" s="41" t="n"/>
      <c r="M335" s="34" t="n"/>
    </row>
    <row r="336">
      <c r="A336" s="132" t="n"/>
      <c r="B336" s="34" t="n"/>
      <c r="C336" s="41" t="n"/>
      <c r="D336" s="26">
        <f>IF($A336="","",3+INT(($A336-DATE(2026,10,5))/7))</f>
        <v/>
      </c>
      <c r="E336" s="41" t="n"/>
      <c r="F336" s="41" t="n"/>
      <c r="G336" s="34" t="n"/>
      <c r="H336" s="75" t="n"/>
      <c r="I336" s="75" t="n"/>
      <c r="J336" s="44" t="n"/>
      <c r="K336" s="26">
        <f>IF(OR($H336="",$I336=""),"",MAX(0,ROUND(($I336-$H336)*1440,0)-N($J336)))</f>
        <v/>
      </c>
      <c r="L336" s="41" t="n"/>
      <c r="M336" s="34" t="n"/>
    </row>
    <row r="337">
      <c r="A337" s="132" t="n"/>
      <c r="B337" s="34" t="n"/>
      <c r="C337" s="41" t="n"/>
      <c r="D337" s="26">
        <f>IF($A337="","",3+INT(($A337-DATE(2026,10,5))/7))</f>
        <v/>
      </c>
      <c r="E337" s="41" t="n"/>
      <c r="F337" s="41" t="n"/>
      <c r="G337" s="34" t="n"/>
      <c r="H337" s="75" t="n"/>
      <c r="I337" s="75" t="n"/>
      <c r="J337" s="44" t="n"/>
      <c r="K337" s="26">
        <f>IF(OR($H337="",$I337=""),"",MAX(0,ROUND(($I337-$H337)*1440,0)-N($J337)))</f>
        <v/>
      </c>
      <c r="L337" s="41" t="n"/>
      <c r="M337" s="34" t="n"/>
    </row>
    <row r="338">
      <c r="A338" s="132" t="n"/>
      <c r="B338" s="34" t="n"/>
      <c r="C338" s="41" t="n"/>
      <c r="D338" s="26">
        <f>IF($A338="","",3+INT(($A338-DATE(2026,10,5))/7))</f>
        <v/>
      </c>
      <c r="E338" s="41" t="n"/>
      <c r="F338" s="41" t="n"/>
      <c r="G338" s="34" t="n"/>
      <c r="H338" s="75" t="n"/>
      <c r="I338" s="75" t="n"/>
      <c r="J338" s="44" t="n"/>
      <c r="K338" s="26">
        <f>IF(OR($H338="",$I338=""),"",MAX(0,ROUND(($I338-$H338)*1440,0)-N($J338)))</f>
        <v/>
      </c>
      <c r="L338" s="41" t="n"/>
      <c r="M338" s="34" t="n"/>
    </row>
    <row r="339">
      <c r="A339" s="132" t="n"/>
      <c r="B339" s="34" t="n"/>
      <c r="C339" s="41" t="n"/>
      <c r="D339" s="26">
        <f>IF($A339="","",3+INT(($A339-DATE(2026,10,5))/7))</f>
        <v/>
      </c>
      <c r="E339" s="41" t="n"/>
      <c r="F339" s="41" t="n"/>
      <c r="G339" s="34" t="n"/>
      <c r="H339" s="75" t="n"/>
      <c r="I339" s="75" t="n"/>
      <c r="J339" s="44" t="n"/>
      <c r="K339" s="26">
        <f>IF(OR($H339="",$I339=""),"",MAX(0,ROUND(($I339-$H339)*1440,0)-N($J339)))</f>
        <v/>
      </c>
      <c r="L339" s="41" t="n"/>
      <c r="M339" s="34" t="n"/>
    </row>
    <row r="340">
      <c r="A340" s="132" t="n"/>
      <c r="B340" s="34" t="n"/>
      <c r="C340" s="41" t="n"/>
      <c r="D340" s="26">
        <f>IF($A340="","",3+INT(($A340-DATE(2026,10,5))/7))</f>
        <v/>
      </c>
      <c r="E340" s="41" t="n"/>
      <c r="F340" s="41" t="n"/>
      <c r="G340" s="34" t="n"/>
      <c r="H340" s="75" t="n"/>
      <c r="I340" s="75" t="n"/>
      <c r="J340" s="44" t="n"/>
      <c r="K340" s="26">
        <f>IF(OR($H340="",$I340=""),"",MAX(0,ROUND(($I340-$H340)*1440,0)-N($J340)))</f>
        <v/>
      </c>
      <c r="L340" s="41" t="n"/>
      <c r="M340" s="34" t="n"/>
    </row>
    <row r="341">
      <c r="A341" s="132" t="n"/>
      <c r="B341" s="34" t="n"/>
      <c r="C341" s="41" t="n"/>
      <c r="D341" s="26">
        <f>IF($A341="","",3+INT(($A341-DATE(2026,10,5))/7))</f>
        <v/>
      </c>
      <c r="E341" s="41" t="n"/>
      <c r="F341" s="41" t="n"/>
      <c r="G341" s="34" t="n"/>
      <c r="H341" s="75" t="n"/>
      <c r="I341" s="75" t="n"/>
      <c r="J341" s="44" t="n"/>
      <c r="K341" s="26">
        <f>IF(OR($H341="",$I341=""),"",MAX(0,ROUND(($I341-$H341)*1440,0)-N($J341)))</f>
        <v/>
      </c>
      <c r="L341" s="41" t="n"/>
      <c r="M341" s="34" t="n"/>
    </row>
    <row r="342">
      <c r="A342" s="132" t="n"/>
      <c r="B342" s="34" t="n"/>
      <c r="C342" s="41" t="n"/>
      <c r="D342" s="26">
        <f>IF($A342="","",3+INT(($A342-DATE(2026,10,5))/7))</f>
        <v/>
      </c>
      <c r="E342" s="41" t="n"/>
      <c r="F342" s="41" t="n"/>
      <c r="G342" s="34" t="n"/>
      <c r="H342" s="75" t="n"/>
      <c r="I342" s="75" t="n"/>
      <c r="J342" s="44" t="n"/>
      <c r="K342" s="26">
        <f>IF(OR($H342="",$I342=""),"",MAX(0,ROUND(($I342-$H342)*1440,0)-N($J342)))</f>
        <v/>
      </c>
      <c r="L342" s="41" t="n"/>
      <c r="M342" s="34" t="n"/>
    </row>
    <row r="343">
      <c r="A343" s="132" t="n"/>
      <c r="B343" s="34" t="n"/>
      <c r="C343" s="41" t="n"/>
      <c r="D343" s="26">
        <f>IF($A343="","",3+INT(($A343-DATE(2026,10,5))/7))</f>
        <v/>
      </c>
      <c r="E343" s="41" t="n"/>
      <c r="F343" s="41" t="n"/>
      <c r="G343" s="34" t="n"/>
      <c r="H343" s="75" t="n"/>
      <c r="I343" s="75" t="n"/>
      <c r="J343" s="44" t="n"/>
      <c r="K343" s="26">
        <f>IF(OR($H343="",$I343=""),"",MAX(0,ROUND(($I343-$H343)*1440,0)-N($J343)))</f>
        <v/>
      </c>
      <c r="L343" s="41" t="n"/>
      <c r="M343" s="34" t="n"/>
    </row>
    <row r="344">
      <c r="A344" s="132" t="n"/>
      <c r="B344" s="34" t="n"/>
      <c r="C344" s="41" t="n"/>
      <c r="D344" s="26">
        <f>IF($A344="","",3+INT(($A344-DATE(2026,10,5))/7))</f>
        <v/>
      </c>
      <c r="E344" s="41" t="n"/>
      <c r="F344" s="41" t="n"/>
      <c r="G344" s="34" t="n"/>
      <c r="H344" s="75" t="n"/>
      <c r="I344" s="75" t="n"/>
      <c r="J344" s="44" t="n"/>
      <c r="K344" s="26">
        <f>IF(OR($H344="",$I344=""),"",MAX(0,ROUND(($I344-$H344)*1440,0)-N($J344)))</f>
        <v/>
      </c>
      <c r="L344" s="41" t="n"/>
      <c r="M344" s="34" t="n"/>
    </row>
    <row r="345">
      <c r="A345" s="132" t="n"/>
      <c r="B345" s="34" t="n"/>
      <c r="C345" s="41" t="n"/>
      <c r="D345" s="26">
        <f>IF($A345="","",3+INT(($A345-DATE(2026,10,5))/7))</f>
        <v/>
      </c>
      <c r="E345" s="41" t="n"/>
      <c r="F345" s="41" t="n"/>
      <c r="G345" s="34" t="n"/>
      <c r="H345" s="75" t="n"/>
      <c r="I345" s="75" t="n"/>
      <c r="J345" s="44" t="n"/>
      <c r="K345" s="26">
        <f>IF(OR($H345="",$I345=""),"",MAX(0,ROUND(($I345-$H345)*1440,0)-N($J345)))</f>
        <v/>
      </c>
      <c r="L345" s="41" t="n"/>
      <c r="M345" s="34" t="n"/>
    </row>
    <row r="346">
      <c r="A346" s="132" t="n"/>
      <c r="B346" s="34" t="n"/>
      <c r="C346" s="41" t="n"/>
      <c r="D346" s="26">
        <f>IF($A346="","",3+INT(($A346-DATE(2026,10,5))/7))</f>
        <v/>
      </c>
      <c r="E346" s="41" t="n"/>
      <c r="F346" s="41" t="n"/>
      <c r="G346" s="34" t="n"/>
      <c r="H346" s="75" t="n"/>
      <c r="I346" s="75" t="n"/>
      <c r="J346" s="44" t="n"/>
      <c r="K346" s="26">
        <f>IF(OR($H346="",$I346=""),"",MAX(0,ROUND(($I346-$H346)*1440,0)-N($J346)))</f>
        <v/>
      </c>
      <c r="L346" s="41" t="n"/>
      <c r="M346" s="34" t="n"/>
    </row>
    <row r="347">
      <c r="A347" s="132" t="n"/>
      <c r="B347" s="34" t="n"/>
      <c r="C347" s="41" t="n"/>
      <c r="D347" s="26">
        <f>IF($A347="","",3+INT(($A347-DATE(2026,10,5))/7))</f>
        <v/>
      </c>
      <c r="E347" s="41" t="n"/>
      <c r="F347" s="41" t="n"/>
      <c r="G347" s="34" t="n"/>
      <c r="H347" s="75" t="n"/>
      <c r="I347" s="75" t="n"/>
      <c r="J347" s="44" t="n"/>
      <c r="K347" s="26">
        <f>IF(OR($H347="",$I347=""),"",MAX(0,ROUND(($I347-$H347)*1440,0)-N($J347)))</f>
        <v/>
      </c>
      <c r="L347" s="41" t="n"/>
      <c r="M347" s="34" t="n"/>
    </row>
    <row r="348">
      <c r="A348" s="132" t="n"/>
      <c r="B348" s="34" t="n"/>
      <c r="C348" s="41" t="n"/>
      <c r="D348" s="26">
        <f>IF($A348="","",3+INT(($A348-DATE(2026,10,5))/7))</f>
        <v/>
      </c>
      <c r="E348" s="41" t="n"/>
      <c r="F348" s="41" t="n"/>
      <c r="G348" s="34" t="n"/>
      <c r="H348" s="75" t="n"/>
      <c r="I348" s="75" t="n"/>
      <c r="J348" s="44" t="n"/>
      <c r="K348" s="26">
        <f>IF(OR($H348="",$I348=""),"",MAX(0,ROUND(($I348-$H348)*1440,0)-N($J348)))</f>
        <v/>
      </c>
      <c r="L348" s="41" t="n"/>
      <c r="M348" s="34" t="n"/>
    </row>
    <row r="349">
      <c r="A349" s="132" t="n"/>
      <c r="B349" s="34" t="n"/>
      <c r="C349" s="41" t="n"/>
      <c r="D349" s="26">
        <f>IF($A349="","",3+INT(($A349-DATE(2026,10,5))/7))</f>
        <v/>
      </c>
      <c r="E349" s="41" t="n"/>
      <c r="F349" s="41" t="n"/>
      <c r="G349" s="34" t="n"/>
      <c r="H349" s="75" t="n"/>
      <c r="I349" s="75" t="n"/>
      <c r="J349" s="44" t="n"/>
      <c r="K349" s="26">
        <f>IF(OR($H349="",$I349=""),"",MAX(0,ROUND(($I349-$H349)*1440,0)-N($J349)))</f>
        <v/>
      </c>
      <c r="L349" s="41" t="n"/>
      <c r="M349" s="34" t="n"/>
    </row>
    <row r="350">
      <c r="A350" s="132" t="n"/>
      <c r="B350" s="34" t="n"/>
      <c r="C350" s="41" t="n"/>
      <c r="D350" s="26">
        <f>IF($A350="","",3+INT(($A350-DATE(2026,10,5))/7))</f>
        <v/>
      </c>
      <c r="E350" s="41" t="n"/>
      <c r="F350" s="41" t="n"/>
      <c r="G350" s="34" t="n"/>
      <c r="H350" s="75" t="n"/>
      <c r="I350" s="75" t="n"/>
      <c r="J350" s="44" t="n"/>
      <c r="K350" s="26">
        <f>IF(OR($H350="",$I350=""),"",MAX(0,ROUND(($I350-$H350)*1440,0)-N($J350)))</f>
        <v/>
      </c>
      <c r="L350" s="41" t="n"/>
      <c r="M350" s="34" t="n"/>
    </row>
    <row r="351">
      <c r="A351" s="132" t="n"/>
      <c r="B351" s="34" t="n"/>
      <c r="C351" s="41" t="n"/>
      <c r="D351" s="26">
        <f>IF($A351="","",3+INT(($A351-DATE(2026,10,5))/7))</f>
        <v/>
      </c>
      <c r="E351" s="41" t="n"/>
      <c r="F351" s="41" t="n"/>
      <c r="G351" s="34" t="n"/>
      <c r="H351" s="75" t="n"/>
      <c r="I351" s="75" t="n"/>
      <c r="J351" s="44" t="n"/>
      <c r="K351" s="26">
        <f>IF(OR($H351="",$I351=""),"",MAX(0,ROUND(($I351-$H351)*1440,0)-N($J351)))</f>
        <v/>
      </c>
      <c r="L351" s="41" t="n"/>
      <c r="M351" s="34" t="n"/>
    </row>
    <row r="352">
      <c r="A352" s="132" t="n"/>
      <c r="B352" s="34" t="n"/>
      <c r="C352" s="41" t="n"/>
      <c r="D352" s="26">
        <f>IF($A352="","",3+INT(($A352-DATE(2026,10,5))/7))</f>
        <v/>
      </c>
      <c r="E352" s="41" t="n"/>
      <c r="F352" s="41" t="n"/>
      <c r="G352" s="34" t="n"/>
      <c r="H352" s="75" t="n"/>
      <c r="I352" s="75" t="n"/>
      <c r="J352" s="44" t="n"/>
      <c r="K352" s="26">
        <f>IF(OR($H352="",$I352=""),"",MAX(0,ROUND(($I352-$H352)*1440,0)-N($J352)))</f>
        <v/>
      </c>
      <c r="L352" s="41" t="n"/>
      <c r="M352" s="34" t="n"/>
    </row>
    <row r="353">
      <c r="A353" s="132" t="n"/>
      <c r="B353" s="34" t="n"/>
      <c r="C353" s="41" t="n"/>
      <c r="D353" s="26">
        <f>IF($A353="","",3+INT(($A353-DATE(2026,10,5))/7))</f>
        <v/>
      </c>
      <c r="E353" s="41" t="n"/>
      <c r="F353" s="41" t="n"/>
      <c r="G353" s="34" t="n"/>
      <c r="H353" s="75" t="n"/>
      <c r="I353" s="75" t="n"/>
      <c r="J353" s="44" t="n"/>
      <c r="K353" s="26">
        <f>IF(OR($H353="",$I353=""),"",MAX(0,ROUND(($I353-$H353)*1440,0)-N($J353)))</f>
        <v/>
      </c>
      <c r="L353" s="41" t="n"/>
      <c r="M353" s="34" t="n"/>
    </row>
    <row r="354">
      <c r="A354" s="132" t="n"/>
      <c r="B354" s="34" t="n"/>
      <c r="C354" s="41" t="n"/>
      <c r="D354" s="26">
        <f>IF($A354="","",3+INT(($A354-DATE(2026,10,5))/7))</f>
        <v/>
      </c>
      <c r="E354" s="41" t="n"/>
      <c r="F354" s="41" t="n"/>
      <c r="G354" s="34" t="n"/>
      <c r="H354" s="75" t="n"/>
      <c r="I354" s="75" t="n"/>
      <c r="J354" s="44" t="n"/>
      <c r="K354" s="26">
        <f>IF(OR($H354="",$I354=""),"",MAX(0,ROUND(($I354-$H354)*1440,0)-N($J354)))</f>
        <v/>
      </c>
      <c r="L354" s="41" t="n"/>
      <c r="M354" s="34" t="n"/>
    </row>
    <row r="355">
      <c r="A355" s="132" t="n"/>
      <c r="B355" s="34" t="n"/>
      <c r="C355" s="41" t="n"/>
      <c r="D355" s="26">
        <f>IF($A355="","",3+INT(($A355-DATE(2026,10,5))/7))</f>
        <v/>
      </c>
      <c r="E355" s="41" t="n"/>
      <c r="F355" s="41" t="n"/>
      <c r="G355" s="34" t="n"/>
      <c r="H355" s="75" t="n"/>
      <c r="I355" s="75" t="n"/>
      <c r="J355" s="44" t="n"/>
      <c r="K355" s="26">
        <f>IF(OR($H355="",$I355=""),"",MAX(0,ROUND(($I355-$H355)*1440,0)-N($J355)))</f>
        <v/>
      </c>
      <c r="L355" s="41" t="n"/>
      <c r="M355" s="34" t="n"/>
    </row>
    <row r="356">
      <c r="A356" s="132" t="n"/>
      <c r="B356" s="34" t="n"/>
      <c r="C356" s="41" t="n"/>
      <c r="D356" s="26">
        <f>IF($A356="","",3+INT(($A356-DATE(2026,10,5))/7))</f>
        <v/>
      </c>
      <c r="E356" s="41" t="n"/>
      <c r="F356" s="41" t="n"/>
      <c r="G356" s="34" t="n"/>
      <c r="H356" s="75" t="n"/>
      <c r="I356" s="75" t="n"/>
      <c r="J356" s="44" t="n"/>
      <c r="K356" s="26">
        <f>IF(OR($H356="",$I356=""),"",MAX(0,ROUND(($I356-$H356)*1440,0)-N($J356)))</f>
        <v/>
      </c>
      <c r="L356" s="41" t="n"/>
      <c r="M356" s="34" t="n"/>
    </row>
    <row r="357">
      <c r="A357" s="132" t="n"/>
      <c r="B357" s="34" t="n"/>
      <c r="C357" s="41" t="n"/>
      <c r="D357" s="26">
        <f>IF($A357="","",3+INT(($A357-DATE(2026,10,5))/7))</f>
        <v/>
      </c>
      <c r="E357" s="41" t="n"/>
      <c r="F357" s="41" t="n"/>
      <c r="G357" s="34" t="n"/>
      <c r="H357" s="75" t="n"/>
      <c r="I357" s="75" t="n"/>
      <c r="J357" s="44" t="n"/>
      <c r="K357" s="26">
        <f>IF(OR($H357="",$I357=""),"",MAX(0,ROUND(($I357-$H357)*1440,0)-N($J357)))</f>
        <v/>
      </c>
      <c r="L357" s="41" t="n"/>
      <c r="M357" s="34" t="n"/>
    </row>
    <row r="358">
      <c r="A358" s="132" t="n"/>
      <c r="B358" s="34" t="n"/>
      <c r="C358" s="41" t="n"/>
      <c r="D358" s="26">
        <f>IF($A358="","",3+INT(($A358-DATE(2026,10,5))/7))</f>
        <v/>
      </c>
      <c r="E358" s="41" t="n"/>
      <c r="F358" s="41" t="n"/>
      <c r="G358" s="34" t="n"/>
      <c r="H358" s="75" t="n"/>
      <c r="I358" s="75" t="n"/>
      <c r="J358" s="44" t="n"/>
      <c r="K358" s="26">
        <f>IF(OR($H358="",$I358=""),"",MAX(0,ROUND(($I358-$H358)*1440,0)-N($J358)))</f>
        <v/>
      </c>
      <c r="L358" s="41" t="n"/>
      <c r="M358" s="34" t="n"/>
    </row>
    <row r="359">
      <c r="A359" s="132" t="n"/>
      <c r="B359" s="34" t="n"/>
      <c r="C359" s="41" t="n"/>
      <c r="D359" s="26">
        <f>IF($A359="","",3+INT(($A359-DATE(2026,10,5))/7))</f>
        <v/>
      </c>
      <c r="E359" s="41" t="n"/>
      <c r="F359" s="41" t="n"/>
      <c r="G359" s="34" t="n"/>
      <c r="H359" s="75" t="n"/>
      <c r="I359" s="75" t="n"/>
      <c r="J359" s="44" t="n"/>
      <c r="K359" s="26">
        <f>IF(OR($H359="",$I359=""),"",MAX(0,ROUND(($I359-$H359)*1440,0)-N($J359)))</f>
        <v/>
      </c>
      <c r="L359" s="41" t="n"/>
      <c r="M359" s="34" t="n"/>
    </row>
    <row r="360">
      <c r="A360" s="132" t="n"/>
      <c r="B360" s="34" t="n"/>
      <c r="C360" s="41" t="n"/>
      <c r="D360" s="26">
        <f>IF($A360="","",3+INT(($A360-DATE(2026,10,5))/7))</f>
        <v/>
      </c>
      <c r="E360" s="41" t="n"/>
      <c r="F360" s="41" t="n"/>
      <c r="G360" s="34" t="n"/>
      <c r="H360" s="75" t="n"/>
      <c r="I360" s="75" t="n"/>
      <c r="J360" s="44" t="n"/>
      <c r="K360" s="26">
        <f>IF(OR($H360="",$I360=""),"",MAX(0,ROUND(($I360-$H360)*1440,0)-N($J360)))</f>
        <v/>
      </c>
      <c r="L360" s="41" t="n"/>
      <c r="M360" s="34" t="n"/>
    </row>
    <row r="361">
      <c r="A361" s="132" t="n"/>
      <c r="B361" s="34" t="n"/>
      <c r="C361" s="41" t="n"/>
      <c r="D361" s="26">
        <f>IF($A361="","",3+INT(($A361-DATE(2026,10,5))/7))</f>
        <v/>
      </c>
      <c r="E361" s="41" t="n"/>
      <c r="F361" s="41" t="n"/>
      <c r="G361" s="34" t="n"/>
      <c r="H361" s="75" t="n"/>
      <c r="I361" s="75" t="n"/>
      <c r="J361" s="44" t="n"/>
      <c r="K361" s="26">
        <f>IF(OR($H361="",$I361=""),"",MAX(0,ROUND(($I361-$H361)*1440,0)-N($J361)))</f>
        <v/>
      </c>
      <c r="L361" s="41" t="n"/>
      <c r="M361" s="34" t="n"/>
    </row>
    <row r="362">
      <c r="A362" s="132" t="n"/>
      <c r="B362" s="34" t="n"/>
      <c r="C362" s="41" t="n"/>
      <c r="D362" s="26">
        <f>IF($A362="","",3+INT(($A362-DATE(2026,10,5))/7))</f>
        <v/>
      </c>
      <c r="E362" s="41" t="n"/>
      <c r="F362" s="41" t="n"/>
      <c r="G362" s="34" t="n"/>
      <c r="H362" s="75" t="n"/>
      <c r="I362" s="75" t="n"/>
      <c r="J362" s="44" t="n"/>
      <c r="K362" s="26">
        <f>IF(OR($H362="",$I362=""),"",MAX(0,ROUND(($I362-$H362)*1440,0)-N($J362)))</f>
        <v/>
      </c>
      <c r="L362" s="41" t="n"/>
      <c r="M362" s="34" t="n"/>
    </row>
    <row r="363">
      <c r="A363" s="132" t="n"/>
      <c r="B363" s="34" t="n"/>
      <c r="C363" s="41" t="n"/>
      <c r="D363" s="26">
        <f>IF($A363="","",3+INT(($A363-DATE(2026,10,5))/7))</f>
        <v/>
      </c>
      <c r="E363" s="41" t="n"/>
      <c r="F363" s="41" t="n"/>
      <c r="G363" s="34" t="n"/>
      <c r="H363" s="75" t="n"/>
      <c r="I363" s="75" t="n"/>
      <c r="J363" s="44" t="n"/>
      <c r="K363" s="26">
        <f>IF(OR($H363="",$I363=""),"",MAX(0,ROUND(($I363-$H363)*1440,0)-N($J363)))</f>
        <v/>
      </c>
      <c r="L363" s="41" t="n"/>
      <c r="M363" s="34" t="n"/>
    </row>
    <row r="364">
      <c r="A364" s="132" t="n"/>
      <c r="B364" s="34" t="n"/>
      <c r="C364" s="41" t="n"/>
      <c r="D364" s="26">
        <f>IF($A364="","",3+INT(($A364-DATE(2026,10,5))/7))</f>
        <v/>
      </c>
      <c r="E364" s="41" t="n"/>
      <c r="F364" s="41" t="n"/>
      <c r="G364" s="34" t="n"/>
      <c r="H364" s="75" t="n"/>
      <c r="I364" s="75" t="n"/>
      <c r="J364" s="44" t="n"/>
      <c r="K364" s="26">
        <f>IF(OR($H364="",$I364=""),"",MAX(0,ROUND(($I364-$H364)*1440,0)-N($J364)))</f>
        <v/>
      </c>
      <c r="L364" s="41" t="n"/>
      <c r="M364" s="34" t="n"/>
    </row>
    <row r="365">
      <c r="A365" s="132" t="n"/>
      <c r="B365" s="34" t="n"/>
      <c r="C365" s="41" t="n"/>
      <c r="D365" s="26">
        <f>IF($A365="","",3+INT(($A365-DATE(2026,10,5))/7))</f>
        <v/>
      </c>
      <c r="E365" s="41" t="n"/>
      <c r="F365" s="41" t="n"/>
      <c r="G365" s="34" t="n"/>
      <c r="H365" s="75" t="n"/>
      <c r="I365" s="75" t="n"/>
      <c r="J365" s="44" t="n"/>
      <c r="K365" s="26">
        <f>IF(OR($H365="",$I365=""),"",MAX(0,ROUND(($I365-$H365)*1440,0)-N($J365)))</f>
        <v/>
      </c>
      <c r="L365" s="41" t="n"/>
      <c r="M365" s="34" t="n"/>
    </row>
    <row r="366">
      <c r="A366" s="132" t="n"/>
      <c r="B366" s="34" t="n"/>
      <c r="C366" s="41" t="n"/>
      <c r="D366" s="26">
        <f>IF($A366="","",3+INT(($A366-DATE(2026,10,5))/7))</f>
        <v/>
      </c>
      <c r="E366" s="41" t="n"/>
      <c r="F366" s="41" t="n"/>
      <c r="G366" s="34" t="n"/>
      <c r="H366" s="75" t="n"/>
      <c r="I366" s="75" t="n"/>
      <c r="J366" s="44" t="n"/>
      <c r="K366" s="26">
        <f>IF(OR($H366="",$I366=""),"",MAX(0,ROUND(($I366-$H366)*1440,0)-N($J366)))</f>
        <v/>
      </c>
      <c r="L366" s="41" t="n"/>
      <c r="M366" s="34" t="n"/>
    </row>
    <row r="367">
      <c r="A367" s="132" t="n"/>
      <c r="B367" s="34" t="n"/>
      <c r="C367" s="41" t="n"/>
      <c r="D367" s="26">
        <f>IF($A367="","",3+INT(($A367-DATE(2026,10,5))/7))</f>
        <v/>
      </c>
      <c r="E367" s="41" t="n"/>
      <c r="F367" s="41" t="n"/>
      <c r="G367" s="34" t="n"/>
      <c r="H367" s="75" t="n"/>
      <c r="I367" s="75" t="n"/>
      <c r="J367" s="44" t="n"/>
      <c r="K367" s="26">
        <f>IF(OR($H367="",$I367=""),"",MAX(0,ROUND(($I367-$H367)*1440,0)-N($J367)))</f>
        <v/>
      </c>
      <c r="L367" s="41" t="n"/>
      <c r="M367" s="34" t="n"/>
    </row>
    <row r="368">
      <c r="A368" s="132" t="n"/>
      <c r="B368" s="34" t="n"/>
      <c r="C368" s="41" t="n"/>
      <c r="D368" s="26">
        <f>IF($A368="","",3+INT(($A368-DATE(2026,10,5))/7))</f>
        <v/>
      </c>
      <c r="E368" s="41" t="n"/>
      <c r="F368" s="41" t="n"/>
      <c r="G368" s="34" t="n"/>
      <c r="H368" s="75" t="n"/>
      <c r="I368" s="75" t="n"/>
      <c r="J368" s="44" t="n"/>
      <c r="K368" s="26">
        <f>IF(OR($H368="",$I368=""),"",MAX(0,ROUND(($I368-$H368)*1440,0)-N($J368)))</f>
        <v/>
      </c>
      <c r="L368" s="41" t="n"/>
      <c r="M368" s="34" t="n"/>
    </row>
    <row r="369">
      <c r="A369" s="132" t="n"/>
      <c r="B369" s="34" t="n"/>
      <c r="C369" s="41" t="n"/>
      <c r="D369" s="26">
        <f>IF($A369="","",3+INT(($A369-DATE(2026,10,5))/7))</f>
        <v/>
      </c>
      <c r="E369" s="41" t="n"/>
      <c r="F369" s="41" t="n"/>
      <c r="G369" s="34" t="n"/>
      <c r="H369" s="75" t="n"/>
      <c r="I369" s="75" t="n"/>
      <c r="J369" s="44" t="n"/>
      <c r="K369" s="26">
        <f>IF(OR($H369="",$I369=""),"",MAX(0,ROUND(($I369-$H369)*1440,0)-N($J369)))</f>
        <v/>
      </c>
      <c r="L369" s="41" t="n"/>
      <c r="M369" s="34" t="n"/>
    </row>
    <row r="370">
      <c r="A370" s="132" t="n"/>
      <c r="B370" s="34" t="n"/>
      <c r="C370" s="41" t="n"/>
      <c r="D370" s="26">
        <f>IF($A370="","",3+INT(($A370-DATE(2026,10,5))/7))</f>
        <v/>
      </c>
      <c r="E370" s="41" t="n"/>
      <c r="F370" s="41" t="n"/>
      <c r="G370" s="34" t="n"/>
      <c r="H370" s="75" t="n"/>
      <c r="I370" s="75" t="n"/>
      <c r="J370" s="44" t="n"/>
      <c r="K370" s="26">
        <f>IF(OR($H370="",$I370=""),"",MAX(0,ROUND(($I370-$H370)*1440,0)-N($J370)))</f>
        <v/>
      </c>
      <c r="L370" s="41" t="n"/>
      <c r="M370" s="34" t="n"/>
    </row>
    <row r="371">
      <c r="A371" s="132" t="n"/>
      <c r="B371" s="34" t="n"/>
      <c r="C371" s="41" t="n"/>
      <c r="D371" s="26">
        <f>IF($A371="","",3+INT(($A371-DATE(2026,10,5))/7))</f>
        <v/>
      </c>
      <c r="E371" s="41" t="n"/>
      <c r="F371" s="41" t="n"/>
      <c r="G371" s="34" t="n"/>
      <c r="H371" s="75" t="n"/>
      <c r="I371" s="75" t="n"/>
      <c r="J371" s="44" t="n"/>
      <c r="K371" s="26">
        <f>IF(OR($H371="",$I371=""),"",MAX(0,ROUND(($I371-$H371)*1440,0)-N($J371)))</f>
        <v/>
      </c>
      <c r="L371" s="41" t="n"/>
      <c r="M371" s="34" t="n"/>
    </row>
    <row r="372">
      <c r="A372" s="132" t="n"/>
      <c r="B372" s="34" t="n"/>
      <c r="C372" s="41" t="n"/>
      <c r="D372" s="26">
        <f>IF($A372="","",3+INT(($A372-DATE(2026,10,5))/7))</f>
        <v/>
      </c>
      <c r="E372" s="41" t="n"/>
      <c r="F372" s="41" t="n"/>
      <c r="G372" s="34" t="n"/>
      <c r="H372" s="75" t="n"/>
      <c r="I372" s="75" t="n"/>
      <c r="J372" s="44" t="n"/>
      <c r="K372" s="26">
        <f>IF(OR($H372="",$I372=""),"",MAX(0,ROUND(($I372-$H372)*1440,0)-N($J372)))</f>
        <v/>
      </c>
      <c r="L372" s="41" t="n"/>
      <c r="M372" s="34" t="n"/>
    </row>
    <row r="373">
      <c r="A373" s="132" t="n"/>
      <c r="B373" s="34" t="n"/>
      <c r="C373" s="41" t="n"/>
      <c r="D373" s="26">
        <f>IF($A373="","",3+INT(($A373-DATE(2026,10,5))/7))</f>
        <v/>
      </c>
      <c r="E373" s="41" t="n"/>
      <c r="F373" s="41" t="n"/>
      <c r="G373" s="34" t="n"/>
      <c r="H373" s="75" t="n"/>
      <c r="I373" s="75" t="n"/>
      <c r="J373" s="44" t="n"/>
      <c r="K373" s="26">
        <f>IF(OR($H373="",$I373=""),"",MAX(0,ROUND(($I373-$H373)*1440,0)-N($J373)))</f>
        <v/>
      </c>
      <c r="L373" s="41" t="n"/>
      <c r="M373" s="34" t="n"/>
    </row>
    <row r="374">
      <c r="A374" s="132" t="n"/>
      <c r="B374" s="34" t="n"/>
      <c r="C374" s="41" t="n"/>
      <c r="D374" s="26">
        <f>IF($A374="","",3+INT(($A374-DATE(2026,10,5))/7))</f>
        <v/>
      </c>
      <c r="E374" s="41" t="n"/>
      <c r="F374" s="41" t="n"/>
      <c r="G374" s="34" t="n"/>
      <c r="H374" s="75" t="n"/>
      <c r="I374" s="75" t="n"/>
      <c r="J374" s="44" t="n"/>
      <c r="K374" s="26">
        <f>IF(OR($H374="",$I374=""),"",MAX(0,ROUND(($I374-$H374)*1440,0)-N($J374)))</f>
        <v/>
      </c>
      <c r="L374" s="41" t="n"/>
      <c r="M374" s="34" t="n"/>
    </row>
    <row r="375">
      <c r="A375" s="132" t="n"/>
      <c r="B375" s="34" t="n"/>
      <c r="C375" s="41" t="n"/>
      <c r="D375" s="26">
        <f>IF($A375="","",3+INT(($A375-DATE(2026,10,5))/7))</f>
        <v/>
      </c>
      <c r="E375" s="41" t="n"/>
      <c r="F375" s="41" t="n"/>
      <c r="G375" s="34" t="n"/>
      <c r="H375" s="75" t="n"/>
      <c r="I375" s="75" t="n"/>
      <c r="J375" s="44" t="n"/>
      <c r="K375" s="26">
        <f>IF(OR($H375="",$I375=""),"",MAX(0,ROUND(($I375-$H375)*1440,0)-N($J375)))</f>
        <v/>
      </c>
      <c r="L375" s="41" t="n"/>
      <c r="M375" s="34" t="n"/>
    </row>
    <row r="376">
      <c r="A376" s="132" t="n"/>
      <c r="B376" s="34" t="n"/>
      <c r="C376" s="41" t="n"/>
      <c r="D376" s="26">
        <f>IF($A376="","",3+INT(($A376-DATE(2026,10,5))/7))</f>
        <v/>
      </c>
      <c r="E376" s="41" t="n"/>
      <c r="F376" s="41" t="n"/>
      <c r="G376" s="34" t="n"/>
      <c r="H376" s="75" t="n"/>
      <c r="I376" s="75" t="n"/>
      <c r="J376" s="44" t="n"/>
      <c r="K376" s="26">
        <f>IF(OR($H376="",$I376=""),"",MAX(0,ROUND(($I376-$H376)*1440,0)-N($J376)))</f>
        <v/>
      </c>
      <c r="L376" s="41" t="n"/>
      <c r="M376" s="34" t="n"/>
    </row>
    <row r="377">
      <c r="A377" s="132" t="n"/>
      <c r="B377" s="34" t="n"/>
      <c r="C377" s="41" t="n"/>
      <c r="D377" s="26">
        <f>IF($A377="","",3+INT(($A377-DATE(2026,10,5))/7))</f>
        <v/>
      </c>
      <c r="E377" s="41" t="n"/>
      <c r="F377" s="41" t="n"/>
      <c r="G377" s="34" t="n"/>
      <c r="H377" s="75" t="n"/>
      <c r="I377" s="75" t="n"/>
      <c r="J377" s="44" t="n"/>
      <c r="K377" s="26">
        <f>IF(OR($H377="",$I377=""),"",MAX(0,ROUND(($I377-$H377)*1440,0)-N($J377)))</f>
        <v/>
      </c>
      <c r="L377" s="41" t="n"/>
      <c r="M377" s="34" t="n"/>
    </row>
    <row r="378">
      <c r="A378" s="132" t="n"/>
      <c r="B378" s="34" t="n"/>
      <c r="C378" s="41" t="n"/>
      <c r="D378" s="26">
        <f>IF($A378="","",3+INT(($A378-DATE(2026,10,5))/7))</f>
        <v/>
      </c>
      <c r="E378" s="41" t="n"/>
      <c r="F378" s="41" t="n"/>
      <c r="G378" s="34" t="n"/>
      <c r="H378" s="75" t="n"/>
      <c r="I378" s="75" t="n"/>
      <c r="J378" s="44" t="n"/>
      <c r="K378" s="26">
        <f>IF(OR($H378="",$I378=""),"",MAX(0,ROUND(($I378-$H378)*1440,0)-N($J378)))</f>
        <v/>
      </c>
      <c r="L378" s="41" t="n"/>
      <c r="M378" s="34" t="n"/>
    </row>
    <row r="379">
      <c r="A379" s="132" t="n"/>
      <c r="B379" s="34" t="n"/>
      <c r="C379" s="41" t="n"/>
      <c r="D379" s="26">
        <f>IF($A379="","",3+INT(($A379-DATE(2026,10,5))/7))</f>
        <v/>
      </c>
      <c r="E379" s="41" t="n"/>
      <c r="F379" s="41" t="n"/>
      <c r="G379" s="34" t="n"/>
      <c r="H379" s="75" t="n"/>
      <c r="I379" s="75" t="n"/>
      <c r="J379" s="44" t="n"/>
      <c r="K379" s="26">
        <f>IF(OR($H379="",$I379=""),"",MAX(0,ROUND(($I379-$H379)*1440,0)-N($J379)))</f>
        <v/>
      </c>
      <c r="L379" s="41" t="n"/>
      <c r="M379" s="34" t="n"/>
    </row>
    <row r="380">
      <c r="A380" s="132" t="n"/>
      <c r="B380" s="34" t="n"/>
      <c r="C380" s="41" t="n"/>
      <c r="D380" s="26">
        <f>IF($A380="","",3+INT(($A380-DATE(2026,10,5))/7))</f>
        <v/>
      </c>
      <c r="E380" s="41" t="n"/>
      <c r="F380" s="41" t="n"/>
      <c r="G380" s="34" t="n"/>
      <c r="H380" s="75" t="n"/>
      <c r="I380" s="75" t="n"/>
      <c r="J380" s="44" t="n"/>
      <c r="K380" s="26">
        <f>IF(OR($H380="",$I380=""),"",MAX(0,ROUND(($I380-$H380)*1440,0)-N($J380)))</f>
        <v/>
      </c>
      <c r="L380" s="41" t="n"/>
      <c r="M380" s="34" t="n"/>
    </row>
    <row r="381">
      <c r="A381" s="132" t="n"/>
      <c r="B381" s="34" t="n"/>
      <c r="C381" s="41" t="n"/>
      <c r="D381" s="26">
        <f>IF($A381="","",3+INT(($A381-DATE(2026,10,5))/7))</f>
        <v/>
      </c>
      <c r="E381" s="41" t="n"/>
      <c r="F381" s="41" t="n"/>
      <c r="G381" s="34" t="n"/>
      <c r="H381" s="75" t="n"/>
      <c r="I381" s="75" t="n"/>
      <c r="J381" s="44" t="n"/>
      <c r="K381" s="26">
        <f>IF(OR($H381="",$I381=""),"",MAX(0,ROUND(($I381-$H381)*1440,0)-N($J381)))</f>
        <v/>
      </c>
      <c r="L381" s="41" t="n"/>
      <c r="M381" s="34" t="n"/>
    </row>
    <row r="382">
      <c r="A382" s="132" t="n"/>
      <c r="B382" s="34" t="n"/>
      <c r="C382" s="41" t="n"/>
      <c r="D382" s="26">
        <f>IF($A382="","",3+INT(($A382-DATE(2026,10,5))/7))</f>
        <v/>
      </c>
      <c r="E382" s="41" t="n"/>
      <c r="F382" s="41" t="n"/>
      <c r="G382" s="34" t="n"/>
      <c r="H382" s="75" t="n"/>
      <c r="I382" s="75" t="n"/>
      <c r="J382" s="44" t="n"/>
      <c r="K382" s="26">
        <f>IF(OR($H382="",$I382=""),"",MAX(0,ROUND(($I382-$H382)*1440,0)-N($J382)))</f>
        <v/>
      </c>
      <c r="L382" s="41" t="n"/>
      <c r="M382" s="34" t="n"/>
    </row>
    <row r="383">
      <c r="A383" s="132" t="n"/>
      <c r="B383" s="34" t="n"/>
      <c r="C383" s="41" t="n"/>
      <c r="D383" s="26">
        <f>IF($A383="","",3+INT(($A383-DATE(2026,10,5))/7))</f>
        <v/>
      </c>
      <c r="E383" s="41" t="n"/>
      <c r="F383" s="41" t="n"/>
      <c r="G383" s="34" t="n"/>
      <c r="H383" s="75" t="n"/>
      <c r="I383" s="75" t="n"/>
      <c r="J383" s="44" t="n"/>
      <c r="K383" s="26">
        <f>IF(OR($H383="",$I383=""),"",MAX(0,ROUND(($I383-$H383)*1440,0)-N($J383)))</f>
        <v/>
      </c>
      <c r="L383" s="41" t="n"/>
      <c r="M383" s="34" t="n"/>
    </row>
    <row r="384">
      <c r="A384" s="132" t="n"/>
      <c r="B384" s="34" t="n"/>
      <c r="C384" s="41" t="n"/>
      <c r="D384" s="26">
        <f>IF($A384="","",3+INT(($A384-DATE(2026,10,5))/7))</f>
        <v/>
      </c>
      <c r="E384" s="41" t="n"/>
      <c r="F384" s="41" t="n"/>
      <c r="G384" s="34" t="n"/>
      <c r="H384" s="75" t="n"/>
      <c r="I384" s="75" t="n"/>
      <c r="J384" s="44" t="n"/>
      <c r="K384" s="26">
        <f>IF(OR($H384="",$I384=""),"",MAX(0,ROUND(($I384-$H384)*1440,0)-N($J384)))</f>
        <v/>
      </c>
      <c r="L384" s="41" t="n"/>
      <c r="M384" s="34" t="n"/>
    </row>
    <row r="385">
      <c r="A385" s="132" t="n"/>
      <c r="B385" s="34" t="n"/>
      <c r="C385" s="41" t="n"/>
      <c r="D385" s="26">
        <f>IF($A385="","",3+INT(($A385-DATE(2026,10,5))/7))</f>
        <v/>
      </c>
      <c r="E385" s="41" t="n"/>
      <c r="F385" s="41" t="n"/>
      <c r="G385" s="34" t="n"/>
      <c r="H385" s="75" t="n"/>
      <c r="I385" s="75" t="n"/>
      <c r="J385" s="44" t="n"/>
      <c r="K385" s="26">
        <f>IF(OR($H385="",$I385=""),"",MAX(0,ROUND(($I385-$H385)*1440,0)-N($J385)))</f>
        <v/>
      </c>
      <c r="L385" s="41" t="n"/>
      <c r="M385" s="34" t="n"/>
    </row>
    <row r="386">
      <c r="A386" s="132" t="n"/>
      <c r="B386" s="34" t="n"/>
      <c r="C386" s="41" t="n"/>
      <c r="D386" s="26">
        <f>IF($A386="","",3+INT(($A386-DATE(2026,10,5))/7))</f>
        <v/>
      </c>
      <c r="E386" s="41" t="n"/>
      <c r="F386" s="41" t="n"/>
      <c r="G386" s="34" t="n"/>
      <c r="H386" s="75" t="n"/>
      <c r="I386" s="75" t="n"/>
      <c r="J386" s="44" t="n"/>
      <c r="K386" s="26">
        <f>IF(OR($H386="",$I386=""),"",MAX(0,ROUND(($I386-$H386)*1440,0)-N($J386)))</f>
        <v/>
      </c>
      <c r="L386" s="41" t="n"/>
      <c r="M386" s="34" t="n"/>
    </row>
    <row r="387">
      <c r="A387" s="132" t="n"/>
      <c r="B387" s="34" t="n"/>
      <c r="C387" s="41" t="n"/>
      <c r="D387" s="26">
        <f>IF($A387="","",3+INT(($A387-DATE(2026,10,5))/7))</f>
        <v/>
      </c>
      <c r="E387" s="41" t="n"/>
      <c r="F387" s="41" t="n"/>
      <c r="G387" s="34" t="n"/>
      <c r="H387" s="75" t="n"/>
      <c r="I387" s="75" t="n"/>
      <c r="J387" s="44" t="n"/>
      <c r="K387" s="26">
        <f>IF(OR($H387="",$I387=""),"",MAX(0,ROUND(($I387-$H387)*1440,0)-N($J387)))</f>
        <v/>
      </c>
      <c r="L387" s="41" t="n"/>
      <c r="M387" s="34" t="n"/>
    </row>
    <row r="388">
      <c r="A388" s="132" t="n"/>
      <c r="B388" s="34" t="n"/>
      <c r="C388" s="41" t="n"/>
      <c r="D388" s="26">
        <f>IF($A388="","",3+INT(($A388-DATE(2026,10,5))/7))</f>
        <v/>
      </c>
      <c r="E388" s="41" t="n"/>
      <c r="F388" s="41" t="n"/>
      <c r="G388" s="34" t="n"/>
      <c r="H388" s="75" t="n"/>
      <c r="I388" s="75" t="n"/>
      <c r="J388" s="44" t="n"/>
      <c r="K388" s="26">
        <f>IF(OR($H388="",$I388=""),"",MAX(0,ROUND(($I388-$H388)*1440,0)-N($J388)))</f>
        <v/>
      </c>
      <c r="L388" s="41" t="n"/>
      <c r="M388" s="34" t="n"/>
    </row>
    <row r="389">
      <c r="A389" s="132" t="n"/>
      <c r="B389" s="34" t="n"/>
      <c r="C389" s="41" t="n"/>
      <c r="D389" s="26">
        <f>IF($A389="","",3+INT(($A389-DATE(2026,10,5))/7))</f>
        <v/>
      </c>
      <c r="E389" s="41" t="n"/>
      <c r="F389" s="41" t="n"/>
      <c r="G389" s="34" t="n"/>
      <c r="H389" s="75" t="n"/>
      <c r="I389" s="75" t="n"/>
      <c r="J389" s="44" t="n"/>
      <c r="K389" s="26">
        <f>IF(OR($H389="",$I389=""),"",MAX(0,ROUND(($I389-$H389)*1440,0)-N($J389)))</f>
        <v/>
      </c>
      <c r="L389" s="41" t="n"/>
      <c r="M389" s="34" t="n"/>
    </row>
    <row r="390">
      <c r="A390" s="132" t="n"/>
      <c r="B390" s="34" t="n"/>
      <c r="C390" s="41" t="n"/>
      <c r="D390" s="26">
        <f>IF($A390="","",3+INT(($A390-DATE(2026,10,5))/7))</f>
        <v/>
      </c>
      <c r="E390" s="41" t="n"/>
      <c r="F390" s="41" t="n"/>
      <c r="G390" s="34" t="n"/>
      <c r="H390" s="75" t="n"/>
      <c r="I390" s="75" t="n"/>
      <c r="J390" s="44" t="n"/>
      <c r="K390" s="26">
        <f>IF(OR($H390="",$I390=""),"",MAX(0,ROUND(($I390-$H390)*1440,0)-N($J390)))</f>
        <v/>
      </c>
      <c r="L390" s="41" t="n"/>
      <c r="M390" s="34" t="n"/>
    </row>
    <row r="391">
      <c r="A391" s="132" t="n"/>
      <c r="B391" s="34" t="n"/>
      <c r="C391" s="41" t="n"/>
      <c r="D391" s="26">
        <f>IF($A391="","",3+INT(($A391-DATE(2026,10,5))/7))</f>
        <v/>
      </c>
      <c r="E391" s="41" t="n"/>
      <c r="F391" s="41" t="n"/>
      <c r="G391" s="34" t="n"/>
      <c r="H391" s="75" t="n"/>
      <c r="I391" s="75" t="n"/>
      <c r="J391" s="44" t="n"/>
      <c r="K391" s="26">
        <f>IF(OR($H391="",$I391=""),"",MAX(0,ROUND(($I391-$H391)*1440,0)-N($J391)))</f>
        <v/>
      </c>
      <c r="L391" s="41" t="n"/>
      <c r="M391" s="34" t="n"/>
    </row>
    <row r="392">
      <c r="A392" s="132" t="n"/>
      <c r="B392" s="34" t="n"/>
      <c r="C392" s="41" t="n"/>
      <c r="D392" s="26">
        <f>IF($A392="","",3+INT(($A392-DATE(2026,10,5))/7))</f>
        <v/>
      </c>
      <c r="E392" s="41" t="n"/>
      <c r="F392" s="41" t="n"/>
      <c r="G392" s="34" t="n"/>
      <c r="H392" s="75" t="n"/>
      <c r="I392" s="75" t="n"/>
      <c r="J392" s="44" t="n"/>
      <c r="K392" s="26">
        <f>IF(OR($H392="",$I392=""),"",MAX(0,ROUND(($I392-$H392)*1440,0)-N($J392)))</f>
        <v/>
      </c>
      <c r="L392" s="41" t="n"/>
      <c r="M392" s="34" t="n"/>
    </row>
    <row r="393">
      <c r="A393" s="132" t="n"/>
      <c r="B393" s="34" t="n"/>
      <c r="C393" s="41" t="n"/>
      <c r="D393" s="26">
        <f>IF($A393="","",3+INT(($A393-DATE(2026,10,5))/7))</f>
        <v/>
      </c>
      <c r="E393" s="41" t="n"/>
      <c r="F393" s="41" t="n"/>
      <c r="G393" s="34" t="n"/>
      <c r="H393" s="75" t="n"/>
      <c r="I393" s="75" t="n"/>
      <c r="J393" s="44" t="n"/>
      <c r="K393" s="26">
        <f>IF(OR($H393="",$I393=""),"",MAX(0,ROUND(($I393-$H393)*1440,0)-N($J393)))</f>
        <v/>
      </c>
      <c r="L393" s="41" t="n"/>
      <c r="M393" s="34" t="n"/>
    </row>
    <row r="394">
      <c r="A394" s="132" t="n"/>
      <c r="B394" s="34" t="n"/>
      <c r="C394" s="41" t="n"/>
      <c r="D394" s="26">
        <f>IF($A394="","",3+INT(($A394-DATE(2026,10,5))/7))</f>
        <v/>
      </c>
      <c r="E394" s="41" t="n"/>
      <c r="F394" s="41" t="n"/>
      <c r="G394" s="34" t="n"/>
      <c r="H394" s="75" t="n"/>
      <c r="I394" s="75" t="n"/>
      <c r="J394" s="44" t="n"/>
      <c r="K394" s="26">
        <f>IF(OR($H394="",$I394=""),"",MAX(0,ROUND(($I394-$H394)*1440,0)-N($J394)))</f>
        <v/>
      </c>
      <c r="L394" s="41" t="n"/>
      <c r="M394" s="34" t="n"/>
    </row>
    <row r="395">
      <c r="A395" s="132" t="n"/>
      <c r="B395" s="34" t="n"/>
      <c r="C395" s="41" t="n"/>
      <c r="D395" s="26">
        <f>IF($A395="","",3+INT(($A395-DATE(2026,10,5))/7))</f>
        <v/>
      </c>
      <c r="E395" s="41" t="n"/>
      <c r="F395" s="41" t="n"/>
      <c r="G395" s="34" t="n"/>
      <c r="H395" s="75" t="n"/>
      <c r="I395" s="75" t="n"/>
      <c r="J395" s="44" t="n"/>
      <c r="K395" s="26">
        <f>IF(OR($H395="",$I395=""),"",MAX(0,ROUND(($I395-$H395)*1440,0)-N($J395)))</f>
        <v/>
      </c>
      <c r="L395" s="41" t="n"/>
      <c r="M395" s="34" t="n"/>
    </row>
    <row r="396">
      <c r="A396" s="132" t="n"/>
      <c r="B396" s="34" t="n"/>
      <c r="C396" s="41" t="n"/>
      <c r="D396" s="26">
        <f>IF($A396="","",3+INT(($A396-DATE(2026,10,5))/7))</f>
        <v/>
      </c>
      <c r="E396" s="41" t="n"/>
      <c r="F396" s="41" t="n"/>
      <c r="G396" s="34" t="n"/>
      <c r="H396" s="75" t="n"/>
      <c r="I396" s="75" t="n"/>
      <c r="J396" s="44" t="n"/>
      <c r="K396" s="26">
        <f>IF(OR($H396="",$I396=""),"",MAX(0,ROUND(($I396-$H396)*1440,0)-N($J396)))</f>
        <v/>
      </c>
      <c r="L396" s="41" t="n"/>
      <c r="M396" s="34" t="n"/>
    </row>
    <row r="397">
      <c r="A397" s="132" t="n"/>
      <c r="B397" s="34" t="n"/>
      <c r="C397" s="41" t="n"/>
      <c r="D397" s="26">
        <f>IF($A397="","",3+INT(($A397-DATE(2026,10,5))/7))</f>
        <v/>
      </c>
      <c r="E397" s="41" t="n"/>
      <c r="F397" s="41" t="n"/>
      <c r="G397" s="34" t="n"/>
      <c r="H397" s="75" t="n"/>
      <c r="I397" s="75" t="n"/>
      <c r="J397" s="44" t="n"/>
      <c r="K397" s="26">
        <f>IF(OR($H397="",$I397=""),"",MAX(0,ROUND(($I397-$H397)*1440,0)-N($J397)))</f>
        <v/>
      </c>
      <c r="L397" s="41" t="n"/>
      <c r="M397" s="34" t="n"/>
    </row>
    <row r="398">
      <c r="A398" s="132" t="n"/>
      <c r="B398" s="34" t="n"/>
      <c r="C398" s="41" t="n"/>
      <c r="D398" s="26">
        <f>IF($A398="","",3+INT(($A398-DATE(2026,10,5))/7))</f>
        <v/>
      </c>
      <c r="E398" s="41" t="n"/>
      <c r="F398" s="41" t="n"/>
      <c r="G398" s="34" t="n"/>
      <c r="H398" s="75" t="n"/>
      <c r="I398" s="75" t="n"/>
      <c r="J398" s="44" t="n"/>
      <c r="K398" s="26">
        <f>IF(OR($H398="",$I398=""),"",MAX(0,ROUND(($I398-$H398)*1440,0)-N($J398)))</f>
        <v/>
      </c>
      <c r="L398" s="41" t="n"/>
      <c r="M398" s="34" t="n"/>
    </row>
    <row r="399">
      <c r="A399" s="132" t="n"/>
      <c r="B399" s="34" t="n"/>
      <c r="C399" s="41" t="n"/>
      <c r="D399" s="26">
        <f>IF($A399="","",3+INT(($A399-DATE(2026,10,5))/7))</f>
        <v/>
      </c>
      <c r="E399" s="41" t="n"/>
      <c r="F399" s="41" t="n"/>
      <c r="G399" s="34" t="n"/>
      <c r="H399" s="75" t="n"/>
      <c r="I399" s="75" t="n"/>
      <c r="J399" s="44" t="n"/>
      <c r="K399" s="26">
        <f>IF(OR($H399="",$I399=""),"",MAX(0,ROUND(($I399-$H399)*1440,0)-N($J399)))</f>
        <v/>
      </c>
      <c r="L399" s="41" t="n"/>
      <c r="M399" s="34" t="n"/>
    </row>
    <row r="400">
      <c r="A400" s="132" t="n"/>
      <c r="B400" s="34" t="n"/>
      <c r="C400" s="41" t="n"/>
      <c r="D400" s="26">
        <f>IF($A400="","",3+INT(($A400-DATE(2026,10,5))/7))</f>
        <v/>
      </c>
      <c r="E400" s="41" t="n"/>
      <c r="F400" s="41" t="n"/>
      <c r="G400" s="34" t="n"/>
      <c r="H400" s="75" t="n"/>
      <c r="I400" s="75" t="n"/>
      <c r="J400" s="44" t="n"/>
      <c r="K400" s="26">
        <f>IF(OR($H400="",$I400=""),"",MAX(0,ROUND(($I400-$H400)*1440,0)-N($J400)))</f>
        <v/>
      </c>
      <c r="L400" s="41" t="n"/>
      <c r="M400" s="34" t="n"/>
    </row>
    <row r="401">
      <c r="A401" s="132" t="n"/>
      <c r="B401" s="34" t="n"/>
      <c r="C401" s="41" t="n"/>
      <c r="D401" s="26">
        <f>IF($A401="","",3+INT(($A401-DATE(2026,10,5))/7))</f>
        <v/>
      </c>
      <c r="E401" s="41" t="n"/>
      <c r="F401" s="41" t="n"/>
      <c r="G401" s="34" t="n"/>
      <c r="H401" s="75" t="n"/>
      <c r="I401" s="75" t="n"/>
      <c r="J401" s="44" t="n"/>
      <c r="K401" s="26">
        <f>IF(OR($H401="",$I401=""),"",MAX(0,ROUND(($I401-$H401)*1440,0)-N($J401)))</f>
        <v/>
      </c>
      <c r="L401" s="41" t="n"/>
      <c r="M401" s="34" t="n"/>
    </row>
    <row r="402">
      <c r="A402" s="132" t="n"/>
      <c r="B402" s="34" t="n"/>
      <c r="C402" s="41" t="n"/>
      <c r="D402" s="26">
        <f>IF($A402="","",3+INT(($A402-DATE(2026,10,5))/7))</f>
        <v/>
      </c>
      <c r="E402" s="41" t="n"/>
      <c r="F402" s="41" t="n"/>
      <c r="G402" s="34" t="n"/>
      <c r="H402" s="75" t="n"/>
      <c r="I402" s="75" t="n"/>
      <c r="J402" s="44" t="n"/>
      <c r="K402" s="26">
        <f>IF(OR($H402="",$I402=""),"",MAX(0,ROUND(($I402-$H402)*1440,0)-N($J402)))</f>
        <v/>
      </c>
      <c r="L402" s="41" t="n"/>
      <c r="M402" s="34" t="n"/>
    </row>
    <row r="403">
      <c r="A403" s="132" t="n"/>
      <c r="B403" s="34" t="n"/>
      <c r="C403" s="41" t="n"/>
      <c r="D403" s="26">
        <f>IF($A403="","",3+INT(($A403-DATE(2026,10,5))/7))</f>
        <v/>
      </c>
      <c r="E403" s="41" t="n"/>
      <c r="F403" s="41" t="n"/>
      <c r="G403" s="34" t="n"/>
      <c r="H403" s="75" t="n"/>
      <c r="I403" s="75" t="n"/>
      <c r="J403" s="44" t="n"/>
      <c r="K403" s="26">
        <f>IF(OR($H403="",$I403=""),"",MAX(0,ROUND(($I403-$H403)*1440,0)-N($J403)))</f>
        <v/>
      </c>
      <c r="L403" s="41" t="n"/>
      <c r="M403" s="34" t="n"/>
    </row>
    <row r="404">
      <c r="A404" s="132" t="n"/>
      <c r="B404" s="34" t="n"/>
      <c r="C404" s="41" t="n"/>
      <c r="D404" s="26">
        <f>IF($A404="","",3+INT(($A404-DATE(2026,10,5))/7))</f>
        <v/>
      </c>
      <c r="E404" s="41" t="n"/>
      <c r="F404" s="41" t="n"/>
      <c r="G404" s="34" t="n"/>
      <c r="H404" s="75" t="n"/>
      <c r="I404" s="75" t="n"/>
      <c r="J404" s="44" t="n"/>
      <c r="K404" s="26">
        <f>IF(OR($H404="",$I404=""),"",MAX(0,ROUND(($I404-$H404)*1440,0)-N($J404)))</f>
        <v/>
      </c>
      <c r="L404" s="41" t="n"/>
      <c r="M404" s="34" t="n"/>
    </row>
    <row r="405">
      <c r="A405" s="132" t="n"/>
      <c r="B405" s="34" t="n"/>
      <c r="C405" s="41" t="n"/>
      <c r="D405" s="26">
        <f>IF($A405="","",3+INT(($A405-DATE(2026,10,5))/7))</f>
        <v/>
      </c>
      <c r="E405" s="41" t="n"/>
      <c r="F405" s="41" t="n"/>
      <c r="G405" s="34" t="n"/>
      <c r="H405" s="75" t="n"/>
      <c r="I405" s="75" t="n"/>
      <c r="J405" s="44" t="n"/>
      <c r="K405" s="26">
        <f>IF(OR($H405="",$I405=""),"",MAX(0,ROUND(($I405-$H405)*1440,0)-N($J405)))</f>
        <v/>
      </c>
      <c r="L405" s="41" t="n"/>
      <c r="M405" s="34" t="n"/>
    </row>
    <row r="406">
      <c r="A406" s="132" t="n"/>
      <c r="B406" s="34" t="n"/>
      <c r="C406" s="41" t="n"/>
      <c r="D406" s="26">
        <f>IF($A406="","",3+INT(($A406-DATE(2026,10,5))/7))</f>
        <v/>
      </c>
      <c r="E406" s="41" t="n"/>
      <c r="F406" s="41" t="n"/>
      <c r="G406" s="34" t="n"/>
      <c r="H406" s="75" t="n"/>
      <c r="I406" s="75" t="n"/>
      <c r="J406" s="44" t="n"/>
      <c r="K406" s="26">
        <f>IF(OR($H406="",$I406=""),"",MAX(0,ROUND(($I406-$H406)*1440,0)-N($J406)))</f>
        <v/>
      </c>
      <c r="L406" s="41" t="n"/>
      <c r="M406" s="34" t="n"/>
    </row>
  </sheetData>
  <mergeCells count="2">
    <mergeCell ref="A2:M2"/>
    <mergeCell ref="A1:M1"/>
  </mergeCells>
  <dataValidations count="4">
    <dataValidation sqref="B7:B406" showDropDown="0" showInputMessage="0" showErrorMessage="0" allowBlank="1" error="Pick a value from the list." promptTitle="Member" type="list">
      <formula1>=LISTS!$H$5:$H$10</formula1>
    </dataValidation>
    <dataValidation sqref="C7:C406" showDropDown="0" showInputMessage="0" showErrorMessage="0" allowBlank="1" error="Pick a value from the list." promptTitle="Milestone" type="list">
      <formula1>=LISTS!$D$5:$D$8</formula1>
    </dataValidation>
    <dataValidation sqref="E7:E406" showDropDown="0" showInputMessage="0" showErrorMessage="0" allowBlank="1" error="Pick a value from the list." promptTitle="Phase" type="list">
      <formula1>=LISTS!$A$5:$A$31</formula1>
    </dataValidation>
    <dataValidation sqref="L7:L406" showDropDown="0" showInputMessage="0" showErrorMessage="0" allowBlank="1" error="Pick a value from the list." promptTitle="AI assisted?" type="list">
      <formula1>=LISTS!$I$5:$I$6</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tabColor rgb="0014505C"/>
    <outlinePr summaryBelow="1" summaryRight="1"/>
    <pageSetUpPr fitToPage="1"/>
  </sheetPr>
  <dimension ref="A1:M306"/>
  <sheetViews>
    <sheetView showGridLines="0" workbookViewId="0">
      <pane ySplit="6" topLeftCell="A7" activePane="bottomLeft" state="frozen"/>
      <selection pane="bottomLeft" activeCell="A1" sqref="A1"/>
    </sheetView>
  </sheetViews>
  <sheetFormatPr baseColWidth="8" defaultRowHeight="15" outlineLevelCol="0"/>
  <cols>
    <col width="11" customWidth="1" min="1" max="1"/>
    <col width="9" customWidth="1" min="2" max="2"/>
    <col width="20" customWidth="1" min="3" max="3"/>
    <col width="9" customWidth="1" min="4" max="4"/>
    <col width="20" customWidth="1" min="5" max="5"/>
    <col width="24" customWidth="1" min="6" max="6"/>
    <col width="11" customWidth="1" min="7" max="7"/>
    <col width="11" customWidth="1" min="8" max="8"/>
    <col width="9" customWidth="1" min="9" max="9"/>
    <col width="16" customWidth="1" min="10" max="10"/>
    <col width="11" customWidth="1" min="11" max="11"/>
    <col width="10" customWidth="1" min="12" max="12"/>
    <col width="48" customWidth="1" min="13" max="13"/>
  </cols>
  <sheetData>
    <row r="1" ht="30" customHeight="1">
      <c r="A1" s="1" t="inlineStr">
        <is>
          <t>Form LOGD  -  Defect Recording Log</t>
        </is>
      </c>
    </row>
    <row r="2" ht="16" customHeight="1">
      <c r="A2" s="2" t="inlineStr">
        <is>
          <t>Every defect found, wherever it was found. A defect caught in review still counts.</t>
        </is>
      </c>
    </row>
    <row r="4">
      <c r="A4" s="23" t="inlineStr">
        <is>
          <t>Team</t>
        </is>
      </c>
      <c r="B4" s="24">
        <f>SETUP!$C$10</f>
        <v/>
      </c>
      <c r="E4" s="23" t="inlineStr">
        <is>
          <t>Defects recorded</t>
        </is>
      </c>
      <c r="G4" s="67">
        <f>COUNTA(LOGD!$B$7:$B$306)</f>
        <v/>
      </c>
      <c r="H4" s="23" t="inlineStr">
        <is>
          <t>Total fix time (hrs)</t>
        </is>
      </c>
      <c r="J4" s="130">
        <f>SUM(LOGD!$I$7:$I$306)/60</f>
        <v/>
      </c>
    </row>
    <row r="6" ht="32" customHeight="1">
      <c r="A6" s="6" t="inlineStr">
        <is>
          <t>Date</t>
        </is>
      </c>
      <c r="B6" s="6" t="inlineStr">
        <is>
          <t>Defect ID</t>
        </is>
      </c>
      <c r="C6" s="6" t="inlineStr">
        <is>
          <t>Found by</t>
        </is>
      </c>
      <c r="D6" s="6" t="inlineStr">
        <is>
          <t>Milestone</t>
        </is>
      </c>
      <c r="E6" s="6" t="inlineStr">
        <is>
          <t>Type</t>
        </is>
      </c>
      <c r="F6" s="6" t="inlineStr">
        <is>
          <t>Component</t>
        </is>
      </c>
      <c r="G6" s="6" t="inlineStr">
        <is>
          <t>Injected in</t>
        </is>
      </c>
      <c r="H6" s="6" t="inlineStr">
        <is>
          <t>Removed in</t>
        </is>
      </c>
      <c r="I6" s="6" t="inlineStr">
        <is>
          <t>Fix time (min)</t>
        </is>
      </c>
      <c r="J6" s="6" t="inlineStr">
        <is>
          <t>Fix reference</t>
        </is>
      </c>
      <c r="K6" s="6" t="inlineStr">
        <is>
          <t>Severity</t>
        </is>
      </c>
      <c r="L6" s="6" t="inlineStr">
        <is>
          <t>From AI code?</t>
        </is>
      </c>
      <c r="M6" s="6" t="inlineStr">
        <is>
          <t>Description &amp; root cause</t>
        </is>
      </c>
    </row>
    <row r="7">
      <c r="A7" s="132" t="n">
        <v>46364</v>
      </c>
      <c r="B7" s="41" t="inlineStr">
        <is>
          <t>D001</t>
        </is>
      </c>
      <c r="C7" s="34" t="inlineStr">
        <is>
          <t>Daniel Wong Jun Hao</t>
        </is>
      </c>
      <c r="D7" s="41" t="inlineStr">
        <is>
          <t>M3</t>
        </is>
      </c>
      <c r="E7" s="34" t="inlineStr">
        <is>
          <t>10 - Documentation</t>
        </is>
      </c>
      <c r="F7" s="34" t="inlineStr">
        <is>
          <t>HLD</t>
        </is>
      </c>
      <c r="G7" s="41" t="inlineStr">
        <is>
          <t>HLD</t>
        </is>
      </c>
      <c r="H7" s="41" t="inlineStr">
        <is>
          <t>HLDINSP</t>
        </is>
      </c>
      <c r="I7" s="44" t="n">
        <v>30</v>
      </c>
      <c r="J7" s="34" t="inlineStr">
        <is>
          <t>PR</t>
        </is>
      </c>
      <c r="K7" s="41" t="inlineStr">
        <is>
          <t>Minor</t>
        </is>
      </c>
      <c r="L7" s="41" t="inlineStr">
        <is>
          <t>No</t>
        </is>
      </c>
      <c r="M7" s="34" t="inlineStr">
        <is>
          <t>Proposal correction on system artefacts</t>
        </is>
      </c>
    </row>
    <row r="8">
      <c r="A8" s="132" t="n">
        <v>46316</v>
      </c>
      <c r="B8" s="41" t="inlineStr">
        <is>
          <t>D002</t>
        </is>
      </c>
      <c r="C8" s="34" t="inlineStr">
        <is>
          <t>Mei Ling Chong</t>
        </is>
      </c>
      <c r="D8" s="41" t="inlineStr">
        <is>
          <t>M1</t>
        </is>
      </c>
      <c r="E8" s="34" t="inlineStr">
        <is>
          <t>10 - Documentation</t>
        </is>
      </c>
      <c r="F8" s="34" t="inlineStr">
        <is>
          <t>SRS</t>
        </is>
      </c>
      <c r="G8" s="41" t="inlineStr">
        <is>
          <t>HLDINSP</t>
        </is>
      </c>
      <c r="H8" s="41" t="inlineStr">
        <is>
          <t>HLDINSP</t>
        </is>
      </c>
      <c r="I8" s="44" t="n">
        <v>30</v>
      </c>
      <c r="J8" s="34" t="inlineStr">
        <is>
          <t>PR</t>
        </is>
      </c>
      <c r="K8" s="41" t="inlineStr">
        <is>
          <t>Minor</t>
        </is>
      </c>
      <c r="L8" s="41" t="inlineStr">
        <is>
          <t>No</t>
        </is>
      </c>
      <c r="M8" s="34" t="inlineStr">
        <is>
          <t xml:space="preserve">fix the error found in diagram </t>
        </is>
      </c>
    </row>
    <row r="9">
      <c r="A9" s="132" t="n">
        <v>46331</v>
      </c>
      <c r="B9" s="41" t="inlineStr">
        <is>
          <t>D003</t>
        </is>
      </c>
      <c r="C9" s="34" t="inlineStr">
        <is>
          <t>Mei Ling Chong</t>
        </is>
      </c>
      <c r="D9" s="41" t="inlineStr">
        <is>
          <t>M2</t>
        </is>
      </c>
      <c r="E9" s="34" t="inlineStr">
        <is>
          <t>50 - Interface</t>
        </is>
      </c>
      <c r="F9" s="34" t="inlineStr">
        <is>
          <t>UI / screens</t>
        </is>
      </c>
      <c r="G9" s="41" t="inlineStr">
        <is>
          <t>CODEINSP</t>
        </is>
      </c>
      <c r="H9" s="41" t="inlineStr">
        <is>
          <t>UT</t>
        </is>
      </c>
      <c r="I9" s="44" t="n">
        <v>60</v>
      </c>
      <c r="J9" s="34" t="inlineStr">
        <is>
          <t>PR</t>
        </is>
      </c>
      <c r="K9" s="41" t="inlineStr">
        <is>
          <t>Major</t>
        </is>
      </c>
      <c r="L9" s="41" t="inlineStr">
        <is>
          <t>No</t>
        </is>
      </c>
      <c r="M9" s="34" t="inlineStr">
        <is>
          <t>fix the bug in shopping cart page</t>
        </is>
      </c>
    </row>
    <row r="10">
      <c r="A10" s="132" t="n">
        <v>46325</v>
      </c>
      <c r="B10" s="41" t="inlineStr">
        <is>
          <t>D004</t>
        </is>
      </c>
      <c r="C10" s="34" t="inlineStr">
        <is>
          <t>Harith Bin Ismail</t>
        </is>
      </c>
      <c r="D10" s="41" t="inlineStr">
        <is>
          <t>M2</t>
        </is>
      </c>
      <c r="E10" s="34" t="inlineStr">
        <is>
          <t>50 - Interface</t>
        </is>
      </c>
      <c r="F10" s="34" t="inlineStr">
        <is>
          <t>UI / screens</t>
        </is>
      </c>
      <c r="G10" s="41" t="inlineStr">
        <is>
          <t>CODE</t>
        </is>
      </c>
      <c r="H10" s="41" t="inlineStr">
        <is>
          <t>CODE</t>
        </is>
      </c>
      <c r="I10" s="44" t="n">
        <v>120</v>
      </c>
      <c r="J10" s="34" t="inlineStr">
        <is>
          <t>PR</t>
        </is>
      </c>
      <c r="K10" s="41" t="inlineStr">
        <is>
          <t>Major</t>
        </is>
      </c>
      <c r="L10" s="41" t="inlineStr">
        <is>
          <t>No</t>
        </is>
      </c>
      <c r="M10" s="34" t="inlineStr">
        <is>
          <t>Fix the front-end code for better layout</t>
        </is>
      </c>
    </row>
    <row r="11">
      <c r="A11" s="132" t="n">
        <v>46328</v>
      </c>
      <c r="B11" s="41" t="inlineStr">
        <is>
          <t>D005</t>
        </is>
      </c>
      <c r="C11" s="34" t="inlineStr">
        <is>
          <t>Harith Bin Ismail</t>
        </is>
      </c>
      <c r="D11" s="41" t="inlineStr">
        <is>
          <t>M2</t>
        </is>
      </c>
      <c r="E11" s="34" t="inlineStr">
        <is>
          <t>80 - Function</t>
        </is>
      </c>
      <c r="F11" s="34" t="inlineStr">
        <is>
          <t>Order &amp; catalogue service</t>
        </is>
      </c>
      <c r="G11" s="41" t="inlineStr">
        <is>
          <t>CODE</t>
        </is>
      </c>
      <c r="H11" s="41" t="inlineStr">
        <is>
          <t>CODE</t>
        </is>
      </c>
      <c r="I11" s="44" t="n">
        <v>80</v>
      </c>
      <c r="J11" s="34" t="inlineStr">
        <is>
          <t>PR</t>
        </is>
      </c>
      <c r="K11" s="41" t="inlineStr">
        <is>
          <t>Major</t>
        </is>
      </c>
      <c r="L11" s="41" t="inlineStr">
        <is>
          <t>No</t>
        </is>
      </c>
      <c r="M11" s="34" t="inlineStr">
        <is>
          <t>Fix shopping cart and invoice part</t>
        </is>
      </c>
    </row>
    <row r="12">
      <c r="A12" s="132" t="n">
        <v>46315</v>
      </c>
      <c r="B12" s="41" t="inlineStr">
        <is>
          <t>D006</t>
        </is>
      </c>
      <c r="C12" s="34" t="inlineStr">
        <is>
          <t>Priya Nair</t>
        </is>
      </c>
      <c r="D12" s="41" t="inlineStr">
        <is>
          <t>M1</t>
        </is>
      </c>
      <c r="E12" s="34" t="inlineStr">
        <is>
          <t>10 - Documentation</t>
        </is>
      </c>
      <c r="F12" s="34" t="inlineStr">
        <is>
          <t>SRS</t>
        </is>
      </c>
      <c r="G12" s="41" t="inlineStr">
        <is>
          <t>PLAN</t>
        </is>
      </c>
      <c r="H12" s="41" t="inlineStr">
        <is>
          <t>REQINSP</t>
        </is>
      </c>
      <c r="I12" s="44" t="n">
        <v>14</v>
      </c>
      <c r="J12" s="34" t="inlineStr">
        <is>
          <t>PR</t>
        </is>
      </c>
      <c r="K12" s="41" t="inlineStr">
        <is>
          <t>Minor</t>
        </is>
      </c>
      <c r="L12" s="41" t="inlineStr">
        <is>
          <t>No</t>
        </is>
      </c>
      <c r="M12" s="34" t="inlineStr">
        <is>
          <t>Misunderstanding on the phrase "Joy buyers" in non-functional requirements</t>
        </is>
      </c>
    </row>
    <row r="13">
      <c r="A13" s="132" t="n">
        <v>46344</v>
      </c>
      <c r="B13" s="41" t="inlineStr">
        <is>
          <t>D007</t>
        </is>
      </c>
      <c r="C13" s="34" t="inlineStr">
        <is>
          <t>Priya Nair</t>
        </is>
      </c>
      <c r="D13" s="41" t="inlineStr">
        <is>
          <t>M2</t>
        </is>
      </c>
      <c r="E13" s="34" t="inlineStr">
        <is>
          <t>80 - Function</t>
        </is>
      </c>
      <c r="F13" s="34" t="inlineStr">
        <is>
          <t>Order &amp; catalogue service</t>
        </is>
      </c>
      <c r="G13" s="41" t="inlineStr">
        <is>
          <t>CODE</t>
        </is>
      </c>
      <c r="H13" s="41" t="inlineStr">
        <is>
          <t>CODEINSP</t>
        </is>
      </c>
      <c r="I13" s="44" t="n">
        <v>30</v>
      </c>
      <c r="J13" s="34" t="inlineStr">
        <is>
          <t>PR</t>
        </is>
      </c>
      <c r="K13" s="41" t="inlineStr">
        <is>
          <t>Minor</t>
        </is>
      </c>
      <c r="L13" s="41" t="inlineStr">
        <is>
          <t>No</t>
        </is>
      </c>
      <c r="M13" s="34" t="inlineStr">
        <is>
          <t>Fixed back-end code for user profile for "Edit" function, and any other functions that need fixing</t>
        </is>
      </c>
    </row>
    <row r="14">
      <c r="A14" s="132" t="n">
        <v>46345</v>
      </c>
      <c r="B14" s="41" t="inlineStr">
        <is>
          <t>D008</t>
        </is>
      </c>
      <c r="C14" s="34" t="inlineStr">
        <is>
          <t>Priya Nair</t>
        </is>
      </c>
      <c r="D14" s="41" t="inlineStr">
        <is>
          <t>M2</t>
        </is>
      </c>
      <c r="E14" s="34" t="inlineStr">
        <is>
          <t>80 - Function</t>
        </is>
      </c>
      <c r="F14" s="34" t="inlineStr">
        <is>
          <t>Order &amp; catalogue service</t>
        </is>
      </c>
      <c r="G14" s="41" t="inlineStr">
        <is>
          <t>CODE</t>
        </is>
      </c>
      <c r="H14" s="41" t="inlineStr">
        <is>
          <t>CODEINSP</t>
        </is>
      </c>
      <c r="I14" s="44" t="n">
        <v>30</v>
      </c>
      <c r="J14" s="34" t="inlineStr">
        <is>
          <t>PR</t>
        </is>
      </c>
      <c r="K14" s="41" t="inlineStr">
        <is>
          <t>Minor</t>
        </is>
      </c>
      <c r="L14" s="41" t="inlineStr">
        <is>
          <t>No</t>
        </is>
      </c>
      <c r="M14" s="34" t="inlineStr">
        <is>
          <t>Fixed back-end code for password hashing in "Add Admin" function and "Edit Profile" at Admin side</t>
        </is>
      </c>
    </row>
    <row r="15">
      <c r="A15" s="132" t="n">
        <v>46314</v>
      </c>
      <c r="B15" s="41" t="inlineStr">
        <is>
          <t>D009</t>
        </is>
      </c>
      <c r="C15" s="34" t="inlineStr">
        <is>
          <t>Harith Bin Ismail</t>
        </is>
      </c>
      <c r="D15" s="41" t="inlineStr">
        <is>
          <t>M1</t>
        </is>
      </c>
      <c r="E15" s="34" t="inlineStr">
        <is>
          <t>10 - Documentation</t>
        </is>
      </c>
      <c r="F15" s="34" t="inlineStr">
        <is>
          <t>SYSTEM</t>
        </is>
      </c>
      <c r="G15" s="41" t="inlineStr">
        <is>
          <t>REQ</t>
        </is>
      </c>
      <c r="H15" s="41" t="inlineStr">
        <is>
          <t>REQINSP</t>
        </is>
      </c>
      <c r="I15" s="44" t="n">
        <v>20</v>
      </c>
      <c r="J15" s="34" t="inlineStr">
        <is>
          <t>PR#20</t>
        </is>
      </c>
      <c r="K15" s="41" t="inlineStr">
        <is>
          <t>Minor</t>
        </is>
      </c>
      <c r="L15" s="41" t="inlineStr">
        <is>
          <t>No</t>
        </is>
      </c>
      <c r="M15" s="34" t="inlineStr">
        <is>
          <t>Order cancellation rule stated twice, in two different ways</t>
        </is>
      </c>
    </row>
    <row r="16">
      <c r="A16" s="132" t="n">
        <v>46315</v>
      </c>
      <c r="B16" s="41" t="inlineStr">
        <is>
          <t>D010</t>
        </is>
      </c>
      <c r="C16" s="34" t="inlineStr">
        <is>
          <t>Harith Bin Ismail</t>
        </is>
      </c>
      <c r="D16" s="41" t="inlineStr">
        <is>
          <t>M1</t>
        </is>
      </c>
      <c r="E16" s="34" t="inlineStr">
        <is>
          <t>60 - Checking</t>
        </is>
      </c>
      <c r="F16" s="34" t="inlineStr">
        <is>
          <t>SYSTEM</t>
        </is>
      </c>
      <c r="G16" s="41" t="inlineStr">
        <is>
          <t>REQ</t>
        </is>
      </c>
      <c r="H16" s="41" t="inlineStr">
        <is>
          <t>REQINSP</t>
        </is>
      </c>
      <c r="I16" s="44" t="n">
        <v>35</v>
      </c>
      <c r="J16" s="34" t="inlineStr">
        <is>
          <t>PR#21</t>
        </is>
      </c>
      <c r="K16" s="41" t="inlineStr">
        <is>
          <t>Major</t>
        </is>
      </c>
      <c r="L16" s="41" t="inlineStr">
        <is>
          <t>No</t>
        </is>
      </c>
      <c r="M16" s="34" t="inlineStr">
        <is>
          <t>No requirement for what happens when a price changes mid-order</t>
        </is>
      </c>
    </row>
    <row r="17">
      <c r="A17" s="132" t="n">
        <v>46316</v>
      </c>
      <c r="B17" s="41" t="inlineStr">
        <is>
          <t>D011</t>
        </is>
      </c>
      <c r="C17" s="34" t="inlineStr">
        <is>
          <t>Aisyah Binti Rahman</t>
        </is>
      </c>
      <c r="D17" s="41" t="inlineStr">
        <is>
          <t>M1</t>
        </is>
      </c>
      <c r="E17" s="34" t="inlineStr">
        <is>
          <t>10 - Documentation</t>
        </is>
      </c>
      <c r="F17" s="34" t="inlineStr">
        <is>
          <t>SYSTEM</t>
        </is>
      </c>
      <c r="G17" s="41" t="inlineStr">
        <is>
          <t>REQ</t>
        </is>
      </c>
      <c r="H17" s="41" t="inlineStr">
        <is>
          <t>REQINSP</t>
        </is>
      </c>
      <c r="I17" s="44" t="n">
        <v>15</v>
      </c>
      <c r="J17" s="34" t="inlineStr">
        <is>
          <t>PR#22</t>
        </is>
      </c>
      <c r="K17" s="41" t="inlineStr">
        <is>
          <t>Minor</t>
        </is>
      </c>
      <c r="L17" s="41" t="inlineStr">
        <is>
          <t>No</t>
        </is>
      </c>
      <c r="M17" s="34" t="inlineStr">
        <is>
          <t>Glossary missing 'catch of the day', used throughout section 3</t>
        </is>
      </c>
    </row>
    <row r="18">
      <c r="A18" s="132" t="n">
        <v>46317</v>
      </c>
      <c r="B18" s="41" t="inlineStr">
        <is>
          <t>D012</t>
        </is>
      </c>
      <c r="C18" s="34" t="inlineStr">
        <is>
          <t>Mei Ling Chong</t>
        </is>
      </c>
      <c r="D18" s="41" t="inlineStr">
        <is>
          <t>M1</t>
        </is>
      </c>
      <c r="E18" s="34" t="inlineStr">
        <is>
          <t>80 - Function</t>
        </is>
      </c>
      <c r="F18" s="34" t="inlineStr">
        <is>
          <t>SYSTEM</t>
        </is>
      </c>
      <c r="G18" s="41" t="inlineStr">
        <is>
          <t>REQ</t>
        </is>
      </c>
      <c r="H18" s="41" t="inlineStr">
        <is>
          <t>REQINSP</t>
        </is>
      </c>
      <c r="I18" s="44" t="n">
        <v>45</v>
      </c>
      <c r="J18" s="34" t="inlineStr">
        <is>
          <t>PR#23</t>
        </is>
      </c>
      <c r="K18" s="41" t="inlineStr">
        <is>
          <t>Major</t>
        </is>
      </c>
      <c r="L18" s="41" t="inlineStr">
        <is>
          <t>No</t>
        </is>
      </c>
      <c r="M18" s="34" t="inlineStr">
        <is>
          <t>Quantity units unspecified - kg or box? Client meant box</t>
        </is>
      </c>
    </row>
    <row r="19">
      <c r="A19" s="132" t="n">
        <v>46318</v>
      </c>
      <c r="B19" s="41" t="inlineStr">
        <is>
          <t>D013</t>
        </is>
      </c>
      <c r="C19" s="34" t="inlineStr">
        <is>
          <t>Priya Nair</t>
        </is>
      </c>
      <c r="D19" s="41" t="inlineStr">
        <is>
          <t>M1</t>
        </is>
      </c>
      <c r="E19" s="34" t="inlineStr">
        <is>
          <t>10 - Documentation</t>
        </is>
      </c>
      <c r="F19" s="34" t="inlineStr">
        <is>
          <t>SYSTEM</t>
        </is>
      </c>
      <c r="G19" s="41" t="inlineStr">
        <is>
          <t>REQ</t>
        </is>
      </c>
      <c r="H19" s="41" t="inlineStr">
        <is>
          <t>REQINSP</t>
        </is>
      </c>
      <c r="I19" s="44" t="n">
        <v>10</v>
      </c>
      <c r="J19" s="34" t="inlineStr">
        <is>
          <t>PR#24</t>
        </is>
      </c>
      <c r="K19" s="41" t="inlineStr">
        <is>
          <t>Cosmetic</t>
        </is>
      </c>
      <c r="L19" s="41" t="inlineStr">
        <is>
          <t>No</t>
        </is>
      </c>
      <c r="M19" s="34" t="inlineStr">
        <is>
          <t>Use-case diagram numbering out of order</t>
        </is>
      </c>
    </row>
    <row r="20">
      <c r="A20" s="132" t="n">
        <v>46326</v>
      </c>
      <c r="B20" s="41" t="inlineStr">
        <is>
          <t>D014</t>
        </is>
      </c>
      <c r="C20" s="34" t="inlineStr">
        <is>
          <t>Daniel Wong Jun Hao</t>
        </is>
      </c>
      <c r="D20" s="41" t="inlineStr">
        <is>
          <t>M2</t>
        </is>
      </c>
      <c r="E20" s="34" t="inlineStr">
        <is>
          <t>50 - Interface</t>
        </is>
      </c>
      <c r="F20" s="34" t="inlineStr">
        <is>
          <t>SYSTEM</t>
        </is>
      </c>
      <c r="G20" s="41" t="inlineStr">
        <is>
          <t>HLD</t>
        </is>
      </c>
      <c r="H20" s="41" t="inlineStr">
        <is>
          <t>HLDINSP</t>
        </is>
      </c>
      <c r="I20" s="44" t="n">
        <v>40</v>
      </c>
      <c r="J20" s="34" t="inlineStr">
        <is>
          <t>PR#25</t>
        </is>
      </c>
      <c r="K20" s="41" t="inlineStr">
        <is>
          <t>Major</t>
        </is>
      </c>
      <c r="L20" s="41" t="inlineStr">
        <is>
          <t>No</t>
        </is>
      </c>
      <c r="M20" s="34" t="inlineStr">
        <is>
          <t>Sync service and order service both own the price cache</t>
        </is>
      </c>
    </row>
    <row r="21">
      <c r="A21" s="132" t="n">
        <v>46321</v>
      </c>
      <c r="B21" s="41" t="inlineStr">
        <is>
          <t>D015</t>
        </is>
      </c>
      <c r="C21" s="34" t="inlineStr">
        <is>
          <t>Daniel Wong Jun Hao</t>
        </is>
      </c>
      <c r="D21" s="41" t="inlineStr">
        <is>
          <t>M2</t>
        </is>
      </c>
      <c r="E21" s="34" t="inlineStr">
        <is>
          <t>90 - System</t>
        </is>
      </c>
      <c r="F21" s="34" t="inlineStr">
        <is>
          <t>SYSTEM</t>
        </is>
      </c>
      <c r="G21" s="41" t="inlineStr">
        <is>
          <t>HLD</t>
        </is>
      </c>
      <c r="H21" s="41" t="inlineStr">
        <is>
          <t>HLDINSP</t>
        </is>
      </c>
      <c r="I21" s="44" t="n">
        <v>30</v>
      </c>
      <c r="J21" s="34" t="inlineStr">
        <is>
          <t>PR#26</t>
        </is>
      </c>
      <c r="K21" s="41" t="inlineStr">
        <is>
          <t>Major</t>
        </is>
      </c>
      <c r="L21" s="41" t="inlineStr">
        <is>
          <t>No</t>
        </is>
      </c>
      <c r="M21" s="34" t="inlineStr">
        <is>
          <t>No offline behaviour described for the catalogue screen</t>
        </is>
      </c>
    </row>
    <row r="22">
      <c r="A22" s="132" t="n">
        <v>46322</v>
      </c>
      <c r="B22" s="41" t="inlineStr">
        <is>
          <t>D016</t>
        </is>
      </c>
      <c r="C22" s="34" t="inlineStr">
        <is>
          <t>Harith Bin Ismail</t>
        </is>
      </c>
      <c r="D22" s="41" t="inlineStr">
        <is>
          <t>M2</t>
        </is>
      </c>
      <c r="E22" s="34" t="inlineStr">
        <is>
          <t>80 - Function</t>
        </is>
      </c>
      <c r="F22" s="34" t="inlineStr">
        <is>
          <t>SYSTEM</t>
        </is>
      </c>
      <c r="G22" s="41" t="inlineStr">
        <is>
          <t>HLD</t>
        </is>
      </c>
      <c r="H22" s="41" t="inlineStr">
        <is>
          <t>HLDINSP</t>
        </is>
      </c>
      <c r="I22" s="44" t="n">
        <v>25</v>
      </c>
      <c r="J22" s="34" t="inlineStr">
        <is>
          <t>PR#27</t>
        </is>
      </c>
      <c r="K22" s="41" t="inlineStr">
        <is>
          <t>Minor</t>
        </is>
      </c>
      <c r="L22" s="41" t="inlineStr">
        <is>
          <t>No</t>
        </is>
      </c>
      <c r="M22" s="34" t="inlineStr">
        <is>
          <t>Invoice numbering scheme would repeat across devices</t>
        </is>
      </c>
    </row>
    <row r="23">
      <c r="A23" s="132" t="n">
        <v>46323</v>
      </c>
      <c r="B23" s="41" t="inlineStr">
        <is>
          <t>D017</t>
        </is>
      </c>
      <c r="C23" s="34" t="inlineStr">
        <is>
          <t>Priya Nair</t>
        </is>
      </c>
      <c r="D23" s="41" t="inlineStr">
        <is>
          <t>M2</t>
        </is>
      </c>
      <c r="E23" s="34" t="inlineStr">
        <is>
          <t>10 - Documentation</t>
        </is>
      </c>
      <c r="F23" s="34" t="inlineStr">
        <is>
          <t>SYSTEM</t>
        </is>
      </c>
      <c r="G23" s="41" t="inlineStr">
        <is>
          <t>HLD</t>
        </is>
      </c>
      <c r="H23" s="41" t="inlineStr">
        <is>
          <t>HLDINSP</t>
        </is>
      </c>
      <c r="I23" s="44" t="n">
        <v>10</v>
      </c>
      <c r="J23" s="34" t="inlineStr">
        <is>
          <t>PR#28</t>
        </is>
      </c>
      <c r="K23" s="41" t="inlineStr">
        <is>
          <t>Cosmetic</t>
        </is>
      </c>
      <c r="L23" s="41" t="inlineStr">
        <is>
          <t>No</t>
        </is>
      </c>
      <c r="M23" s="34" t="inlineStr">
        <is>
          <t>Component diagram label does not match the SRS name</t>
        </is>
      </c>
    </row>
    <row r="24">
      <c r="A24" s="132" t="n">
        <v>46324</v>
      </c>
      <c r="B24" s="41" t="inlineStr">
        <is>
          <t>D018</t>
        </is>
      </c>
      <c r="C24" s="34" t="inlineStr">
        <is>
          <t>Priya Nair</t>
        </is>
      </c>
      <c r="D24" s="41" t="inlineStr">
        <is>
          <t>M2</t>
        </is>
      </c>
      <c r="E24" s="34" t="inlineStr">
        <is>
          <t>80 - Function</t>
        </is>
      </c>
      <c r="F24" s="34" t="inlineStr">
        <is>
          <t>UI / screens</t>
        </is>
      </c>
      <c r="G24" s="41" t="inlineStr">
        <is>
          <t>DLD</t>
        </is>
      </c>
      <c r="H24" s="41" t="inlineStr">
        <is>
          <t>DLDR</t>
        </is>
      </c>
      <c r="I24" s="44" t="n">
        <v>20</v>
      </c>
      <c r="J24" s="34" t="inlineStr">
        <is>
          <t>PR#29</t>
        </is>
      </c>
      <c r="K24" s="41" t="inlineStr">
        <is>
          <t>Minor</t>
        </is>
      </c>
      <c r="L24" s="41" t="inlineStr">
        <is>
          <t>No</t>
        </is>
      </c>
      <c r="M24" s="34" t="inlineStr">
        <is>
          <t>Order line edit had no way to remove a line once added</t>
        </is>
      </c>
    </row>
    <row r="25">
      <c r="A25" s="132" t="n">
        <v>46325</v>
      </c>
      <c r="B25" s="41" t="inlineStr">
        <is>
          <t>D019</t>
        </is>
      </c>
      <c r="C25" s="34" t="inlineStr">
        <is>
          <t>Priya Nair</t>
        </is>
      </c>
      <c r="D25" s="41" t="inlineStr">
        <is>
          <t>M2</t>
        </is>
      </c>
      <c r="E25" s="34" t="inlineStr">
        <is>
          <t>110 - UI / Layout</t>
        </is>
      </c>
      <c r="F25" s="34" t="inlineStr">
        <is>
          <t>UI / screens</t>
        </is>
      </c>
      <c r="G25" s="41" t="inlineStr">
        <is>
          <t>DLD</t>
        </is>
      </c>
      <c r="H25" s="41" t="inlineStr">
        <is>
          <t>DLDR</t>
        </is>
      </c>
      <c r="I25" s="44" t="n">
        <v>15</v>
      </c>
      <c r="J25" s="34" t="inlineStr">
        <is>
          <t>PR#30</t>
        </is>
      </c>
      <c r="K25" s="41" t="inlineStr">
        <is>
          <t>Minor</t>
        </is>
      </c>
      <c r="L25" s="41" t="inlineStr">
        <is>
          <t>No</t>
        </is>
      </c>
      <c r="M25" s="34" t="inlineStr">
        <is>
          <t>Quantity field design assumed a hardware keyboard</t>
        </is>
      </c>
    </row>
    <row r="26">
      <c r="A26" s="132" t="n">
        <v>46333</v>
      </c>
      <c r="B26" s="41" t="inlineStr">
        <is>
          <t>D020</t>
        </is>
      </c>
      <c r="C26" s="34" t="inlineStr">
        <is>
          <t>Daniel Wong Jun Hao</t>
        </is>
      </c>
      <c r="D26" s="41" t="inlineStr">
        <is>
          <t>M2</t>
        </is>
      </c>
      <c r="E26" s="34" t="inlineStr">
        <is>
          <t>120 - State Management</t>
        </is>
      </c>
      <c r="F26" s="34" t="inlineStr">
        <is>
          <t>Order &amp; catalogue service</t>
        </is>
      </c>
      <c r="G26" s="41" t="inlineStr">
        <is>
          <t>DLD</t>
        </is>
      </c>
      <c r="H26" s="41" t="inlineStr">
        <is>
          <t>DLDR</t>
        </is>
      </c>
      <c r="I26" s="44" t="n">
        <v>30</v>
      </c>
      <c r="J26" s="34" t="inlineStr">
        <is>
          <t>PR#31</t>
        </is>
      </c>
      <c r="K26" s="41" t="inlineStr">
        <is>
          <t>Major</t>
        </is>
      </c>
      <c r="L26" s="41" t="inlineStr">
        <is>
          <t>No</t>
        </is>
      </c>
      <c r="M26" s="34" t="inlineStr">
        <is>
          <t>Cart state held in the widget, lost on rotation</t>
        </is>
      </c>
    </row>
    <row r="27">
      <c r="A27" s="132" t="n">
        <v>46328</v>
      </c>
      <c r="B27" s="41" t="inlineStr">
        <is>
          <t>D021</t>
        </is>
      </c>
      <c r="C27" s="34" t="inlineStr">
        <is>
          <t>Mei Ling Chong</t>
        </is>
      </c>
      <c r="D27" s="41" t="inlineStr">
        <is>
          <t>M2</t>
        </is>
      </c>
      <c r="E27" s="34" t="inlineStr">
        <is>
          <t>70 - Data</t>
        </is>
      </c>
      <c r="F27" s="34" t="inlineStr">
        <is>
          <t>Local store &amp; sync</t>
        </is>
      </c>
      <c r="G27" s="41" t="inlineStr">
        <is>
          <t>DLD</t>
        </is>
      </c>
      <c r="H27" s="41" t="inlineStr">
        <is>
          <t>DLDR</t>
        </is>
      </c>
      <c r="I27" s="44" t="n">
        <v>25</v>
      </c>
      <c r="J27" s="34" t="inlineStr">
        <is>
          <t>PR#32</t>
        </is>
      </c>
      <c r="K27" s="41" t="inlineStr">
        <is>
          <t>Major</t>
        </is>
      </c>
      <c r="L27" s="41" t="inlineStr">
        <is>
          <t>No</t>
        </is>
      </c>
      <c r="M27" s="34" t="inlineStr">
        <is>
          <t>Local schema had no column for sync status</t>
        </is>
      </c>
    </row>
    <row r="28">
      <c r="A28" s="132" t="n">
        <v>46329</v>
      </c>
      <c r="B28" s="41" t="inlineStr">
        <is>
          <t>D022</t>
        </is>
      </c>
      <c r="C28" s="34" t="inlineStr">
        <is>
          <t>Priya Nair</t>
        </is>
      </c>
      <c r="D28" s="41" t="inlineStr">
        <is>
          <t>M2</t>
        </is>
      </c>
      <c r="E28" s="34" t="inlineStr">
        <is>
          <t>40 - Assignment</t>
        </is>
      </c>
      <c r="F28" s="34" t="inlineStr">
        <is>
          <t>UI / screens</t>
        </is>
      </c>
      <c r="G28" s="41" t="inlineStr">
        <is>
          <t>DLD</t>
        </is>
      </c>
      <c r="H28" s="41" t="inlineStr">
        <is>
          <t>DLDR</t>
        </is>
      </c>
      <c r="I28" s="44" t="n">
        <v>10</v>
      </c>
      <c r="J28" s="34" t="inlineStr">
        <is>
          <t>PR#33</t>
        </is>
      </c>
      <c r="K28" s="41" t="inlineStr">
        <is>
          <t>Minor</t>
        </is>
      </c>
      <c r="L28" s="41" t="inlineStr">
        <is>
          <t>No</t>
        </is>
      </c>
      <c r="M28" s="34" t="inlineStr">
        <is>
          <t>Two widgets named OrderTile in different files</t>
        </is>
      </c>
    </row>
    <row r="29">
      <c r="A29" s="132" t="n">
        <v>46330</v>
      </c>
      <c r="B29" s="41" t="inlineStr">
        <is>
          <t>D023</t>
        </is>
      </c>
      <c r="C29" s="34" t="inlineStr">
        <is>
          <t>Daniel Wong Jun Hao</t>
        </is>
      </c>
      <c r="D29" s="41" t="inlineStr">
        <is>
          <t>M2</t>
        </is>
      </c>
      <c r="E29" s="34" t="inlineStr">
        <is>
          <t>50 - Interface</t>
        </is>
      </c>
      <c r="F29" s="34" t="inlineStr">
        <is>
          <t>Order &amp; catalogue service</t>
        </is>
      </c>
      <c r="G29" s="41" t="inlineStr">
        <is>
          <t>DLD</t>
        </is>
      </c>
      <c r="H29" s="41" t="inlineStr">
        <is>
          <t>DLDINSP</t>
        </is>
      </c>
      <c r="I29" s="44" t="n">
        <v>35</v>
      </c>
      <c r="J29" s="34" t="inlineStr">
        <is>
          <t>PR#34</t>
        </is>
      </c>
      <c r="K29" s="41" t="inlineStr">
        <is>
          <t>Major</t>
        </is>
      </c>
      <c r="L29" s="41" t="inlineStr">
        <is>
          <t>No</t>
        </is>
      </c>
      <c r="M29" s="34" t="inlineStr">
        <is>
          <t>Repository method signature did not match the design</t>
        </is>
      </c>
    </row>
    <row r="30">
      <c r="A30" s="132" t="n">
        <v>46331</v>
      </c>
      <c r="B30" s="41" t="inlineStr">
        <is>
          <t>D024</t>
        </is>
      </c>
      <c r="C30" s="34" t="inlineStr">
        <is>
          <t>Mei Ling Chong</t>
        </is>
      </c>
      <c r="D30" s="41" t="inlineStr">
        <is>
          <t>M2</t>
        </is>
      </c>
      <c r="E30" s="34" t="inlineStr">
        <is>
          <t>80 - Function</t>
        </is>
      </c>
      <c r="F30" s="34" t="inlineStr">
        <is>
          <t>Local store &amp; sync</t>
        </is>
      </c>
      <c r="G30" s="41" t="inlineStr">
        <is>
          <t>DLDR</t>
        </is>
      </c>
      <c r="H30" s="41" t="inlineStr">
        <is>
          <t>DLDINSP</t>
        </is>
      </c>
      <c r="I30" s="44" t="n">
        <v>20</v>
      </c>
      <c r="J30" s="34" t="inlineStr">
        <is>
          <t>PR#35</t>
        </is>
      </c>
      <c r="K30" s="41" t="inlineStr">
        <is>
          <t>Minor</t>
        </is>
      </c>
      <c r="L30" s="41" t="inlineStr">
        <is>
          <t>No</t>
        </is>
      </c>
      <c r="M30" s="34" t="inlineStr">
        <is>
          <t>Review missed the empty-queue case in the write queue</t>
        </is>
      </c>
    </row>
    <row r="31">
      <c r="A31" s="132" t="n">
        <v>46332</v>
      </c>
      <c r="B31" s="41" t="inlineStr">
        <is>
          <t>D025</t>
        </is>
      </c>
      <c r="C31" s="34" t="inlineStr">
        <is>
          <t>Harith Bin Ismail</t>
        </is>
      </c>
      <c r="D31" s="41" t="inlineStr">
        <is>
          <t>M2</t>
        </is>
      </c>
      <c r="E31" s="34" t="inlineStr">
        <is>
          <t>60 - Checking</t>
        </is>
      </c>
      <c r="F31" s="34" t="inlineStr">
        <is>
          <t>UI / screens</t>
        </is>
      </c>
      <c r="G31" s="41" t="inlineStr">
        <is>
          <t>DLD</t>
        </is>
      </c>
      <c r="H31" s="41" t="inlineStr">
        <is>
          <t>DLDINSP</t>
        </is>
      </c>
      <c r="I31" s="44" t="n">
        <v>15</v>
      </c>
      <c r="J31" s="34" t="inlineStr">
        <is>
          <t>PR#36</t>
        </is>
      </c>
      <c r="K31" s="41" t="inlineStr">
        <is>
          <t>Minor</t>
        </is>
      </c>
      <c r="L31" s="41" t="inlineStr">
        <is>
          <t>No</t>
        </is>
      </c>
      <c r="M31" s="34" t="inlineStr">
        <is>
          <t>No validation described for an order with zero lines</t>
        </is>
      </c>
    </row>
    <row r="32">
      <c r="A32" s="132" t="n">
        <v>46347</v>
      </c>
      <c r="B32" s="41" t="inlineStr">
        <is>
          <t>D026</t>
        </is>
      </c>
      <c r="C32" s="34" t="inlineStr">
        <is>
          <t>Priya Nair</t>
        </is>
      </c>
      <c r="D32" s="41" t="inlineStr">
        <is>
          <t>M2</t>
        </is>
      </c>
      <c r="E32" s="34" t="inlineStr">
        <is>
          <t>80 - Function</t>
        </is>
      </c>
      <c r="F32" s="34" t="inlineStr">
        <is>
          <t>UI / screens</t>
        </is>
      </c>
      <c r="G32" s="41" t="inlineStr">
        <is>
          <t>CODE</t>
        </is>
      </c>
      <c r="H32" s="41" t="inlineStr">
        <is>
          <t>CR</t>
        </is>
      </c>
      <c r="I32" s="44" t="n">
        <v>25</v>
      </c>
      <c r="J32" s="34" t="inlineStr">
        <is>
          <t>PR#37</t>
        </is>
      </c>
      <c r="K32" s="41" t="inlineStr">
        <is>
          <t>Major</t>
        </is>
      </c>
      <c r="L32" s="41" t="inlineStr">
        <is>
          <t>No</t>
        </is>
      </c>
      <c r="M32" s="34" t="inlineStr">
        <is>
          <t>Total recalculated only on add, not on quantity change</t>
        </is>
      </c>
    </row>
    <row r="33">
      <c r="A33" s="132" t="n">
        <v>46342</v>
      </c>
      <c r="B33" s="41" t="inlineStr">
        <is>
          <t>D027</t>
        </is>
      </c>
      <c r="C33" s="34" t="inlineStr">
        <is>
          <t>Mei Ling Chong</t>
        </is>
      </c>
      <c r="D33" s="41" t="inlineStr">
        <is>
          <t>M2</t>
        </is>
      </c>
      <c r="E33" s="34" t="inlineStr">
        <is>
          <t>110 - UI / Layout</t>
        </is>
      </c>
      <c r="F33" s="34" t="inlineStr">
        <is>
          <t>UI / screens</t>
        </is>
      </c>
      <c r="G33" s="41" t="inlineStr">
        <is>
          <t>CODE</t>
        </is>
      </c>
      <c r="H33" s="41" t="inlineStr">
        <is>
          <t>CR</t>
        </is>
      </c>
      <c r="I33" s="44" t="n">
        <v>15</v>
      </c>
      <c r="J33" s="34" t="inlineStr">
        <is>
          <t>PR#38</t>
        </is>
      </c>
      <c r="K33" s="41" t="inlineStr">
        <is>
          <t>Minor</t>
        </is>
      </c>
      <c r="L33" s="41" t="inlineStr">
        <is>
          <t>No</t>
        </is>
      </c>
      <c r="M33" s="34" t="inlineStr">
        <is>
          <t>Column overflow on a 5-inch screen in the catalogue list</t>
        </is>
      </c>
    </row>
    <row r="34">
      <c r="A34" s="132" t="n">
        <v>46343</v>
      </c>
      <c r="B34" s="41" t="inlineStr">
        <is>
          <t>D028</t>
        </is>
      </c>
      <c r="C34" s="34" t="inlineStr">
        <is>
          <t>Daniel Wong Jun Hao</t>
        </is>
      </c>
      <c r="D34" s="41" t="inlineStr">
        <is>
          <t>M2</t>
        </is>
      </c>
      <c r="E34" s="34" t="inlineStr">
        <is>
          <t>120 - State Management</t>
        </is>
      </c>
      <c r="F34" s="34" t="inlineStr">
        <is>
          <t>UI / screens</t>
        </is>
      </c>
      <c r="G34" s="41" t="inlineStr">
        <is>
          <t>CODE</t>
        </is>
      </c>
      <c r="H34" s="41" t="inlineStr">
        <is>
          <t>CR</t>
        </is>
      </c>
      <c r="I34" s="44" t="n">
        <v>30</v>
      </c>
      <c r="J34" s="34" t="inlineStr">
        <is>
          <t>PR#39</t>
        </is>
      </c>
      <c r="K34" s="41" t="inlineStr">
        <is>
          <t>Major</t>
        </is>
      </c>
      <c r="L34" s="41" t="inlineStr">
        <is>
          <t>No</t>
        </is>
      </c>
      <c r="M34" s="34" t="inlineStr">
        <is>
          <t>setState called after dispose when leaving the screen quickly</t>
        </is>
      </c>
    </row>
    <row r="35">
      <c r="A35" s="132" t="n">
        <v>46344</v>
      </c>
      <c r="B35" s="41" t="inlineStr">
        <is>
          <t>D029</t>
        </is>
      </c>
      <c r="C35" s="34" t="inlineStr">
        <is>
          <t>Aisyah Binti Rahman</t>
        </is>
      </c>
      <c r="D35" s="41" t="inlineStr">
        <is>
          <t>M2</t>
        </is>
      </c>
      <c r="E35" s="34" t="inlineStr">
        <is>
          <t>140 - Security</t>
        </is>
      </c>
      <c r="F35" s="34" t="inlineStr">
        <is>
          <t>Order &amp; catalogue service</t>
        </is>
      </c>
      <c r="G35" s="41" t="inlineStr">
        <is>
          <t>CODE</t>
        </is>
      </c>
      <c r="H35" s="41" t="inlineStr">
        <is>
          <t>CR</t>
        </is>
      </c>
      <c r="I35" s="44" t="n">
        <v>45</v>
      </c>
      <c r="J35" s="34" t="inlineStr">
        <is>
          <t>PR#40</t>
        </is>
      </c>
      <c r="K35" s="41" t="inlineStr">
        <is>
          <t>Critical</t>
        </is>
      </c>
      <c r="L35" s="41" t="inlineStr">
        <is>
          <t>No</t>
        </is>
      </c>
      <c r="M35" s="34" t="inlineStr">
        <is>
          <t>Gemini API key read from a const in source, not .env</t>
        </is>
      </c>
    </row>
    <row r="36">
      <c r="A36" s="132" t="n">
        <v>46345</v>
      </c>
      <c r="B36" s="41" t="inlineStr">
        <is>
          <t>D030</t>
        </is>
      </c>
      <c r="C36" s="34" t="inlineStr">
        <is>
          <t>Daniel Wong Jun Hao</t>
        </is>
      </c>
      <c r="D36" s="41" t="inlineStr">
        <is>
          <t>M2</t>
        </is>
      </c>
      <c r="E36" s="34" t="inlineStr">
        <is>
          <t>150 - AI-Generated</t>
        </is>
      </c>
      <c r="F36" s="34" t="inlineStr">
        <is>
          <t>UI / screens</t>
        </is>
      </c>
      <c r="G36" s="41" t="inlineStr">
        <is>
          <t>AIGEN</t>
        </is>
      </c>
      <c r="H36" s="41" t="inlineStr">
        <is>
          <t>CR</t>
        </is>
      </c>
      <c r="I36" s="44" t="n">
        <v>35</v>
      </c>
      <c r="J36" s="34" t="inlineStr">
        <is>
          <t>PR#41</t>
        </is>
      </c>
      <c r="K36" s="41" t="inlineStr">
        <is>
          <t>Major</t>
        </is>
      </c>
      <c r="L36" s="41" t="inlineStr">
        <is>
          <t>Yes</t>
        </is>
      </c>
      <c r="M36" s="34" t="inlineStr">
        <is>
          <t>Generated validator accepted negative quantities</t>
        </is>
      </c>
    </row>
    <row r="37">
      <c r="A37" s="132" t="n">
        <v>46353</v>
      </c>
      <c r="B37" s="41" t="inlineStr">
        <is>
          <t>D031</t>
        </is>
      </c>
      <c r="C37" s="34" t="inlineStr">
        <is>
          <t>Priya Nair</t>
        </is>
      </c>
      <c r="D37" s="41" t="inlineStr">
        <is>
          <t>M3</t>
        </is>
      </c>
      <c r="E37" s="34" t="inlineStr">
        <is>
          <t>150 - AI-Generated</t>
        </is>
      </c>
      <c r="F37" s="34" t="inlineStr">
        <is>
          <t>Order &amp; catalogue service</t>
        </is>
      </c>
      <c r="G37" s="41" t="inlineStr">
        <is>
          <t>AIGEN</t>
        </is>
      </c>
      <c r="H37" s="41" t="inlineStr">
        <is>
          <t>CR</t>
        </is>
      </c>
      <c r="I37" s="44" t="n">
        <v>40</v>
      </c>
      <c r="J37" s="34" t="inlineStr">
        <is>
          <t>PR#42</t>
        </is>
      </c>
      <c r="K37" s="41" t="inlineStr">
        <is>
          <t>Major</t>
        </is>
      </c>
      <c r="L37" s="41" t="inlineStr">
        <is>
          <t>Yes</t>
        </is>
      </c>
      <c r="M37" s="34" t="inlineStr">
        <is>
          <t>Generated parser assumed English-only input; staff write Malay</t>
        </is>
      </c>
    </row>
    <row r="38">
      <c r="A38" s="132" t="n">
        <v>46354</v>
      </c>
      <c r="B38" s="41" t="inlineStr">
        <is>
          <t>D032</t>
        </is>
      </c>
      <c r="C38" s="34" t="inlineStr">
        <is>
          <t>Harith Bin Ismail</t>
        </is>
      </c>
      <c r="D38" s="41" t="inlineStr">
        <is>
          <t>M3</t>
        </is>
      </c>
      <c r="E38" s="34" t="inlineStr">
        <is>
          <t>50 - Interface</t>
        </is>
      </c>
      <c r="F38" s="34" t="inlineStr">
        <is>
          <t>Local store &amp; sync</t>
        </is>
      </c>
      <c r="G38" s="41" t="inlineStr">
        <is>
          <t>CODE</t>
        </is>
      </c>
      <c r="H38" s="41" t="inlineStr">
        <is>
          <t>CR</t>
        </is>
      </c>
      <c r="I38" s="44" t="n">
        <v>20</v>
      </c>
      <c r="J38" s="34" t="inlineStr">
        <is>
          <t>PR#43</t>
        </is>
      </c>
      <c r="K38" s="41" t="inlineStr">
        <is>
          <t>Minor</t>
        </is>
      </c>
      <c r="L38" s="41" t="inlineStr">
        <is>
          <t>No</t>
        </is>
      </c>
      <c r="M38" s="34" t="inlineStr">
        <is>
          <t>Repository returned a list where the caller expected a stream</t>
        </is>
      </c>
    </row>
    <row r="39">
      <c r="A39" s="132" t="n">
        <v>46349</v>
      </c>
      <c r="B39" s="41" t="inlineStr">
        <is>
          <t>D033</t>
        </is>
      </c>
      <c r="C39" s="34" t="inlineStr">
        <is>
          <t>Mei Ling Chong</t>
        </is>
      </c>
      <c r="D39" s="41" t="inlineStr">
        <is>
          <t>M3</t>
        </is>
      </c>
      <c r="E39" s="34" t="inlineStr">
        <is>
          <t>80 - Function</t>
        </is>
      </c>
      <c r="F39" s="34" t="inlineStr">
        <is>
          <t>Order &amp; catalogue service</t>
        </is>
      </c>
      <c r="G39" s="41" t="inlineStr">
        <is>
          <t>CODE</t>
        </is>
      </c>
      <c r="H39" s="41" t="inlineStr">
        <is>
          <t>CR</t>
        </is>
      </c>
      <c r="I39" s="44" t="n">
        <v>25</v>
      </c>
      <c r="J39" s="34" t="inlineStr">
        <is>
          <t>PR#44</t>
        </is>
      </c>
      <c r="K39" s="41" t="inlineStr">
        <is>
          <t>Minor</t>
        </is>
      </c>
      <c r="L39" s="41" t="inlineStr">
        <is>
          <t>No</t>
        </is>
      </c>
      <c r="M39" s="34" t="inlineStr">
        <is>
          <t>Rounding applied per line instead of on the invoice total</t>
        </is>
      </c>
    </row>
    <row r="40">
      <c r="A40" s="132" t="n">
        <v>46343</v>
      </c>
      <c r="B40" s="41" t="inlineStr">
        <is>
          <t>D034</t>
        </is>
      </c>
      <c r="C40" s="34" t="inlineStr">
        <is>
          <t>Priya Nair</t>
        </is>
      </c>
      <c r="D40" s="41" t="inlineStr">
        <is>
          <t>M2</t>
        </is>
      </c>
      <c r="E40" s="34" t="inlineStr">
        <is>
          <t>20 - Syntax</t>
        </is>
      </c>
      <c r="F40" s="34" t="inlineStr">
        <is>
          <t>UI / screens</t>
        </is>
      </c>
      <c r="G40" s="41" t="inlineStr">
        <is>
          <t>CODE</t>
        </is>
      </c>
      <c r="H40" s="41" t="inlineStr">
        <is>
          <t>BUILD</t>
        </is>
      </c>
      <c r="I40" s="44" t="n">
        <v>5</v>
      </c>
      <c r="J40" s="34" t="inlineStr">
        <is>
          <t>PR#45</t>
        </is>
      </c>
      <c r="K40" s="41" t="inlineStr">
        <is>
          <t>Cosmetic</t>
        </is>
      </c>
      <c r="L40" s="41" t="inlineStr">
        <is>
          <t>No</t>
        </is>
      </c>
      <c r="M40" s="34" t="inlineStr">
        <is>
          <t>Missing const, analyzer warning on develop</t>
        </is>
      </c>
    </row>
    <row r="41">
      <c r="A41" s="132" t="n">
        <v>46344</v>
      </c>
      <c r="B41" s="41" t="inlineStr">
        <is>
          <t>D035</t>
        </is>
      </c>
      <c r="C41" s="34" t="inlineStr">
        <is>
          <t>Aisyah Binti Rahman</t>
        </is>
      </c>
      <c r="D41" s="41" t="inlineStr">
        <is>
          <t>M2</t>
        </is>
      </c>
      <c r="E41" s="34" t="inlineStr">
        <is>
          <t>30 - Build / Package</t>
        </is>
      </c>
      <c r="F41" s="34" t="inlineStr">
        <is>
          <t>SYSTEM</t>
        </is>
      </c>
      <c r="G41" s="41" t="inlineStr">
        <is>
          <t>CODE</t>
        </is>
      </c>
      <c r="H41" s="41" t="inlineStr">
        <is>
          <t>BUILD</t>
        </is>
      </c>
      <c r="I41" s="44" t="n">
        <v>40</v>
      </c>
      <c r="J41" s="34" t="inlineStr">
        <is>
          <t>PR#46</t>
        </is>
      </c>
      <c r="K41" s="41" t="inlineStr">
        <is>
          <t>Major</t>
        </is>
      </c>
      <c r="L41" s="41" t="inlineStr">
        <is>
          <t>No</t>
        </is>
      </c>
      <c r="M41" s="34" t="inlineStr">
        <is>
          <t>intl version conflict broke the Android build</t>
        </is>
      </c>
    </row>
    <row r="42">
      <c r="A42" s="132" t="n">
        <v>46352</v>
      </c>
      <c r="B42" s="41" t="inlineStr">
        <is>
          <t>D036</t>
        </is>
      </c>
      <c r="C42" s="34" t="inlineStr">
        <is>
          <t>Daniel Wong Jun Hao</t>
        </is>
      </c>
      <c r="D42" s="41" t="inlineStr">
        <is>
          <t>M3</t>
        </is>
      </c>
      <c r="E42" s="34" t="inlineStr">
        <is>
          <t>20 - Syntax</t>
        </is>
      </c>
      <c r="F42" s="34" t="inlineStr">
        <is>
          <t>Order &amp; catalogue service</t>
        </is>
      </c>
      <c r="G42" s="41" t="inlineStr">
        <is>
          <t>CODE</t>
        </is>
      </c>
      <c r="H42" s="41" t="inlineStr">
        <is>
          <t>BUILD</t>
        </is>
      </c>
      <c r="I42" s="44" t="n">
        <v>5</v>
      </c>
      <c r="J42" s="34" t="inlineStr">
        <is>
          <t>PR#47</t>
        </is>
      </c>
      <c r="K42" s="41" t="inlineStr">
        <is>
          <t>Cosmetic</t>
        </is>
      </c>
      <c r="L42" s="41" t="inlineStr">
        <is>
          <t>No</t>
        </is>
      </c>
      <c r="M42" s="34" t="inlineStr">
        <is>
          <t>Unused import flagged by flutter analyze</t>
        </is>
      </c>
    </row>
    <row r="43">
      <c r="A43" s="132" t="n">
        <v>46353</v>
      </c>
      <c r="B43" s="41" t="inlineStr">
        <is>
          <t>D037</t>
        </is>
      </c>
      <c r="C43" s="34" t="inlineStr">
        <is>
          <t>Mei Ling Chong</t>
        </is>
      </c>
      <c r="D43" s="41" t="inlineStr">
        <is>
          <t>M3</t>
        </is>
      </c>
      <c r="E43" s="34" t="inlineStr">
        <is>
          <t>40 - Assignment</t>
        </is>
      </c>
      <c r="F43" s="34" t="inlineStr">
        <is>
          <t>Local store &amp; sync</t>
        </is>
      </c>
      <c r="G43" s="41" t="inlineStr">
        <is>
          <t>CODE</t>
        </is>
      </c>
      <c r="H43" s="41" t="inlineStr">
        <is>
          <t>BUILD</t>
        </is>
      </c>
      <c r="I43" s="44" t="n">
        <v>15</v>
      </c>
      <c r="J43" s="34" t="inlineStr">
        <is>
          <t>PR#48</t>
        </is>
      </c>
      <c r="K43" s="41" t="inlineStr">
        <is>
          <t>Minor</t>
        </is>
      </c>
      <c r="L43" s="41" t="inlineStr">
        <is>
          <t>No</t>
        </is>
      </c>
      <c r="M43" s="34" t="inlineStr">
        <is>
          <t>Nullable field used without a null check</t>
        </is>
      </c>
    </row>
    <row r="44">
      <c r="A44" s="132" t="n">
        <v>46354</v>
      </c>
      <c r="B44" s="41" t="inlineStr">
        <is>
          <t>D038</t>
        </is>
      </c>
      <c r="C44" s="34" t="inlineStr">
        <is>
          <t>Aisyah Binti Rahman</t>
        </is>
      </c>
      <c r="D44" s="41" t="inlineStr">
        <is>
          <t>M3</t>
        </is>
      </c>
      <c r="E44" s="34" t="inlineStr">
        <is>
          <t>30 - Build / Package</t>
        </is>
      </c>
      <c r="F44" s="34" t="inlineStr">
        <is>
          <t>SYSTEM</t>
        </is>
      </c>
      <c r="G44" s="41" t="inlineStr">
        <is>
          <t>CODE</t>
        </is>
      </c>
      <c r="H44" s="41" t="inlineStr">
        <is>
          <t>BUILD</t>
        </is>
      </c>
      <c r="I44" s="44" t="n">
        <v>30</v>
      </c>
      <c r="J44" s="34" t="inlineStr">
        <is>
          <t>PR#49</t>
        </is>
      </c>
      <c r="K44" s="41" t="inlineStr">
        <is>
          <t>Major</t>
        </is>
      </c>
      <c r="L44" s="41" t="inlineStr">
        <is>
          <t>No</t>
        </is>
      </c>
      <c r="M44" s="34" t="inlineStr">
        <is>
          <t>Release build failed - signing config missing from CI</t>
        </is>
      </c>
    </row>
    <row r="45">
      <c r="A45" s="132" t="n">
        <v>46349</v>
      </c>
      <c r="B45" s="41" t="inlineStr">
        <is>
          <t>D039</t>
        </is>
      </c>
      <c r="C45" s="34" t="inlineStr">
        <is>
          <t>Harith Bin Ismail</t>
        </is>
      </c>
      <c r="D45" s="41" t="inlineStr">
        <is>
          <t>M3</t>
        </is>
      </c>
      <c r="E45" s="34" t="inlineStr">
        <is>
          <t>80 - Function</t>
        </is>
      </c>
      <c r="F45" s="34" t="inlineStr">
        <is>
          <t>Order &amp; catalogue service</t>
        </is>
      </c>
      <c r="G45" s="41" t="inlineStr">
        <is>
          <t>CODE</t>
        </is>
      </c>
      <c r="H45" s="41" t="inlineStr">
        <is>
          <t>CODEINSP</t>
        </is>
      </c>
      <c r="I45" s="44" t="n">
        <v>30</v>
      </c>
      <c r="J45" s="34" t="inlineStr">
        <is>
          <t>PR#50</t>
        </is>
      </c>
      <c r="K45" s="41" t="inlineStr">
        <is>
          <t>Major</t>
        </is>
      </c>
      <c r="L45" s="41" t="inlineStr">
        <is>
          <t>No</t>
        </is>
      </c>
      <c r="M45" s="34" t="inlineStr">
        <is>
          <t>Discount applied before tax instead of after</t>
        </is>
      </c>
    </row>
    <row r="46">
      <c r="A46" s="132" t="n">
        <v>46357</v>
      </c>
      <c r="B46" s="41" t="inlineStr">
        <is>
          <t>D040</t>
        </is>
      </c>
      <c r="C46" s="34" t="inlineStr">
        <is>
          <t>Mei Ling Chong</t>
        </is>
      </c>
      <c r="D46" s="41" t="inlineStr">
        <is>
          <t>M3</t>
        </is>
      </c>
      <c r="E46" s="34" t="inlineStr">
        <is>
          <t>70 - Data</t>
        </is>
      </c>
      <c r="F46" s="34" t="inlineStr">
        <is>
          <t>Local store &amp; sync</t>
        </is>
      </c>
      <c r="G46" s="41" t="inlineStr">
        <is>
          <t>CODE</t>
        </is>
      </c>
      <c r="H46" s="41" t="inlineStr">
        <is>
          <t>CODEINSP</t>
        </is>
      </c>
      <c r="I46" s="44" t="n">
        <v>25</v>
      </c>
      <c r="J46" s="34" t="inlineStr">
        <is>
          <t>PR#51</t>
        </is>
      </c>
      <c r="K46" s="41" t="inlineStr">
        <is>
          <t>Minor</t>
        </is>
      </c>
      <c r="L46" s="41" t="inlineStr">
        <is>
          <t>No</t>
        </is>
      </c>
      <c r="M46" s="34" t="inlineStr">
        <is>
          <t>Date stored as local time, compared as UTC</t>
        </is>
      </c>
    </row>
    <row r="47">
      <c r="A47" s="132" t="n">
        <v>46358</v>
      </c>
      <c r="B47" s="41" t="inlineStr">
        <is>
          <t>D041</t>
        </is>
      </c>
      <c r="C47" s="34" t="inlineStr">
        <is>
          <t>Priya Nair</t>
        </is>
      </c>
      <c r="D47" s="41" t="inlineStr">
        <is>
          <t>M3</t>
        </is>
      </c>
      <c r="E47" s="34" t="inlineStr">
        <is>
          <t>60 - Checking</t>
        </is>
      </c>
      <c r="F47" s="34" t="inlineStr">
        <is>
          <t>UI / screens</t>
        </is>
      </c>
      <c r="G47" s="41" t="inlineStr">
        <is>
          <t>CODE</t>
        </is>
      </c>
      <c r="H47" s="41" t="inlineStr">
        <is>
          <t>CODEINSP</t>
        </is>
      </c>
      <c r="I47" s="44" t="n">
        <v>15</v>
      </c>
      <c r="J47" s="34" t="inlineStr">
        <is>
          <t>PR#52</t>
        </is>
      </c>
      <c r="K47" s="41" t="inlineStr">
        <is>
          <t>Minor</t>
        </is>
      </c>
      <c r="L47" s="41" t="inlineStr">
        <is>
          <t>No</t>
        </is>
      </c>
      <c r="M47" s="34" t="inlineStr">
        <is>
          <t>No guard against a double tap on Submit</t>
        </is>
      </c>
    </row>
    <row r="48">
      <c r="A48" s="132" t="n">
        <v>46352</v>
      </c>
      <c r="B48" s="41" t="inlineStr">
        <is>
          <t>D042</t>
        </is>
      </c>
      <c r="C48" s="34" t="inlineStr">
        <is>
          <t>Daniel Wong Jun Hao</t>
        </is>
      </c>
      <c r="D48" s="41" t="inlineStr">
        <is>
          <t>M3</t>
        </is>
      </c>
      <c r="E48" s="34" t="inlineStr">
        <is>
          <t>80 - Function</t>
        </is>
      </c>
      <c r="F48" s="34" t="inlineStr">
        <is>
          <t>Order &amp; catalogue service</t>
        </is>
      </c>
      <c r="G48" s="41" t="inlineStr">
        <is>
          <t>CODE</t>
        </is>
      </c>
      <c r="H48" s="41" t="inlineStr">
        <is>
          <t>UT</t>
        </is>
      </c>
      <c r="I48" s="44" t="n">
        <v>35</v>
      </c>
      <c r="J48" s="34" t="inlineStr">
        <is>
          <t>PR#53</t>
        </is>
      </c>
      <c r="K48" s="41" t="inlineStr">
        <is>
          <t>Major</t>
        </is>
      </c>
      <c r="L48" s="41" t="inlineStr">
        <is>
          <t>No</t>
        </is>
      </c>
      <c r="M48" s="34" t="inlineStr">
        <is>
          <t>Order total wrong when a line quantity was zero</t>
        </is>
      </c>
    </row>
    <row r="49">
      <c r="A49" s="132" t="n">
        <v>46353</v>
      </c>
      <c r="B49" s="41" t="inlineStr">
        <is>
          <t>D043</t>
        </is>
      </c>
      <c r="C49" s="34" t="inlineStr">
        <is>
          <t>Mei Ling Chong</t>
        </is>
      </c>
      <c r="D49" s="41" t="inlineStr">
        <is>
          <t>M3</t>
        </is>
      </c>
      <c r="E49" s="34" t="inlineStr">
        <is>
          <t>150 - AI-Generated</t>
        </is>
      </c>
      <c r="F49" s="34" t="inlineStr">
        <is>
          <t>UI / screens</t>
        </is>
      </c>
      <c r="G49" s="41" t="inlineStr">
        <is>
          <t>AIGEN</t>
        </is>
      </c>
      <c r="H49" s="41" t="inlineStr">
        <is>
          <t>UT</t>
        </is>
      </c>
      <c r="I49" s="44" t="n">
        <v>30</v>
      </c>
      <c r="J49" s="34" t="inlineStr">
        <is>
          <t>PR#54</t>
        </is>
      </c>
      <c r="K49" s="41" t="inlineStr">
        <is>
          <t>Major</t>
        </is>
      </c>
      <c r="L49" s="41" t="inlineStr">
        <is>
          <t>Yes</t>
        </is>
      </c>
      <c r="M49" s="34" t="inlineStr">
        <is>
          <t>Generated date formatter failed on the first of the month</t>
        </is>
      </c>
    </row>
    <row r="50">
      <c r="A50" s="132" t="n">
        <v>46361</v>
      </c>
      <c r="B50" s="41" t="inlineStr">
        <is>
          <t>D044</t>
        </is>
      </c>
      <c r="C50" s="34" t="inlineStr">
        <is>
          <t>Mei Ling Chong</t>
        </is>
      </c>
      <c r="D50" s="41" t="inlineStr">
        <is>
          <t>M3</t>
        </is>
      </c>
      <c r="E50" s="34" t="inlineStr">
        <is>
          <t>70 - Data</t>
        </is>
      </c>
      <c r="F50" s="34" t="inlineStr">
        <is>
          <t>Local store &amp; sync</t>
        </is>
      </c>
      <c r="G50" s="41" t="inlineStr">
        <is>
          <t>CODE</t>
        </is>
      </c>
      <c r="H50" s="41" t="inlineStr">
        <is>
          <t>UT</t>
        </is>
      </c>
      <c r="I50" s="44" t="n">
        <v>25</v>
      </c>
      <c r="J50" s="34" t="inlineStr">
        <is>
          <t>PR#55</t>
        </is>
      </c>
      <c r="K50" s="41" t="inlineStr">
        <is>
          <t>Minor</t>
        </is>
      </c>
      <c r="L50" s="41" t="inlineStr">
        <is>
          <t>No</t>
        </is>
      </c>
      <c r="M50" s="34" t="inlineStr">
        <is>
          <t>Sync marked records done before the write confirmed</t>
        </is>
      </c>
    </row>
    <row r="51">
      <c r="A51" s="132" t="n">
        <v>46356</v>
      </c>
      <c r="B51" s="41" t="inlineStr">
        <is>
          <t>D045</t>
        </is>
      </c>
      <c r="C51" s="34" t="inlineStr">
        <is>
          <t>Daniel Wong Jun Hao</t>
        </is>
      </c>
      <c r="D51" s="41" t="inlineStr">
        <is>
          <t>M3</t>
        </is>
      </c>
      <c r="E51" s="34" t="inlineStr">
        <is>
          <t>80 - Function</t>
        </is>
      </c>
      <c r="F51" s="34" t="inlineStr">
        <is>
          <t>Order &amp; catalogue service</t>
        </is>
      </c>
      <c r="G51" s="41" t="inlineStr">
        <is>
          <t>DLD</t>
        </is>
      </c>
      <c r="H51" s="41" t="inlineStr">
        <is>
          <t>UT</t>
        </is>
      </c>
      <c r="I51" s="44" t="n">
        <v>40</v>
      </c>
      <c r="J51" s="34" t="inlineStr">
        <is>
          <t>PR#56</t>
        </is>
      </c>
      <c r="K51" s="41" t="inlineStr">
        <is>
          <t>Major</t>
        </is>
      </c>
      <c r="L51" s="41" t="inlineStr">
        <is>
          <t>No</t>
        </is>
      </c>
      <c r="M51" s="34" t="inlineStr">
        <is>
          <t>Price lookup returned the newest price, not the one at order time</t>
        </is>
      </c>
    </row>
    <row r="52">
      <c r="A52" s="132" t="n">
        <v>46357</v>
      </c>
      <c r="B52" s="41" t="inlineStr">
        <is>
          <t>D046</t>
        </is>
      </c>
      <c r="C52" s="34" t="inlineStr">
        <is>
          <t>Priya Nair</t>
        </is>
      </c>
      <c r="D52" s="41" t="inlineStr">
        <is>
          <t>M3</t>
        </is>
      </c>
      <c r="E52" s="34" t="inlineStr">
        <is>
          <t>60 - Checking</t>
        </is>
      </c>
      <c r="F52" s="34" t="inlineStr">
        <is>
          <t>UI / screens</t>
        </is>
      </c>
      <c r="G52" s="41" t="inlineStr">
        <is>
          <t>CODE</t>
        </is>
      </c>
      <c r="H52" s="41" t="inlineStr">
        <is>
          <t>UT</t>
        </is>
      </c>
      <c r="I52" s="44" t="n">
        <v>15</v>
      </c>
      <c r="J52" s="34" t="inlineStr">
        <is>
          <t>PR#57</t>
        </is>
      </c>
      <c r="K52" s="41" t="inlineStr">
        <is>
          <t>Minor</t>
        </is>
      </c>
      <c r="L52" s="41" t="inlineStr">
        <is>
          <t>No</t>
        </is>
      </c>
      <c r="M52" s="34" t="inlineStr">
        <is>
          <t>Empty catalogue showed a spinner forever</t>
        </is>
      </c>
    </row>
    <row r="53">
      <c r="A53" s="132" t="n">
        <v>46358</v>
      </c>
      <c r="B53" s="41" t="inlineStr">
        <is>
          <t>D047</t>
        </is>
      </c>
      <c r="C53" s="34" t="inlineStr">
        <is>
          <t>Mei Ling Chong</t>
        </is>
      </c>
      <c r="D53" s="41" t="inlineStr">
        <is>
          <t>M3</t>
        </is>
      </c>
      <c r="E53" s="34" t="inlineStr">
        <is>
          <t>110 - UI / Layout</t>
        </is>
      </c>
      <c r="F53" s="34" t="inlineStr">
        <is>
          <t>UI / screens</t>
        </is>
      </c>
      <c r="G53" s="41" t="inlineStr">
        <is>
          <t>CODE</t>
        </is>
      </c>
      <c r="H53" s="41" t="inlineStr">
        <is>
          <t>WT</t>
        </is>
      </c>
      <c r="I53" s="44" t="n">
        <v>20</v>
      </c>
      <c r="J53" s="34" t="inlineStr">
        <is>
          <t>PR#58</t>
        </is>
      </c>
      <c r="K53" s="41" t="inlineStr">
        <is>
          <t>Minor</t>
        </is>
      </c>
      <c r="L53" s="41" t="inlineStr">
        <is>
          <t>No</t>
        </is>
      </c>
      <c r="M53" s="34" t="inlineStr">
        <is>
          <t>Submit button stayed enabled while the order was saving</t>
        </is>
      </c>
    </row>
    <row r="54">
      <c r="A54" s="132" t="n">
        <v>46359</v>
      </c>
      <c r="B54" s="41" t="inlineStr">
        <is>
          <t>D048</t>
        </is>
      </c>
      <c r="C54" s="34" t="inlineStr">
        <is>
          <t>Mei Ling Chong</t>
        </is>
      </c>
      <c r="D54" s="41" t="inlineStr">
        <is>
          <t>M3</t>
        </is>
      </c>
      <c r="E54" s="34" t="inlineStr">
        <is>
          <t>120 - State Management</t>
        </is>
      </c>
      <c r="F54" s="34" t="inlineStr">
        <is>
          <t>UI / screens</t>
        </is>
      </c>
      <c r="G54" s="41" t="inlineStr">
        <is>
          <t>CODE</t>
        </is>
      </c>
      <c r="H54" s="41" t="inlineStr">
        <is>
          <t>WT</t>
        </is>
      </c>
      <c r="I54" s="44" t="n">
        <v>25</v>
      </c>
      <c r="J54" s="34" t="inlineStr">
        <is>
          <t>PR#59</t>
        </is>
      </c>
      <c r="K54" s="41" t="inlineStr">
        <is>
          <t>Major</t>
        </is>
      </c>
      <c r="L54" s="41" t="inlineStr">
        <is>
          <t>No</t>
        </is>
      </c>
      <c r="M54" s="34" t="inlineStr">
        <is>
          <t>Catalogue filter did not clear when the screen was reopened</t>
        </is>
      </c>
    </row>
    <row r="55">
      <c r="A55" s="132" t="n">
        <v>46360</v>
      </c>
      <c r="B55" s="41" t="inlineStr">
        <is>
          <t>D049</t>
        </is>
      </c>
      <c r="C55" s="34" t="inlineStr">
        <is>
          <t>Daniel Wong Jun Hao</t>
        </is>
      </c>
      <c r="D55" s="41" t="inlineStr">
        <is>
          <t>M3</t>
        </is>
      </c>
      <c r="E55" s="34" t="inlineStr">
        <is>
          <t>50 - Interface</t>
        </is>
      </c>
      <c r="F55" s="34" t="inlineStr">
        <is>
          <t>SYSTEM</t>
        </is>
      </c>
      <c r="G55" s="41" t="inlineStr">
        <is>
          <t>HLD</t>
        </is>
      </c>
      <c r="H55" s="41" t="inlineStr">
        <is>
          <t>IT</t>
        </is>
      </c>
      <c r="I55" s="44" t="n">
        <v>50</v>
      </c>
      <c r="J55" s="34" t="inlineStr">
        <is>
          <t>PR#60</t>
        </is>
      </c>
      <c r="K55" s="41" t="inlineStr">
        <is>
          <t>Major</t>
        </is>
      </c>
      <c r="L55" s="41" t="inlineStr">
        <is>
          <t>No</t>
        </is>
      </c>
      <c r="M55" s="34" t="inlineStr">
        <is>
          <t>Order service and sync service disagreed on the id format</t>
        </is>
      </c>
    </row>
    <row r="56">
      <c r="A56" s="132" t="n">
        <v>46361</v>
      </c>
      <c r="B56" s="41" t="inlineStr">
        <is>
          <t>D050</t>
        </is>
      </c>
      <c r="C56" s="34" t="inlineStr">
        <is>
          <t>Aisyah Binti Rahman</t>
        </is>
      </c>
      <c r="D56" s="41" t="inlineStr">
        <is>
          <t>M3</t>
        </is>
      </c>
      <c r="E56" s="34" t="inlineStr">
        <is>
          <t>90 - System</t>
        </is>
      </c>
      <c r="F56" s="34" t="inlineStr">
        <is>
          <t>SYSTEM</t>
        </is>
      </c>
      <c r="G56" s="41" t="inlineStr">
        <is>
          <t>CODE</t>
        </is>
      </c>
      <c r="H56" s="41" t="inlineStr">
        <is>
          <t>IT</t>
        </is>
      </c>
      <c r="I56" s="44" t="n">
        <v>45</v>
      </c>
      <c r="J56" s="34" t="inlineStr">
        <is>
          <t>PR#61</t>
        </is>
      </c>
      <c r="K56" s="41" t="inlineStr">
        <is>
          <t>Major</t>
        </is>
      </c>
      <c r="L56" s="41" t="inlineStr">
        <is>
          <t>No</t>
        </is>
      </c>
      <c r="M56" s="34" t="inlineStr">
        <is>
          <t>Offline queue drained twice when connection flapped</t>
        </is>
      </c>
    </row>
    <row r="57">
      <c r="A57" s="132" t="n">
        <v>46363</v>
      </c>
      <c r="B57" s="41" t="inlineStr">
        <is>
          <t>D051</t>
        </is>
      </c>
      <c r="C57" s="34" t="inlineStr">
        <is>
          <t>Priya Nair</t>
        </is>
      </c>
      <c r="D57" s="41" t="inlineStr">
        <is>
          <t>M3</t>
        </is>
      </c>
      <c r="E57" s="34" t="inlineStr">
        <is>
          <t>130 - Performance</t>
        </is>
      </c>
      <c r="F57" s="34" t="inlineStr">
        <is>
          <t>UI / screens</t>
        </is>
      </c>
      <c r="G57" s="41" t="inlineStr">
        <is>
          <t>CODE</t>
        </is>
      </c>
      <c r="H57" s="41" t="inlineStr">
        <is>
          <t>ST</t>
        </is>
      </c>
      <c r="I57" s="44" t="n">
        <v>40</v>
      </c>
      <c r="J57" s="34" t="inlineStr">
        <is>
          <t>PR#62</t>
        </is>
      </c>
      <c r="K57" s="41" t="inlineStr">
        <is>
          <t>Major</t>
        </is>
      </c>
      <c r="L57" s="41" t="inlineStr">
        <is>
          <t>No</t>
        </is>
      </c>
      <c r="M57" s="34" t="inlineStr">
        <is>
          <t>Catalogue list janked badly past about 300 items</t>
        </is>
      </c>
    </row>
    <row r="58">
      <c r="A58" s="132" t="n">
        <v>46364</v>
      </c>
      <c r="B58" s="41" t="inlineStr">
        <is>
          <t>D052</t>
        </is>
      </c>
      <c r="C58" s="34" t="inlineStr">
        <is>
          <t>Harith Bin Ismail</t>
        </is>
      </c>
      <c r="D58" s="41" t="inlineStr">
        <is>
          <t>M3</t>
        </is>
      </c>
      <c r="E58" s="34" t="inlineStr">
        <is>
          <t>90 - System</t>
        </is>
      </c>
      <c r="F58" s="34" t="inlineStr">
        <is>
          <t>SYSTEM</t>
        </is>
      </c>
      <c r="G58" s="41" t="inlineStr">
        <is>
          <t>HLD</t>
        </is>
      </c>
      <c r="H58" s="41" t="inlineStr">
        <is>
          <t>ST</t>
        </is>
      </c>
      <c r="I58" s="44" t="n">
        <v>35</v>
      </c>
      <c r="J58" s="34" t="inlineStr">
        <is>
          <t>PR#63</t>
        </is>
      </c>
      <c r="K58" s="41" t="inlineStr">
        <is>
          <t>Major</t>
        </is>
      </c>
      <c r="L58" s="41" t="inlineStr">
        <is>
          <t>No</t>
        </is>
      </c>
      <c r="M58" s="34" t="inlineStr">
        <is>
          <t>Invoice PDF rendered blank on one of the client's devices</t>
        </is>
      </c>
    </row>
    <row r="59">
      <c r="A59" s="132" t="n">
        <v>46365</v>
      </c>
      <c r="B59" s="41" t="inlineStr">
        <is>
          <t>D053</t>
        </is>
      </c>
      <c r="C59" s="34" t="inlineStr">
        <is>
          <t>Harith Bin Ismail</t>
        </is>
      </c>
      <c r="D59" s="41" t="inlineStr">
        <is>
          <t>M3</t>
        </is>
      </c>
      <c r="E59" s="34" t="inlineStr">
        <is>
          <t>110 - UI / Layout</t>
        </is>
      </c>
      <c r="F59" s="34" t="inlineStr">
        <is>
          <t>UI / screens</t>
        </is>
      </c>
      <c r="G59" s="41" t="inlineStr">
        <is>
          <t>CODE</t>
        </is>
      </c>
      <c r="H59" s="41" t="inlineStr">
        <is>
          <t>UAT</t>
        </is>
      </c>
      <c r="I59" s="44" t="n">
        <v>15</v>
      </c>
      <c r="J59" s="34" t="inlineStr">
        <is>
          <t>PR#64</t>
        </is>
      </c>
      <c r="K59" s="41" t="inlineStr">
        <is>
          <t>Cosmetic</t>
        </is>
      </c>
      <c r="L59" s="41" t="inlineStr">
        <is>
          <t>No</t>
        </is>
      </c>
      <c r="M59" s="34" t="inlineStr">
        <is>
          <t>Counter staff found the font too small at the till</t>
        </is>
      </c>
    </row>
    <row r="60">
      <c r="A60" s="132" t="n"/>
      <c r="B60" s="41" t="n"/>
      <c r="C60" s="34" t="n"/>
      <c r="D60" s="41" t="n"/>
      <c r="E60" s="34" t="n"/>
      <c r="F60" s="34" t="n"/>
      <c r="G60" s="41" t="n"/>
      <c r="H60" s="41" t="n"/>
      <c r="I60" s="44" t="n"/>
      <c r="J60" s="34" t="n"/>
      <c r="K60" s="41" t="n"/>
      <c r="L60" s="41" t="n"/>
      <c r="M60" s="34" t="n"/>
    </row>
    <row r="61">
      <c r="A61" s="132" t="n"/>
      <c r="B61" s="41" t="n"/>
      <c r="C61" s="34" t="n"/>
      <c r="D61" s="41" t="n"/>
      <c r="E61" s="34" t="n"/>
      <c r="F61" s="34" t="n"/>
      <c r="G61" s="41" t="n"/>
      <c r="H61" s="41" t="n"/>
      <c r="I61" s="44" t="n"/>
      <c r="J61" s="34" t="n"/>
      <c r="K61" s="41" t="n"/>
      <c r="L61" s="41" t="n"/>
      <c r="M61" s="34" t="n"/>
    </row>
    <row r="62">
      <c r="A62" s="132" t="n"/>
      <c r="B62" s="41" t="n"/>
      <c r="C62" s="34" t="n"/>
      <c r="D62" s="41" t="n"/>
      <c r="E62" s="34" t="n"/>
      <c r="F62" s="34" t="n"/>
      <c r="G62" s="41" t="n"/>
      <c r="H62" s="41" t="n"/>
      <c r="I62" s="44" t="n"/>
      <c r="J62" s="34" t="n"/>
      <c r="K62" s="41" t="n"/>
      <c r="L62" s="41" t="n"/>
      <c r="M62" s="34" t="n"/>
    </row>
    <row r="63">
      <c r="A63" s="132" t="n"/>
      <c r="B63" s="41" t="n"/>
      <c r="C63" s="34" t="n"/>
      <c r="D63" s="41" t="n"/>
      <c r="E63" s="34" t="n"/>
      <c r="F63" s="34" t="n"/>
      <c r="G63" s="41" t="n"/>
      <c r="H63" s="41" t="n"/>
      <c r="I63" s="44" t="n"/>
      <c r="J63" s="34" t="n"/>
      <c r="K63" s="41" t="n"/>
      <c r="L63" s="41" t="n"/>
      <c r="M63" s="34" t="n"/>
    </row>
    <row r="64">
      <c r="A64" s="132" t="n"/>
      <c r="B64" s="41" t="n"/>
      <c r="C64" s="34" t="n"/>
      <c r="D64" s="41" t="n"/>
      <c r="E64" s="34" t="n"/>
      <c r="F64" s="34" t="n"/>
      <c r="G64" s="41" t="n"/>
      <c r="H64" s="41" t="n"/>
      <c r="I64" s="44" t="n"/>
      <c r="J64" s="34" t="n"/>
      <c r="K64" s="41" t="n"/>
      <c r="L64" s="41" t="n"/>
      <c r="M64" s="34" t="n"/>
    </row>
    <row r="65">
      <c r="A65" s="132" t="n"/>
      <c r="B65" s="41" t="n"/>
      <c r="C65" s="34" t="n"/>
      <c r="D65" s="41" t="n"/>
      <c r="E65" s="34" t="n"/>
      <c r="F65" s="34" t="n"/>
      <c r="G65" s="41" t="n"/>
      <c r="H65" s="41" t="n"/>
      <c r="I65" s="44" t="n"/>
      <c r="J65" s="34" t="n"/>
      <c r="K65" s="41" t="n"/>
      <c r="L65" s="41" t="n"/>
      <c r="M65" s="34" t="n"/>
    </row>
    <row r="66">
      <c r="A66" s="132" t="n"/>
      <c r="B66" s="41" t="n"/>
      <c r="C66" s="34" t="n"/>
      <c r="D66" s="41" t="n"/>
      <c r="E66" s="34" t="n"/>
      <c r="F66" s="34" t="n"/>
      <c r="G66" s="41" t="n"/>
      <c r="H66" s="41" t="n"/>
      <c r="I66" s="44" t="n"/>
      <c r="J66" s="34" t="n"/>
      <c r="K66" s="41" t="n"/>
      <c r="L66" s="41" t="n"/>
      <c r="M66" s="34" t="n"/>
    </row>
    <row r="67">
      <c r="A67" s="132" t="n"/>
      <c r="B67" s="41" t="n"/>
      <c r="C67" s="34" t="n"/>
      <c r="D67" s="41" t="n"/>
      <c r="E67" s="34" t="n"/>
      <c r="F67" s="34" t="n"/>
      <c r="G67" s="41" t="n"/>
      <c r="H67" s="41" t="n"/>
      <c r="I67" s="44" t="n"/>
      <c r="J67" s="34" t="n"/>
      <c r="K67" s="41" t="n"/>
      <c r="L67" s="41" t="n"/>
      <c r="M67" s="34" t="n"/>
    </row>
    <row r="68">
      <c r="A68" s="132" t="n"/>
      <c r="B68" s="41" t="n"/>
      <c r="C68" s="34" t="n"/>
      <c r="D68" s="41" t="n"/>
      <c r="E68" s="34" t="n"/>
      <c r="F68" s="34" t="n"/>
      <c r="G68" s="41" t="n"/>
      <c r="H68" s="41" t="n"/>
      <c r="I68" s="44" t="n"/>
      <c r="J68" s="34" t="n"/>
      <c r="K68" s="41" t="n"/>
      <c r="L68" s="41" t="n"/>
      <c r="M68" s="34" t="n"/>
    </row>
    <row r="69">
      <c r="A69" s="132" t="n"/>
      <c r="B69" s="41" t="n"/>
      <c r="C69" s="34" t="n"/>
      <c r="D69" s="41" t="n"/>
      <c r="E69" s="34" t="n"/>
      <c r="F69" s="34" t="n"/>
      <c r="G69" s="41" t="n"/>
      <c r="H69" s="41" t="n"/>
      <c r="I69" s="44" t="n"/>
      <c r="J69" s="34" t="n"/>
      <c r="K69" s="41" t="n"/>
      <c r="L69" s="41" t="n"/>
      <c r="M69" s="34" t="n"/>
    </row>
    <row r="70">
      <c r="A70" s="132" t="n"/>
      <c r="B70" s="41" t="n"/>
      <c r="C70" s="34" t="n"/>
      <c r="D70" s="41" t="n"/>
      <c r="E70" s="34" t="n"/>
      <c r="F70" s="34" t="n"/>
      <c r="G70" s="41" t="n"/>
      <c r="H70" s="41" t="n"/>
      <c r="I70" s="44" t="n"/>
      <c r="J70" s="34" t="n"/>
      <c r="K70" s="41" t="n"/>
      <c r="L70" s="41" t="n"/>
      <c r="M70" s="34" t="n"/>
    </row>
    <row r="71">
      <c r="A71" s="132" t="n"/>
      <c r="B71" s="41" t="n"/>
      <c r="C71" s="34" t="n"/>
      <c r="D71" s="41" t="n"/>
      <c r="E71" s="34" t="n"/>
      <c r="F71" s="34" t="n"/>
      <c r="G71" s="41" t="n"/>
      <c r="H71" s="41" t="n"/>
      <c r="I71" s="44" t="n"/>
      <c r="J71" s="34" t="n"/>
      <c r="K71" s="41" t="n"/>
      <c r="L71" s="41" t="n"/>
      <c r="M71" s="34" t="n"/>
    </row>
    <row r="72">
      <c r="A72" s="132" t="n"/>
      <c r="B72" s="41" t="n"/>
      <c r="C72" s="34" t="n"/>
      <c r="D72" s="41" t="n"/>
      <c r="E72" s="34" t="n"/>
      <c r="F72" s="34" t="n"/>
      <c r="G72" s="41" t="n"/>
      <c r="H72" s="41" t="n"/>
      <c r="I72" s="44" t="n"/>
      <c r="J72" s="34" t="n"/>
      <c r="K72" s="41" t="n"/>
      <c r="L72" s="41" t="n"/>
      <c r="M72" s="34" t="n"/>
    </row>
    <row r="73">
      <c r="A73" s="132" t="n"/>
      <c r="B73" s="41" t="n"/>
      <c r="C73" s="34" t="n"/>
      <c r="D73" s="41" t="n"/>
      <c r="E73" s="34" t="n"/>
      <c r="F73" s="34" t="n"/>
      <c r="G73" s="41" t="n"/>
      <c r="H73" s="41" t="n"/>
      <c r="I73" s="44" t="n"/>
      <c r="J73" s="34" t="n"/>
      <c r="K73" s="41" t="n"/>
      <c r="L73" s="41" t="n"/>
      <c r="M73" s="34" t="n"/>
    </row>
    <row r="74">
      <c r="A74" s="132" t="n"/>
      <c r="B74" s="41" t="n"/>
      <c r="C74" s="34" t="n"/>
      <c r="D74" s="41" t="n"/>
      <c r="E74" s="34" t="n"/>
      <c r="F74" s="34" t="n"/>
      <c r="G74" s="41" t="n"/>
      <c r="H74" s="41" t="n"/>
      <c r="I74" s="44" t="n"/>
      <c r="J74" s="34" t="n"/>
      <c r="K74" s="41" t="n"/>
      <c r="L74" s="41" t="n"/>
      <c r="M74" s="34" t="n"/>
    </row>
    <row r="75">
      <c r="A75" s="132" t="n"/>
      <c r="B75" s="41" t="n"/>
      <c r="C75" s="34" t="n"/>
      <c r="D75" s="41" t="n"/>
      <c r="E75" s="34" t="n"/>
      <c r="F75" s="34" t="n"/>
      <c r="G75" s="41" t="n"/>
      <c r="H75" s="41" t="n"/>
      <c r="I75" s="44" t="n"/>
      <c r="J75" s="34" t="n"/>
      <c r="K75" s="41" t="n"/>
      <c r="L75" s="41" t="n"/>
      <c r="M75" s="34" t="n"/>
    </row>
    <row r="76">
      <c r="A76" s="132" t="n"/>
      <c r="B76" s="41" t="n"/>
      <c r="C76" s="34" t="n"/>
      <c r="D76" s="41" t="n"/>
      <c r="E76" s="34" t="n"/>
      <c r="F76" s="34" t="n"/>
      <c r="G76" s="41" t="n"/>
      <c r="H76" s="41" t="n"/>
      <c r="I76" s="44" t="n"/>
      <c r="J76" s="34" t="n"/>
      <c r="K76" s="41" t="n"/>
      <c r="L76" s="41" t="n"/>
      <c r="M76" s="34" t="n"/>
    </row>
    <row r="77">
      <c r="A77" s="132" t="n"/>
      <c r="B77" s="41" t="n"/>
      <c r="C77" s="34" t="n"/>
      <c r="D77" s="41" t="n"/>
      <c r="E77" s="34" t="n"/>
      <c r="F77" s="34" t="n"/>
      <c r="G77" s="41" t="n"/>
      <c r="H77" s="41" t="n"/>
      <c r="I77" s="44" t="n"/>
      <c r="J77" s="34" t="n"/>
      <c r="K77" s="41" t="n"/>
      <c r="L77" s="41" t="n"/>
      <c r="M77" s="34" t="n"/>
    </row>
    <row r="78">
      <c r="A78" s="132" t="n"/>
      <c r="B78" s="41" t="n"/>
      <c r="C78" s="34" t="n"/>
      <c r="D78" s="41" t="n"/>
      <c r="E78" s="34" t="n"/>
      <c r="F78" s="34" t="n"/>
      <c r="G78" s="41" t="n"/>
      <c r="H78" s="41" t="n"/>
      <c r="I78" s="44" t="n"/>
      <c r="J78" s="34" t="n"/>
      <c r="K78" s="41" t="n"/>
      <c r="L78" s="41" t="n"/>
      <c r="M78" s="34" t="n"/>
    </row>
    <row r="79">
      <c r="A79" s="132" t="n"/>
      <c r="B79" s="41" t="n"/>
      <c r="C79" s="34" t="n"/>
      <c r="D79" s="41" t="n"/>
      <c r="E79" s="34" t="n"/>
      <c r="F79" s="34" t="n"/>
      <c r="G79" s="41" t="n"/>
      <c r="H79" s="41" t="n"/>
      <c r="I79" s="44" t="n"/>
      <c r="J79" s="34" t="n"/>
      <c r="K79" s="41" t="n"/>
      <c r="L79" s="41" t="n"/>
      <c r="M79" s="34" t="n"/>
    </row>
    <row r="80">
      <c r="A80" s="132" t="n"/>
      <c r="B80" s="41" t="n"/>
      <c r="C80" s="34" t="n"/>
      <c r="D80" s="41" t="n"/>
      <c r="E80" s="34" t="n"/>
      <c r="F80" s="34" t="n"/>
      <c r="G80" s="41" t="n"/>
      <c r="H80" s="41" t="n"/>
      <c r="I80" s="44" t="n"/>
      <c r="J80" s="34" t="n"/>
      <c r="K80" s="41" t="n"/>
      <c r="L80" s="41" t="n"/>
      <c r="M80" s="34" t="n"/>
    </row>
    <row r="81">
      <c r="A81" s="132" t="n"/>
      <c r="B81" s="41" t="n"/>
      <c r="C81" s="34" t="n"/>
      <c r="D81" s="41" t="n"/>
      <c r="E81" s="34" t="n"/>
      <c r="F81" s="34" t="n"/>
      <c r="G81" s="41" t="n"/>
      <c r="H81" s="41" t="n"/>
      <c r="I81" s="44" t="n"/>
      <c r="J81" s="34" t="n"/>
      <c r="K81" s="41" t="n"/>
      <c r="L81" s="41" t="n"/>
      <c r="M81" s="34" t="n"/>
    </row>
    <row r="82">
      <c r="A82" s="132" t="n"/>
      <c r="B82" s="41" t="n"/>
      <c r="C82" s="34" t="n"/>
      <c r="D82" s="41" t="n"/>
      <c r="E82" s="34" t="n"/>
      <c r="F82" s="34" t="n"/>
      <c r="G82" s="41" t="n"/>
      <c r="H82" s="41" t="n"/>
      <c r="I82" s="44" t="n"/>
      <c r="J82" s="34" t="n"/>
      <c r="K82" s="41" t="n"/>
      <c r="L82" s="41" t="n"/>
      <c r="M82" s="34" t="n"/>
    </row>
    <row r="83">
      <c r="A83" s="132" t="n"/>
      <c r="B83" s="41" t="n"/>
      <c r="C83" s="34" t="n"/>
      <c r="D83" s="41" t="n"/>
      <c r="E83" s="34" t="n"/>
      <c r="F83" s="34" t="n"/>
      <c r="G83" s="41" t="n"/>
      <c r="H83" s="41" t="n"/>
      <c r="I83" s="44" t="n"/>
      <c r="J83" s="34" t="n"/>
      <c r="K83" s="41" t="n"/>
      <c r="L83" s="41" t="n"/>
      <c r="M83" s="34" t="n"/>
    </row>
    <row r="84">
      <c r="A84" s="132" t="n"/>
      <c r="B84" s="41" t="n"/>
      <c r="C84" s="34" t="n"/>
      <c r="D84" s="41" t="n"/>
      <c r="E84" s="34" t="n"/>
      <c r="F84" s="34" t="n"/>
      <c r="G84" s="41" t="n"/>
      <c r="H84" s="41" t="n"/>
      <c r="I84" s="44" t="n"/>
      <c r="J84" s="34" t="n"/>
      <c r="K84" s="41" t="n"/>
      <c r="L84" s="41" t="n"/>
      <c r="M84" s="34" t="n"/>
    </row>
    <row r="85">
      <c r="A85" s="132" t="n"/>
      <c r="B85" s="41" t="n"/>
      <c r="C85" s="34" t="n"/>
      <c r="D85" s="41" t="n"/>
      <c r="E85" s="34" t="n"/>
      <c r="F85" s="34" t="n"/>
      <c r="G85" s="41" t="n"/>
      <c r="H85" s="41" t="n"/>
      <c r="I85" s="44" t="n"/>
      <c r="J85" s="34" t="n"/>
      <c r="K85" s="41" t="n"/>
      <c r="L85" s="41" t="n"/>
      <c r="M85" s="34" t="n"/>
    </row>
    <row r="86">
      <c r="A86" s="132" t="n"/>
      <c r="B86" s="41" t="n"/>
      <c r="C86" s="34" t="n"/>
      <c r="D86" s="41" t="n"/>
      <c r="E86" s="34" t="n"/>
      <c r="F86" s="34" t="n"/>
      <c r="G86" s="41" t="n"/>
      <c r="H86" s="41" t="n"/>
      <c r="I86" s="44" t="n"/>
      <c r="J86" s="34" t="n"/>
      <c r="K86" s="41" t="n"/>
      <c r="L86" s="41" t="n"/>
      <c r="M86" s="34" t="n"/>
    </row>
    <row r="87">
      <c r="A87" s="132" t="n"/>
      <c r="B87" s="41" t="n"/>
      <c r="C87" s="34" t="n"/>
      <c r="D87" s="41" t="n"/>
      <c r="E87" s="34" t="n"/>
      <c r="F87" s="34" t="n"/>
      <c r="G87" s="41" t="n"/>
      <c r="H87" s="41" t="n"/>
      <c r="I87" s="44" t="n"/>
      <c r="J87" s="34" t="n"/>
      <c r="K87" s="41" t="n"/>
      <c r="L87" s="41" t="n"/>
      <c r="M87" s="34" t="n"/>
    </row>
    <row r="88">
      <c r="A88" s="132" t="n"/>
      <c r="B88" s="41" t="n"/>
      <c r="C88" s="34" t="n"/>
      <c r="D88" s="41" t="n"/>
      <c r="E88" s="34" t="n"/>
      <c r="F88" s="34" t="n"/>
      <c r="G88" s="41" t="n"/>
      <c r="H88" s="41" t="n"/>
      <c r="I88" s="44" t="n"/>
      <c r="J88" s="34" t="n"/>
      <c r="K88" s="41" t="n"/>
      <c r="L88" s="41" t="n"/>
      <c r="M88" s="34" t="n"/>
    </row>
    <row r="89">
      <c r="A89" s="132" t="n"/>
      <c r="B89" s="41" t="n"/>
      <c r="C89" s="34" t="n"/>
      <c r="D89" s="41" t="n"/>
      <c r="E89" s="34" t="n"/>
      <c r="F89" s="34" t="n"/>
      <c r="G89" s="41" t="n"/>
      <c r="H89" s="41" t="n"/>
      <c r="I89" s="44" t="n"/>
      <c r="J89" s="34" t="n"/>
      <c r="K89" s="41" t="n"/>
      <c r="L89" s="41" t="n"/>
      <c r="M89" s="34" t="n"/>
    </row>
    <row r="90">
      <c r="A90" s="132" t="n"/>
      <c r="B90" s="41" t="n"/>
      <c r="C90" s="34" t="n"/>
      <c r="D90" s="41" t="n"/>
      <c r="E90" s="34" t="n"/>
      <c r="F90" s="34" t="n"/>
      <c r="G90" s="41" t="n"/>
      <c r="H90" s="41" t="n"/>
      <c r="I90" s="44" t="n"/>
      <c r="J90" s="34" t="n"/>
      <c r="K90" s="41" t="n"/>
      <c r="L90" s="41" t="n"/>
      <c r="M90" s="34" t="n"/>
    </row>
    <row r="91">
      <c r="A91" s="132" t="n"/>
      <c r="B91" s="41" t="n"/>
      <c r="C91" s="34" t="n"/>
      <c r="D91" s="41" t="n"/>
      <c r="E91" s="34" t="n"/>
      <c r="F91" s="34" t="n"/>
      <c r="G91" s="41" t="n"/>
      <c r="H91" s="41" t="n"/>
      <c r="I91" s="44" t="n"/>
      <c r="J91" s="34" t="n"/>
      <c r="K91" s="41" t="n"/>
      <c r="L91" s="41" t="n"/>
      <c r="M91" s="34" t="n"/>
    </row>
    <row r="92">
      <c r="A92" s="132" t="n"/>
      <c r="B92" s="41" t="n"/>
      <c r="C92" s="34" t="n"/>
      <c r="D92" s="41" t="n"/>
      <c r="E92" s="34" t="n"/>
      <c r="F92" s="34" t="n"/>
      <c r="G92" s="41" t="n"/>
      <c r="H92" s="41" t="n"/>
      <c r="I92" s="44" t="n"/>
      <c r="J92" s="34" t="n"/>
      <c r="K92" s="41" t="n"/>
      <c r="L92" s="41" t="n"/>
      <c r="M92" s="34" t="n"/>
    </row>
    <row r="93">
      <c r="A93" s="132" t="n"/>
      <c r="B93" s="41" t="n"/>
      <c r="C93" s="34" t="n"/>
      <c r="D93" s="41" t="n"/>
      <c r="E93" s="34" t="n"/>
      <c r="F93" s="34" t="n"/>
      <c r="G93" s="41" t="n"/>
      <c r="H93" s="41" t="n"/>
      <c r="I93" s="44" t="n"/>
      <c r="J93" s="34" t="n"/>
      <c r="K93" s="41" t="n"/>
      <c r="L93" s="41" t="n"/>
      <c r="M93" s="34" t="n"/>
    </row>
    <row r="94">
      <c r="A94" s="132" t="n"/>
      <c r="B94" s="41" t="n"/>
      <c r="C94" s="34" t="n"/>
      <c r="D94" s="41" t="n"/>
      <c r="E94" s="34" t="n"/>
      <c r="F94" s="34" t="n"/>
      <c r="G94" s="41" t="n"/>
      <c r="H94" s="41" t="n"/>
      <c r="I94" s="44" t="n"/>
      <c r="J94" s="34" t="n"/>
      <c r="K94" s="41" t="n"/>
      <c r="L94" s="41" t="n"/>
      <c r="M94" s="34" t="n"/>
    </row>
    <row r="95">
      <c r="A95" s="132" t="n"/>
      <c r="B95" s="41" t="n"/>
      <c r="C95" s="34" t="n"/>
      <c r="D95" s="41" t="n"/>
      <c r="E95" s="34" t="n"/>
      <c r="F95" s="34" t="n"/>
      <c r="G95" s="41" t="n"/>
      <c r="H95" s="41" t="n"/>
      <c r="I95" s="44" t="n"/>
      <c r="J95" s="34" t="n"/>
      <c r="K95" s="41" t="n"/>
      <c r="L95" s="41" t="n"/>
      <c r="M95" s="34" t="n"/>
    </row>
    <row r="96">
      <c r="A96" s="132" t="n"/>
      <c r="B96" s="41" t="n"/>
      <c r="C96" s="34" t="n"/>
      <c r="D96" s="41" t="n"/>
      <c r="E96" s="34" t="n"/>
      <c r="F96" s="34" t="n"/>
      <c r="G96" s="41" t="n"/>
      <c r="H96" s="41" t="n"/>
      <c r="I96" s="44" t="n"/>
      <c r="J96" s="34" t="n"/>
      <c r="K96" s="41" t="n"/>
      <c r="L96" s="41" t="n"/>
      <c r="M96" s="34" t="n"/>
    </row>
    <row r="97">
      <c r="A97" s="132" t="n"/>
      <c r="B97" s="41" t="n"/>
      <c r="C97" s="34" t="n"/>
      <c r="D97" s="41" t="n"/>
      <c r="E97" s="34" t="n"/>
      <c r="F97" s="34" t="n"/>
      <c r="G97" s="41" t="n"/>
      <c r="H97" s="41" t="n"/>
      <c r="I97" s="44" t="n"/>
      <c r="J97" s="34" t="n"/>
      <c r="K97" s="41" t="n"/>
      <c r="L97" s="41" t="n"/>
      <c r="M97" s="34" t="n"/>
    </row>
    <row r="98">
      <c r="A98" s="132" t="n"/>
      <c r="B98" s="41" t="n"/>
      <c r="C98" s="34" t="n"/>
      <c r="D98" s="41" t="n"/>
      <c r="E98" s="34" t="n"/>
      <c r="F98" s="34" t="n"/>
      <c r="G98" s="41" t="n"/>
      <c r="H98" s="41" t="n"/>
      <c r="I98" s="44" t="n"/>
      <c r="J98" s="34" t="n"/>
      <c r="K98" s="41" t="n"/>
      <c r="L98" s="41" t="n"/>
      <c r="M98" s="34" t="n"/>
    </row>
    <row r="99">
      <c r="A99" s="132" t="n"/>
      <c r="B99" s="41" t="n"/>
      <c r="C99" s="34" t="n"/>
      <c r="D99" s="41" t="n"/>
      <c r="E99" s="34" t="n"/>
      <c r="F99" s="34" t="n"/>
      <c r="G99" s="41" t="n"/>
      <c r="H99" s="41" t="n"/>
      <c r="I99" s="44" t="n"/>
      <c r="J99" s="34" t="n"/>
      <c r="K99" s="41" t="n"/>
      <c r="L99" s="41" t="n"/>
      <c r="M99" s="34" t="n"/>
    </row>
    <row r="100">
      <c r="A100" s="132" t="n"/>
      <c r="B100" s="41" t="n"/>
      <c r="C100" s="34" t="n"/>
      <c r="D100" s="41" t="n"/>
      <c r="E100" s="34" t="n"/>
      <c r="F100" s="34" t="n"/>
      <c r="G100" s="41" t="n"/>
      <c r="H100" s="41" t="n"/>
      <c r="I100" s="44" t="n"/>
      <c r="J100" s="34" t="n"/>
      <c r="K100" s="41" t="n"/>
      <c r="L100" s="41" t="n"/>
      <c r="M100" s="34" t="n"/>
    </row>
    <row r="101">
      <c r="A101" s="132" t="n"/>
      <c r="B101" s="41" t="n"/>
      <c r="C101" s="34" t="n"/>
      <c r="D101" s="41" t="n"/>
      <c r="E101" s="34" t="n"/>
      <c r="F101" s="34" t="n"/>
      <c r="G101" s="41" t="n"/>
      <c r="H101" s="41" t="n"/>
      <c r="I101" s="44" t="n"/>
      <c r="J101" s="34" t="n"/>
      <c r="K101" s="41" t="n"/>
      <c r="L101" s="41" t="n"/>
      <c r="M101" s="34" t="n"/>
    </row>
    <row r="102">
      <c r="A102" s="132" t="n"/>
      <c r="B102" s="41" t="n"/>
      <c r="C102" s="34" t="n"/>
      <c r="D102" s="41" t="n"/>
      <c r="E102" s="34" t="n"/>
      <c r="F102" s="34" t="n"/>
      <c r="G102" s="41" t="n"/>
      <c r="H102" s="41" t="n"/>
      <c r="I102" s="44" t="n"/>
      <c r="J102" s="34" t="n"/>
      <c r="K102" s="41" t="n"/>
      <c r="L102" s="41" t="n"/>
      <c r="M102" s="34" t="n"/>
    </row>
    <row r="103">
      <c r="A103" s="132" t="n"/>
      <c r="B103" s="41" t="n"/>
      <c r="C103" s="34" t="n"/>
      <c r="D103" s="41" t="n"/>
      <c r="E103" s="34" t="n"/>
      <c r="F103" s="34" t="n"/>
      <c r="G103" s="41" t="n"/>
      <c r="H103" s="41" t="n"/>
      <c r="I103" s="44" t="n"/>
      <c r="J103" s="34" t="n"/>
      <c r="K103" s="41" t="n"/>
      <c r="L103" s="41" t="n"/>
      <c r="M103" s="34" t="n"/>
    </row>
    <row r="104">
      <c r="A104" s="132" t="n"/>
      <c r="B104" s="41" t="n"/>
      <c r="C104" s="34" t="n"/>
      <c r="D104" s="41" t="n"/>
      <c r="E104" s="34" t="n"/>
      <c r="F104" s="34" t="n"/>
      <c r="G104" s="41" t="n"/>
      <c r="H104" s="41" t="n"/>
      <c r="I104" s="44" t="n"/>
      <c r="J104" s="34" t="n"/>
      <c r="K104" s="41" t="n"/>
      <c r="L104" s="41" t="n"/>
      <c r="M104" s="34" t="n"/>
    </row>
    <row r="105">
      <c r="A105" s="132" t="n"/>
      <c r="B105" s="41" t="n"/>
      <c r="C105" s="34" t="n"/>
      <c r="D105" s="41" t="n"/>
      <c r="E105" s="34" t="n"/>
      <c r="F105" s="34" t="n"/>
      <c r="G105" s="41" t="n"/>
      <c r="H105" s="41" t="n"/>
      <c r="I105" s="44" t="n"/>
      <c r="J105" s="34" t="n"/>
      <c r="K105" s="41" t="n"/>
      <c r="L105" s="41" t="n"/>
      <c r="M105" s="34" t="n"/>
    </row>
    <row r="106">
      <c r="A106" s="132" t="n"/>
      <c r="B106" s="41" t="n"/>
      <c r="C106" s="34" t="n"/>
      <c r="D106" s="41" t="n"/>
      <c r="E106" s="34" t="n"/>
      <c r="F106" s="34" t="n"/>
      <c r="G106" s="41" t="n"/>
      <c r="H106" s="41" t="n"/>
      <c r="I106" s="44" t="n"/>
      <c r="J106" s="34" t="n"/>
      <c r="K106" s="41" t="n"/>
      <c r="L106" s="41" t="n"/>
      <c r="M106" s="34" t="n"/>
    </row>
    <row r="107">
      <c r="A107" s="132" t="n"/>
      <c r="B107" s="41" t="n"/>
      <c r="C107" s="34" t="n"/>
      <c r="D107" s="41" t="n"/>
      <c r="E107" s="34" t="n"/>
      <c r="F107" s="34" t="n"/>
      <c r="G107" s="41" t="n"/>
      <c r="H107" s="41" t="n"/>
      <c r="I107" s="44" t="n"/>
      <c r="J107" s="34" t="n"/>
      <c r="K107" s="41" t="n"/>
      <c r="L107" s="41" t="n"/>
      <c r="M107" s="34" t="n"/>
    </row>
    <row r="108">
      <c r="A108" s="132" t="n"/>
      <c r="B108" s="41" t="n"/>
      <c r="C108" s="34" t="n"/>
      <c r="D108" s="41" t="n"/>
      <c r="E108" s="34" t="n"/>
      <c r="F108" s="34" t="n"/>
      <c r="G108" s="41" t="n"/>
      <c r="H108" s="41" t="n"/>
      <c r="I108" s="44" t="n"/>
      <c r="J108" s="34" t="n"/>
      <c r="K108" s="41" t="n"/>
      <c r="L108" s="41" t="n"/>
      <c r="M108" s="34" t="n"/>
    </row>
    <row r="109">
      <c r="A109" s="132" t="n"/>
      <c r="B109" s="41" t="n"/>
      <c r="C109" s="34" t="n"/>
      <c r="D109" s="41" t="n"/>
      <c r="E109" s="34" t="n"/>
      <c r="F109" s="34" t="n"/>
      <c r="G109" s="41" t="n"/>
      <c r="H109" s="41" t="n"/>
      <c r="I109" s="44" t="n"/>
      <c r="J109" s="34" t="n"/>
      <c r="K109" s="41" t="n"/>
      <c r="L109" s="41" t="n"/>
      <c r="M109" s="34" t="n"/>
    </row>
    <row r="110">
      <c r="A110" s="132" t="n"/>
      <c r="B110" s="41" t="n"/>
      <c r="C110" s="34" t="n"/>
      <c r="D110" s="41" t="n"/>
      <c r="E110" s="34" t="n"/>
      <c r="F110" s="34" t="n"/>
      <c r="G110" s="41" t="n"/>
      <c r="H110" s="41" t="n"/>
      <c r="I110" s="44" t="n"/>
      <c r="J110" s="34" t="n"/>
      <c r="K110" s="41" t="n"/>
      <c r="L110" s="41" t="n"/>
      <c r="M110" s="34" t="n"/>
    </row>
    <row r="111">
      <c r="A111" s="132" t="n"/>
      <c r="B111" s="41" t="n"/>
      <c r="C111" s="34" t="n"/>
      <c r="D111" s="41" t="n"/>
      <c r="E111" s="34" t="n"/>
      <c r="F111" s="34" t="n"/>
      <c r="G111" s="41" t="n"/>
      <c r="H111" s="41" t="n"/>
      <c r="I111" s="44" t="n"/>
      <c r="J111" s="34" t="n"/>
      <c r="K111" s="41" t="n"/>
      <c r="L111" s="41" t="n"/>
      <c r="M111" s="34" t="n"/>
    </row>
    <row r="112">
      <c r="A112" s="132" t="n"/>
      <c r="B112" s="41" t="n"/>
      <c r="C112" s="34" t="n"/>
      <c r="D112" s="41" t="n"/>
      <c r="E112" s="34" t="n"/>
      <c r="F112" s="34" t="n"/>
      <c r="G112" s="41" t="n"/>
      <c r="H112" s="41" t="n"/>
      <c r="I112" s="44" t="n"/>
      <c r="J112" s="34" t="n"/>
      <c r="K112" s="41" t="n"/>
      <c r="L112" s="41" t="n"/>
      <c r="M112" s="34" t="n"/>
    </row>
    <row r="113">
      <c r="A113" s="132" t="n"/>
      <c r="B113" s="41" t="n"/>
      <c r="C113" s="34" t="n"/>
      <c r="D113" s="41" t="n"/>
      <c r="E113" s="34" t="n"/>
      <c r="F113" s="34" t="n"/>
      <c r="G113" s="41" t="n"/>
      <c r="H113" s="41" t="n"/>
      <c r="I113" s="44" t="n"/>
      <c r="J113" s="34" t="n"/>
      <c r="K113" s="41" t="n"/>
      <c r="L113" s="41" t="n"/>
      <c r="M113" s="34" t="n"/>
    </row>
    <row r="114">
      <c r="A114" s="132" t="n"/>
      <c r="B114" s="41" t="n"/>
      <c r="C114" s="34" t="n"/>
      <c r="D114" s="41" t="n"/>
      <c r="E114" s="34" t="n"/>
      <c r="F114" s="34" t="n"/>
      <c r="G114" s="41" t="n"/>
      <c r="H114" s="41" t="n"/>
      <c r="I114" s="44" t="n"/>
      <c r="J114" s="34" t="n"/>
      <c r="K114" s="41" t="n"/>
      <c r="L114" s="41" t="n"/>
      <c r="M114" s="34" t="n"/>
    </row>
    <row r="115">
      <c r="A115" s="132" t="n"/>
      <c r="B115" s="41" t="n"/>
      <c r="C115" s="34" t="n"/>
      <c r="D115" s="41" t="n"/>
      <c r="E115" s="34" t="n"/>
      <c r="F115" s="34" t="n"/>
      <c r="G115" s="41" t="n"/>
      <c r="H115" s="41" t="n"/>
      <c r="I115" s="44" t="n"/>
      <c r="J115" s="34" t="n"/>
      <c r="K115" s="41" t="n"/>
      <c r="L115" s="41" t="n"/>
      <c r="M115" s="34" t="n"/>
    </row>
    <row r="116">
      <c r="A116" s="132" t="n"/>
      <c r="B116" s="41" t="n"/>
      <c r="C116" s="34" t="n"/>
      <c r="D116" s="41" t="n"/>
      <c r="E116" s="34" t="n"/>
      <c r="F116" s="34" t="n"/>
      <c r="G116" s="41" t="n"/>
      <c r="H116" s="41" t="n"/>
      <c r="I116" s="44" t="n"/>
      <c r="J116" s="34" t="n"/>
      <c r="K116" s="41" t="n"/>
      <c r="L116" s="41" t="n"/>
      <c r="M116" s="34" t="n"/>
    </row>
    <row r="117">
      <c r="A117" s="132" t="n"/>
      <c r="B117" s="41" t="n"/>
      <c r="C117" s="34" t="n"/>
      <c r="D117" s="41" t="n"/>
      <c r="E117" s="34" t="n"/>
      <c r="F117" s="34" t="n"/>
      <c r="G117" s="41" t="n"/>
      <c r="H117" s="41" t="n"/>
      <c r="I117" s="44" t="n"/>
      <c r="J117" s="34" t="n"/>
      <c r="K117" s="41" t="n"/>
      <c r="L117" s="41" t="n"/>
      <c r="M117" s="34" t="n"/>
    </row>
    <row r="118">
      <c r="A118" s="132" t="n"/>
      <c r="B118" s="41" t="n"/>
      <c r="C118" s="34" t="n"/>
      <c r="D118" s="41" t="n"/>
      <c r="E118" s="34" t="n"/>
      <c r="F118" s="34" t="n"/>
      <c r="G118" s="41" t="n"/>
      <c r="H118" s="41" t="n"/>
      <c r="I118" s="44" t="n"/>
      <c r="J118" s="34" t="n"/>
      <c r="K118" s="41" t="n"/>
      <c r="L118" s="41" t="n"/>
      <c r="M118" s="34" t="n"/>
    </row>
    <row r="119">
      <c r="A119" s="132" t="n"/>
      <c r="B119" s="41" t="n"/>
      <c r="C119" s="34" t="n"/>
      <c r="D119" s="41" t="n"/>
      <c r="E119" s="34" t="n"/>
      <c r="F119" s="34" t="n"/>
      <c r="G119" s="41" t="n"/>
      <c r="H119" s="41" t="n"/>
      <c r="I119" s="44" t="n"/>
      <c r="J119" s="34" t="n"/>
      <c r="K119" s="41" t="n"/>
      <c r="L119" s="41" t="n"/>
      <c r="M119" s="34" t="n"/>
    </row>
    <row r="120">
      <c r="A120" s="132" t="n"/>
      <c r="B120" s="41" t="n"/>
      <c r="C120" s="34" t="n"/>
      <c r="D120" s="41" t="n"/>
      <c r="E120" s="34" t="n"/>
      <c r="F120" s="34" t="n"/>
      <c r="G120" s="41" t="n"/>
      <c r="H120" s="41" t="n"/>
      <c r="I120" s="44" t="n"/>
      <c r="J120" s="34" t="n"/>
      <c r="K120" s="41" t="n"/>
      <c r="L120" s="41" t="n"/>
      <c r="M120" s="34" t="n"/>
    </row>
    <row r="121">
      <c r="A121" s="132" t="n"/>
      <c r="B121" s="41" t="n"/>
      <c r="C121" s="34" t="n"/>
      <c r="D121" s="41" t="n"/>
      <c r="E121" s="34" t="n"/>
      <c r="F121" s="34" t="n"/>
      <c r="G121" s="41" t="n"/>
      <c r="H121" s="41" t="n"/>
      <c r="I121" s="44" t="n"/>
      <c r="J121" s="34" t="n"/>
      <c r="K121" s="41" t="n"/>
      <c r="L121" s="41" t="n"/>
      <c r="M121" s="34" t="n"/>
    </row>
    <row r="122">
      <c r="A122" s="132" t="n"/>
      <c r="B122" s="41" t="n"/>
      <c r="C122" s="34" t="n"/>
      <c r="D122" s="41" t="n"/>
      <c r="E122" s="34" t="n"/>
      <c r="F122" s="34" t="n"/>
      <c r="G122" s="41" t="n"/>
      <c r="H122" s="41" t="n"/>
      <c r="I122" s="44" t="n"/>
      <c r="J122" s="34" t="n"/>
      <c r="K122" s="41" t="n"/>
      <c r="L122" s="41" t="n"/>
      <c r="M122" s="34" t="n"/>
    </row>
    <row r="123">
      <c r="A123" s="132" t="n"/>
      <c r="B123" s="41" t="n"/>
      <c r="C123" s="34" t="n"/>
      <c r="D123" s="41" t="n"/>
      <c r="E123" s="34" t="n"/>
      <c r="F123" s="34" t="n"/>
      <c r="G123" s="41" t="n"/>
      <c r="H123" s="41" t="n"/>
      <c r="I123" s="44" t="n"/>
      <c r="J123" s="34" t="n"/>
      <c r="K123" s="41" t="n"/>
      <c r="L123" s="41" t="n"/>
      <c r="M123" s="34" t="n"/>
    </row>
    <row r="124">
      <c r="A124" s="132" t="n"/>
      <c r="B124" s="41" t="n"/>
      <c r="C124" s="34" t="n"/>
      <c r="D124" s="41" t="n"/>
      <c r="E124" s="34" t="n"/>
      <c r="F124" s="34" t="n"/>
      <c r="G124" s="41" t="n"/>
      <c r="H124" s="41" t="n"/>
      <c r="I124" s="44" t="n"/>
      <c r="J124" s="34" t="n"/>
      <c r="K124" s="41" t="n"/>
      <c r="L124" s="41" t="n"/>
      <c r="M124" s="34" t="n"/>
    </row>
    <row r="125">
      <c r="A125" s="132" t="n"/>
      <c r="B125" s="41" t="n"/>
      <c r="C125" s="34" t="n"/>
      <c r="D125" s="41" t="n"/>
      <c r="E125" s="34" t="n"/>
      <c r="F125" s="34" t="n"/>
      <c r="G125" s="41" t="n"/>
      <c r="H125" s="41" t="n"/>
      <c r="I125" s="44" t="n"/>
      <c r="J125" s="34" t="n"/>
      <c r="K125" s="41" t="n"/>
      <c r="L125" s="41" t="n"/>
      <c r="M125" s="34" t="n"/>
    </row>
    <row r="126">
      <c r="A126" s="132" t="n"/>
      <c r="B126" s="41" t="n"/>
      <c r="C126" s="34" t="n"/>
      <c r="D126" s="41" t="n"/>
      <c r="E126" s="34" t="n"/>
      <c r="F126" s="34" t="n"/>
      <c r="G126" s="41" t="n"/>
      <c r="H126" s="41" t="n"/>
      <c r="I126" s="44" t="n"/>
      <c r="J126" s="34" t="n"/>
      <c r="K126" s="41" t="n"/>
      <c r="L126" s="41" t="n"/>
      <c r="M126" s="34" t="n"/>
    </row>
    <row r="127">
      <c r="A127" s="132" t="n"/>
      <c r="B127" s="41" t="n"/>
      <c r="C127" s="34" t="n"/>
      <c r="D127" s="41" t="n"/>
      <c r="E127" s="34" t="n"/>
      <c r="F127" s="34" t="n"/>
      <c r="G127" s="41" t="n"/>
      <c r="H127" s="41" t="n"/>
      <c r="I127" s="44" t="n"/>
      <c r="J127" s="34" t="n"/>
      <c r="K127" s="41" t="n"/>
      <c r="L127" s="41" t="n"/>
      <c r="M127" s="34" t="n"/>
    </row>
    <row r="128">
      <c r="A128" s="132" t="n"/>
      <c r="B128" s="41" t="n"/>
      <c r="C128" s="34" t="n"/>
      <c r="D128" s="41" t="n"/>
      <c r="E128" s="34" t="n"/>
      <c r="F128" s="34" t="n"/>
      <c r="G128" s="41" t="n"/>
      <c r="H128" s="41" t="n"/>
      <c r="I128" s="44" t="n"/>
      <c r="J128" s="34" t="n"/>
      <c r="K128" s="41" t="n"/>
      <c r="L128" s="41" t="n"/>
      <c r="M128" s="34" t="n"/>
    </row>
    <row r="129">
      <c r="A129" s="132" t="n"/>
      <c r="B129" s="41" t="n"/>
      <c r="C129" s="34" t="n"/>
      <c r="D129" s="41" t="n"/>
      <c r="E129" s="34" t="n"/>
      <c r="F129" s="34" t="n"/>
      <c r="G129" s="41" t="n"/>
      <c r="H129" s="41" t="n"/>
      <c r="I129" s="44" t="n"/>
      <c r="J129" s="34" t="n"/>
      <c r="K129" s="41" t="n"/>
      <c r="L129" s="41" t="n"/>
      <c r="M129" s="34" t="n"/>
    </row>
    <row r="130">
      <c r="A130" s="132" t="n"/>
      <c r="B130" s="41" t="n"/>
      <c r="C130" s="34" t="n"/>
      <c r="D130" s="41" t="n"/>
      <c r="E130" s="34" t="n"/>
      <c r="F130" s="34" t="n"/>
      <c r="G130" s="41" t="n"/>
      <c r="H130" s="41" t="n"/>
      <c r="I130" s="44" t="n"/>
      <c r="J130" s="34" t="n"/>
      <c r="K130" s="41" t="n"/>
      <c r="L130" s="41" t="n"/>
      <c r="M130" s="34" t="n"/>
    </row>
    <row r="131">
      <c r="A131" s="132" t="n"/>
      <c r="B131" s="41" t="n"/>
      <c r="C131" s="34" t="n"/>
      <c r="D131" s="41" t="n"/>
      <c r="E131" s="34" t="n"/>
      <c r="F131" s="34" t="n"/>
      <c r="G131" s="41" t="n"/>
      <c r="H131" s="41" t="n"/>
      <c r="I131" s="44" t="n"/>
      <c r="J131" s="34" t="n"/>
      <c r="K131" s="41" t="n"/>
      <c r="L131" s="41" t="n"/>
      <c r="M131" s="34" t="n"/>
    </row>
    <row r="132">
      <c r="A132" s="132" t="n"/>
      <c r="B132" s="41" t="n"/>
      <c r="C132" s="34" t="n"/>
      <c r="D132" s="41" t="n"/>
      <c r="E132" s="34" t="n"/>
      <c r="F132" s="34" t="n"/>
      <c r="G132" s="41" t="n"/>
      <c r="H132" s="41" t="n"/>
      <c r="I132" s="44" t="n"/>
      <c r="J132" s="34" t="n"/>
      <c r="K132" s="41" t="n"/>
      <c r="L132" s="41" t="n"/>
      <c r="M132" s="34" t="n"/>
    </row>
    <row r="133">
      <c r="A133" s="132" t="n"/>
      <c r="B133" s="41" t="n"/>
      <c r="C133" s="34" t="n"/>
      <c r="D133" s="41" t="n"/>
      <c r="E133" s="34" t="n"/>
      <c r="F133" s="34" t="n"/>
      <c r="G133" s="41" t="n"/>
      <c r="H133" s="41" t="n"/>
      <c r="I133" s="44" t="n"/>
      <c r="J133" s="34" t="n"/>
      <c r="K133" s="41" t="n"/>
      <c r="L133" s="41" t="n"/>
      <c r="M133" s="34" t="n"/>
    </row>
    <row r="134">
      <c r="A134" s="132" t="n"/>
      <c r="B134" s="41" t="n"/>
      <c r="C134" s="34" t="n"/>
      <c r="D134" s="41" t="n"/>
      <c r="E134" s="34" t="n"/>
      <c r="F134" s="34" t="n"/>
      <c r="G134" s="41" t="n"/>
      <c r="H134" s="41" t="n"/>
      <c r="I134" s="44" t="n"/>
      <c r="J134" s="34" t="n"/>
      <c r="K134" s="41" t="n"/>
      <c r="L134" s="41" t="n"/>
      <c r="M134" s="34" t="n"/>
    </row>
    <row r="135">
      <c r="A135" s="132" t="n"/>
      <c r="B135" s="41" t="n"/>
      <c r="C135" s="34" t="n"/>
      <c r="D135" s="41" t="n"/>
      <c r="E135" s="34" t="n"/>
      <c r="F135" s="34" t="n"/>
      <c r="G135" s="41" t="n"/>
      <c r="H135" s="41" t="n"/>
      <c r="I135" s="44" t="n"/>
      <c r="J135" s="34" t="n"/>
      <c r="K135" s="41" t="n"/>
      <c r="L135" s="41" t="n"/>
      <c r="M135" s="34" t="n"/>
    </row>
    <row r="136">
      <c r="A136" s="132" t="n"/>
      <c r="B136" s="41" t="n"/>
      <c r="C136" s="34" t="n"/>
      <c r="D136" s="41" t="n"/>
      <c r="E136" s="34" t="n"/>
      <c r="F136" s="34" t="n"/>
      <c r="G136" s="41" t="n"/>
      <c r="H136" s="41" t="n"/>
      <c r="I136" s="44" t="n"/>
      <c r="J136" s="34" t="n"/>
      <c r="K136" s="41" t="n"/>
      <c r="L136" s="41" t="n"/>
      <c r="M136" s="34" t="n"/>
    </row>
    <row r="137">
      <c r="A137" s="132" t="n"/>
      <c r="B137" s="41" t="n"/>
      <c r="C137" s="34" t="n"/>
      <c r="D137" s="41" t="n"/>
      <c r="E137" s="34" t="n"/>
      <c r="F137" s="34" t="n"/>
      <c r="G137" s="41" t="n"/>
      <c r="H137" s="41" t="n"/>
      <c r="I137" s="44" t="n"/>
      <c r="J137" s="34" t="n"/>
      <c r="K137" s="41" t="n"/>
      <c r="L137" s="41" t="n"/>
      <c r="M137" s="34" t="n"/>
    </row>
    <row r="138">
      <c r="A138" s="132" t="n"/>
      <c r="B138" s="41" t="n"/>
      <c r="C138" s="34" t="n"/>
      <c r="D138" s="41" t="n"/>
      <c r="E138" s="34" t="n"/>
      <c r="F138" s="34" t="n"/>
      <c r="G138" s="41" t="n"/>
      <c r="H138" s="41" t="n"/>
      <c r="I138" s="44" t="n"/>
      <c r="J138" s="34" t="n"/>
      <c r="K138" s="41" t="n"/>
      <c r="L138" s="41" t="n"/>
      <c r="M138" s="34" t="n"/>
    </row>
    <row r="139">
      <c r="A139" s="132" t="n"/>
      <c r="B139" s="41" t="n"/>
      <c r="C139" s="34" t="n"/>
      <c r="D139" s="41" t="n"/>
      <c r="E139" s="34" t="n"/>
      <c r="F139" s="34" t="n"/>
      <c r="G139" s="41" t="n"/>
      <c r="H139" s="41" t="n"/>
      <c r="I139" s="44" t="n"/>
      <c r="J139" s="34" t="n"/>
      <c r="K139" s="41" t="n"/>
      <c r="L139" s="41" t="n"/>
      <c r="M139" s="34" t="n"/>
    </row>
    <row r="140">
      <c r="A140" s="132" t="n"/>
      <c r="B140" s="41" t="n"/>
      <c r="C140" s="34" t="n"/>
      <c r="D140" s="41" t="n"/>
      <c r="E140" s="34" t="n"/>
      <c r="F140" s="34" t="n"/>
      <c r="G140" s="41" t="n"/>
      <c r="H140" s="41" t="n"/>
      <c r="I140" s="44" t="n"/>
      <c r="J140" s="34" t="n"/>
      <c r="K140" s="41" t="n"/>
      <c r="L140" s="41" t="n"/>
      <c r="M140" s="34" t="n"/>
    </row>
    <row r="141">
      <c r="A141" s="132" t="n"/>
      <c r="B141" s="41" t="n"/>
      <c r="C141" s="34" t="n"/>
      <c r="D141" s="41" t="n"/>
      <c r="E141" s="34" t="n"/>
      <c r="F141" s="34" t="n"/>
      <c r="G141" s="41" t="n"/>
      <c r="H141" s="41" t="n"/>
      <c r="I141" s="44" t="n"/>
      <c r="J141" s="34" t="n"/>
      <c r="K141" s="41" t="n"/>
      <c r="L141" s="41" t="n"/>
      <c r="M141" s="34" t="n"/>
    </row>
    <row r="142">
      <c r="A142" s="132" t="n"/>
      <c r="B142" s="41" t="n"/>
      <c r="C142" s="34" t="n"/>
      <c r="D142" s="41" t="n"/>
      <c r="E142" s="34" t="n"/>
      <c r="F142" s="34" t="n"/>
      <c r="G142" s="41" t="n"/>
      <c r="H142" s="41" t="n"/>
      <c r="I142" s="44" t="n"/>
      <c r="J142" s="34" t="n"/>
      <c r="K142" s="41" t="n"/>
      <c r="L142" s="41" t="n"/>
      <c r="M142" s="34" t="n"/>
    </row>
    <row r="143">
      <c r="A143" s="132" t="n"/>
      <c r="B143" s="41" t="n"/>
      <c r="C143" s="34" t="n"/>
      <c r="D143" s="41" t="n"/>
      <c r="E143" s="34" t="n"/>
      <c r="F143" s="34" t="n"/>
      <c r="G143" s="41" t="n"/>
      <c r="H143" s="41" t="n"/>
      <c r="I143" s="44" t="n"/>
      <c r="J143" s="34" t="n"/>
      <c r="K143" s="41" t="n"/>
      <c r="L143" s="41" t="n"/>
      <c r="M143" s="34" t="n"/>
    </row>
    <row r="144">
      <c r="A144" s="132" t="n"/>
      <c r="B144" s="41" t="n"/>
      <c r="C144" s="34" t="n"/>
      <c r="D144" s="41" t="n"/>
      <c r="E144" s="34" t="n"/>
      <c r="F144" s="34" t="n"/>
      <c r="G144" s="41" t="n"/>
      <c r="H144" s="41" t="n"/>
      <c r="I144" s="44" t="n"/>
      <c r="J144" s="34" t="n"/>
      <c r="K144" s="41" t="n"/>
      <c r="L144" s="41" t="n"/>
      <c r="M144" s="34" t="n"/>
    </row>
    <row r="145">
      <c r="A145" s="132" t="n"/>
      <c r="B145" s="41" t="n"/>
      <c r="C145" s="34" t="n"/>
      <c r="D145" s="41" t="n"/>
      <c r="E145" s="34" t="n"/>
      <c r="F145" s="34" t="n"/>
      <c r="G145" s="41" t="n"/>
      <c r="H145" s="41" t="n"/>
      <c r="I145" s="44" t="n"/>
      <c r="J145" s="34" t="n"/>
      <c r="K145" s="41" t="n"/>
      <c r="L145" s="41" t="n"/>
      <c r="M145" s="34" t="n"/>
    </row>
    <row r="146">
      <c r="A146" s="132" t="n"/>
      <c r="B146" s="41" t="n"/>
      <c r="C146" s="34" t="n"/>
      <c r="D146" s="41" t="n"/>
      <c r="E146" s="34" t="n"/>
      <c r="F146" s="34" t="n"/>
      <c r="G146" s="41" t="n"/>
      <c r="H146" s="41" t="n"/>
      <c r="I146" s="44" t="n"/>
      <c r="J146" s="34" t="n"/>
      <c r="K146" s="41" t="n"/>
      <c r="L146" s="41" t="n"/>
      <c r="M146" s="34" t="n"/>
    </row>
    <row r="147">
      <c r="A147" s="132" t="n"/>
      <c r="B147" s="41" t="n"/>
      <c r="C147" s="34" t="n"/>
      <c r="D147" s="41" t="n"/>
      <c r="E147" s="34" t="n"/>
      <c r="F147" s="34" t="n"/>
      <c r="G147" s="41" t="n"/>
      <c r="H147" s="41" t="n"/>
      <c r="I147" s="44" t="n"/>
      <c r="J147" s="34" t="n"/>
      <c r="K147" s="41" t="n"/>
      <c r="L147" s="41" t="n"/>
      <c r="M147" s="34" t="n"/>
    </row>
    <row r="148">
      <c r="A148" s="132" t="n"/>
      <c r="B148" s="41" t="n"/>
      <c r="C148" s="34" t="n"/>
      <c r="D148" s="41" t="n"/>
      <c r="E148" s="34" t="n"/>
      <c r="F148" s="34" t="n"/>
      <c r="G148" s="41" t="n"/>
      <c r="H148" s="41" t="n"/>
      <c r="I148" s="44" t="n"/>
      <c r="J148" s="34" t="n"/>
      <c r="K148" s="41" t="n"/>
      <c r="L148" s="41" t="n"/>
      <c r="M148" s="34" t="n"/>
    </row>
    <row r="149">
      <c r="A149" s="132" t="n"/>
      <c r="B149" s="41" t="n"/>
      <c r="C149" s="34" t="n"/>
      <c r="D149" s="41" t="n"/>
      <c r="E149" s="34" t="n"/>
      <c r="F149" s="34" t="n"/>
      <c r="G149" s="41" t="n"/>
      <c r="H149" s="41" t="n"/>
      <c r="I149" s="44" t="n"/>
      <c r="J149" s="34" t="n"/>
      <c r="K149" s="41" t="n"/>
      <c r="L149" s="41" t="n"/>
      <c r="M149" s="34" t="n"/>
    </row>
    <row r="150">
      <c r="A150" s="132" t="n"/>
      <c r="B150" s="41" t="n"/>
      <c r="C150" s="34" t="n"/>
      <c r="D150" s="41" t="n"/>
      <c r="E150" s="34" t="n"/>
      <c r="F150" s="34" t="n"/>
      <c r="G150" s="41" t="n"/>
      <c r="H150" s="41" t="n"/>
      <c r="I150" s="44" t="n"/>
      <c r="J150" s="34" t="n"/>
      <c r="K150" s="41" t="n"/>
      <c r="L150" s="41" t="n"/>
      <c r="M150" s="34" t="n"/>
    </row>
    <row r="151">
      <c r="A151" s="132" t="n"/>
      <c r="B151" s="41" t="n"/>
      <c r="C151" s="34" t="n"/>
      <c r="D151" s="41" t="n"/>
      <c r="E151" s="34" t="n"/>
      <c r="F151" s="34" t="n"/>
      <c r="G151" s="41" t="n"/>
      <c r="H151" s="41" t="n"/>
      <c r="I151" s="44" t="n"/>
      <c r="J151" s="34" t="n"/>
      <c r="K151" s="41" t="n"/>
      <c r="L151" s="41" t="n"/>
      <c r="M151" s="34" t="n"/>
    </row>
    <row r="152">
      <c r="A152" s="132" t="n"/>
      <c r="B152" s="41" t="n"/>
      <c r="C152" s="34" t="n"/>
      <c r="D152" s="41" t="n"/>
      <c r="E152" s="34" t="n"/>
      <c r="F152" s="34" t="n"/>
      <c r="G152" s="41" t="n"/>
      <c r="H152" s="41" t="n"/>
      <c r="I152" s="44" t="n"/>
      <c r="J152" s="34" t="n"/>
      <c r="K152" s="41" t="n"/>
      <c r="L152" s="41" t="n"/>
      <c r="M152" s="34" t="n"/>
    </row>
    <row r="153">
      <c r="A153" s="132" t="n"/>
      <c r="B153" s="41" t="n"/>
      <c r="C153" s="34" t="n"/>
      <c r="D153" s="41" t="n"/>
      <c r="E153" s="34" t="n"/>
      <c r="F153" s="34" t="n"/>
      <c r="G153" s="41" t="n"/>
      <c r="H153" s="41" t="n"/>
      <c r="I153" s="44" t="n"/>
      <c r="J153" s="34" t="n"/>
      <c r="K153" s="41" t="n"/>
      <c r="L153" s="41" t="n"/>
      <c r="M153" s="34" t="n"/>
    </row>
    <row r="154">
      <c r="A154" s="132" t="n"/>
      <c r="B154" s="41" t="n"/>
      <c r="C154" s="34" t="n"/>
      <c r="D154" s="41" t="n"/>
      <c r="E154" s="34" t="n"/>
      <c r="F154" s="34" t="n"/>
      <c r="G154" s="41" t="n"/>
      <c r="H154" s="41" t="n"/>
      <c r="I154" s="44" t="n"/>
      <c r="J154" s="34" t="n"/>
      <c r="K154" s="41" t="n"/>
      <c r="L154" s="41" t="n"/>
      <c r="M154" s="34" t="n"/>
    </row>
    <row r="155">
      <c r="A155" s="132" t="n"/>
      <c r="B155" s="41" t="n"/>
      <c r="C155" s="34" t="n"/>
      <c r="D155" s="41" t="n"/>
      <c r="E155" s="34" t="n"/>
      <c r="F155" s="34" t="n"/>
      <c r="G155" s="41" t="n"/>
      <c r="H155" s="41" t="n"/>
      <c r="I155" s="44" t="n"/>
      <c r="J155" s="34" t="n"/>
      <c r="K155" s="41" t="n"/>
      <c r="L155" s="41" t="n"/>
      <c r="M155" s="34" t="n"/>
    </row>
    <row r="156">
      <c r="A156" s="132" t="n"/>
      <c r="B156" s="41" t="n"/>
      <c r="C156" s="34" t="n"/>
      <c r="D156" s="41" t="n"/>
      <c r="E156" s="34" t="n"/>
      <c r="F156" s="34" t="n"/>
      <c r="G156" s="41" t="n"/>
      <c r="H156" s="41" t="n"/>
      <c r="I156" s="44" t="n"/>
      <c r="J156" s="34" t="n"/>
      <c r="K156" s="41" t="n"/>
      <c r="L156" s="41" t="n"/>
      <c r="M156" s="34" t="n"/>
    </row>
    <row r="157">
      <c r="A157" s="132" t="n"/>
      <c r="B157" s="41" t="n"/>
      <c r="C157" s="34" t="n"/>
      <c r="D157" s="41" t="n"/>
      <c r="E157" s="34" t="n"/>
      <c r="F157" s="34" t="n"/>
      <c r="G157" s="41" t="n"/>
      <c r="H157" s="41" t="n"/>
      <c r="I157" s="44" t="n"/>
      <c r="J157" s="34" t="n"/>
      <c r="K157" s="41" t="n"/>
      <c r="L157" s="41" t="n"/>
      <c r="M157" s="34" t="n"/>
    </row>
    <row r="158">
      <c r="A158" s="132" t="n"/>
      <c r="B158" s="41" t="n"/>
      <c r="C158" s="34" t="n"/>
      <c r="D158" s="41" t="n"/>
      <c r="E158" s="34" t="n"/>
      <c r="F158" s="34" t="n"/>
      <c r="G158" s="41" t="n"/>
      <c r="H158" s="41" t="n"/>
      <c r="I158" s="44" t="n"/>
      <c r="J158" s="34" t="n"/>
      <c r="K158" s="41" t="n"/>
      <c r="L158" s="41" t="n"/>
      <c r="M158" s="34" t="n"/>
    </row>
    <row r="159">
      <c r="A159" s="132" t="n"/>
      <c r="B159" s="41" t="n"/>
      <c r="C159" s="34" t="n"/>
      <c r="D159" s="41" t="n"/>
      <c r="E159" s="34" t="n"/>
      <c r="F159" s="34" t="n"/>
      <c r="G159" s="41" t="n"/>
      <c r="H159" s="41" t="n"/>
      <c r="I159" s="44" t="n"/>
      <c r="J159" s="34" t="n"/>
      <c r="K159" s="41" t="n"/>
      <c r="L159" s="41" t="n"/>
      <c r="M159" s="34" t="n"/>
    </row>
    <row r="160">
      <c r="A160" s="132" t="n"/>
      <c r="B160" s="41" t="n"/>
      <c r="C160" s="34" t="n"/>
      <c r="D160" s="41" t="n"/>
      <c r="E160" s="34" t="n"/>
      <c r="F160" s="34" t="n"/>
      <c r="G160" s="41" t="n"/>
      <c r="H160" s="41" t="n"/>
      <c r="I160" s="44" t="n"/>
      <c r="J160" s="34" t="n"/>
      <c r="K160" s="41" t="n"/>
      <c r="L160" s="41" t="n"/>
      <c r="M160" s="34" t="n"/>
    </row>
    <row r="161">
      <c r="A161" s="132" t="n"/>
      <c r="B161" s="41" t="n"/>
      <c r="C161" s="34" t="n"/>
      <c r="D161" s="41" t="n"/>
      <c r="E161" s="34" t="n"/>
      <c r="F161" s="34" t="n"/>
      <c r="G161" s="41" t="n"/>
      <c r="H161" s="41" t="n"/>
      <c r="I161" s="44" t="n"/>
      <c r="J161" s="34" t="n"/>
      <c r="K161" s="41" t="n"/>
      <c r="L161" s="41" t="n"/>
      <c r="M161" s="34" t="n"/>
    </row>
    <row r="162">
      <c r="A162" s="132" t="n"/>
      <c r="B162" s="41" t="n"/>
      <c r="C162" s="34" t="n"/>
      <c r="D162" s="41" t="n"/>
      <c r="E162" s="34" t="n"/>
      <c r="F162" s="34" t="n"/>
      <c r="G162" s="41" t="n"/>
      <c r="H162" s="41" t="n"/>
      <c r="I162" s="44" t="n"/>
      <c r="J162" s="34" t="n"/>
      <c r="K162" s="41" t="n"/>
      <c r="L162" s="41" t="n"/>
      <c r="M162" s="34" t="n"/>
    </row>
    <row r="163">
      <c r="A163" s="132" t="n"/>
      <c r="B163" s="41" t="n"/>
      <c r="C163" s="34" t="n"/>
      <c r="D163" s="41" t="n"/>
      <c r="E163" s="34" t="n"/>
      <c r="F163" s="34" t="n"/>
      <c r="G163" s="41" t="n"/>
      <c r="H163" s="41" t="n"/>
      <c r="I163" s="44" t="n"/>
      <c r="J163" s="34" t="n"/>
      <c r="K163" s="41" t="n"/>
      <c r="L163" s="41" t="n"/>
      <c r="M163" s="34" t="n"/>
    </row>
    <row r="164">
      <c r="A164" s="132" t="n"/>
      <c r="B164" s="41" t="n"/>
      <c r="C164" s="34" t="n"/>
      <c r="D164" s="41" t="n"/>
      <c r="E164" s="34" t="n"/>
      <c r="F164" s="34" t="n"/>
      <c r="G164" s="41" t="n"/>
      <c r="H164" s="41" t="n"/>
      <c r="I164" s="44" t="n"/>
      <c r="J164" s="34" t="n"/>
      <c r="K164" s="41" t="n"/>
      <c r="L164" s="41" t="n"/>
      <c r="M164" s="34" t="n"/>
    </row>
    <row r="165">
      <c r="A165" s="132" t="n"/>
      <c r="B165" s="41" t="n"/>
      <c r="C165" s="34" t="n"/>
      <c r="D165" s="41" t="n"/>
      <c r="E165" s="34" t="n"/>
      <c r="F165" s="34" t="n"/>
      <c r="G165" s="41" t="n"/>
      <c r="H165" s="41" t="n"/>
      <c r="I165" s="44" t="n"/>
      <c r="J165" s="34" t="n"/>
      <c r="K165" s="41" t="n"/>
      <c r="L165" s="41" t="n"/>
      <c r="M165" s="34" t="n"/>
    </row>
    <row r="166">
      <c r="A166" s="132" t="n"/>
      <c r="B166" s="41" t="n"/>
      <c r="C166" s="34" t="n"/>
      <c r="D166" s="41" t="n"/>
      <c r="E166" s="34" t="n"/>
      <c r="F166" s="34" t="n"/>
      <c r="G166" s="41" t="n"/>
      <c r="H166" s="41" t="n"/>
      <c r="I166" s="44" t="n"/>
      <c r="J166" s="34" t="n"/>
      <c r="K166" s="41" t="n"/>
      <c r="L166" s="41" t="n"/>
      <c r="M166" s="34" t="n"/>
    </row>
    <row r="167">
      <c r="A167" s="132" t="n"/>
      <c r="B167" s="41" t="n"/>
      <c r="C167" s="34" t="n"/>
      <c r="D167" s="41" t="n"/>
      <c r="E167" s="34" t="n"/>
      <c r="F167" s="34" t="n"/>
      <c r="G167" s="41" t="n"/>
      <c r="H167" s="41" t="n"/>
      <c r="I167" s="44" t="n"/>
      <c r="J167" s="34" t="n"/>
      <c r="K167" s="41" t="n"/>
      <c r="L167" s="41" t="n"/>
      <c r="M167" s="34" t="n"/>
    </row>
    <row r="168">
      <c r="A168" s="132" t="n"/>
      <c r="B168" s="41" t="n"/>
      <c r="C168" s="34" t="n"/>
      <c r="D168" s="41" t="n"/>
      <c r="E168" s="34" t="n"/>
      <c r="F168" s="34" t="n"/>
      <c r="G168" s="41" t="n"/>
      <c r="H168" s="41" t="n"/>
      <c r="I168" s="44" t="n"/>
      <c r="J168" s="34" t="n"/>
      <c r="K168" s="41" t="n"/>
      <c r="L168" s="41" t="n"/>
      <c r="M168" s="34" t="n"/>
    </row>
    <row r="169">
      <c r="A169" s="132" t="n"/>
      <c r="B169" s="41" t="n"/>
      <c r="C169" s="34" t="n"/>
      <c r="D169" s="41" t="n"/>
      <c r="E169" s="34" t="n"/>
      <c r="F169" s="34" t="n"/>
      <c r="G169" s="41" t="n"/>
      <c r="H169" s="41" t="n"/>
      <c r="I169" s="44" t="n"/>
      <c r="J169" s="34" t="n"/>
      <c r="K169" s="41" t="n"/>
      <c r="L169" s="41" t="n"/>
      <c r="M169" s="34" t="n"/>
    </row>
    <row r="170">
      <c r="A170" s="132" t="n"/>
      <c r="B170" s="41" t="n"/>
      <c r="C170" s="34" t="n"/>
      <c r="D170" s="41" t="n"/>
      <c r="E170" s="34" t="n"/>
      <c r="F170" s="34" t="n"/>
      <c r="G170" s="41" t="n"/>
      <c r="H170" s="41" t="n"/>
      <c r="I170" s="44" t="n"/>
      <c r="J170" s="34" t="n"/>
      <c r="K170" s="41" t="n"/>
      <c r="L170" s="41" t="n"/>
      <c r="M170" s="34" t="n"/>
    </row>
    <row r="171">
      <c r="A171" s="132" t="n"/>
      <c r="B171" s="41" t="n"/>
      <c r="C171" s="34" t="n"/>
      <c r="D171" s="41" t="n"/>
      <c r="E171" s="34" t="n"/>
      <c r="F171" s="34" t="n"/>
      <c r="G171" s="41" t="n"/>
      <c r="H171" s="41" t="n"/>
      <c r="I171" s="44" t="n"/>
      <c r="J171" s="34" t="n"/>
      <c r="K171" s="41" t="n"/>
      <c r="L171" s="41" t="n"/>
      <c r="M171" s="34" t="n"/>
    </row>
    <row r="172">
      <c r="A172" s="132" t="n"/>
      <c r="B172" s="41" t="n"/>
      <c r="C172" s="34" t="n"/>
      <c r="D172" s="41" t="n"/>
      <c r="E172" s="34" t="n"/>
      <c r="F172" s="34" t="n"/>
      <c r="G172" s="41" t="n"/>
      <c r="H172" s="41" t="n"/>
      <c r="I172" s="44" t="n"/>
      <c r="J172" s="34" t="n"/>
      <c r="K172" s="41" t="n"/>
      <c r="L172" s="41" t="n"/>
      <c r="M172" s="34" t="n"/>
    </row>
    <row r="173">
      <c r="A173" s="132" t="n"/>
      <c r="B173" s="41" t="n"/>
      <c r="C173" s="34" t="n"/>
      <c r="D173" s="41" t="n"/>
      <c r="E173" s="34" t="n"/>
      <c r="F173" s="34" t="n"/>
      <c r="G173" s="41" t="n"/>
      <c r="H173" s="41" t="n"/>
      <c r="I173" s="44" t="n"/>
      <c r="J173" s="34" t="n"/>
      <c r="K173" s="41" t="n"/>
      <c r="L173" s="41" t="n"/>
      <c r="M173" s="34" t="n"/>
    </row>
    <row r="174">
      <c r="A174" s="132" t="n"/>
      <c r="B174" s="41" t="n"/>
      <c r="C174" s="34" t="n"/>
      <c r="D174" s="41" t="n"/>
      <c r="E174" s="34" t="n"/>
      <c r="F174" s="34" t="n"/>
      <c r="G174" s="41" t="n"/>
      <c r="H174" s="41" t="n"/>
      <c r="I174" s="44" t="n"/>
      <c r="J174" s="34" t="n"/>
      <c r="K174" s="41" t="n"/>
      <c r="L174" s="41" t="n"/>
      <c r="M174" s="34" t="n"/>
    </row>
    <row r="175">
      <c r="A175" s="132" t="n"/>
      <c r="B175" s="41" t="n"/>
      <c r="C175" s="34" t="n"/>
      <c r="D175" s="41" t="n"/>
      <c r="E175" s="34" t="n"/>
      <c r="F175" s="34" t="n"/>
      <c r="G175" s="41" t="n"/>
      <c r="H175" s="41" t="n"/>
      <c r="I175" s="44" t="n"/>
      <c r="J175" s="34" t="n"/>
      <c r="K175" s="41" t="n"/>
      <c r="L175" s="41" t="n"/>
      <c r="M175" s="34" t="n"/>
    </row>
    <row r="176">
      <c r="A176" s="132" t="n"/>
      <c r="B176" s="41" t="n"/>
      <c r="C176" s="34" t="n"/>
      <c r="D176" s="41" t="n"/>
      <c r="E176" s="34" t="n"/>
      <c r="F176" s="34" t="n"/>
      <c r="G176" s="41" t="n"/>
      <c r="H176" s="41" t="n"/>
      <c r="I176" s="44" t="n"/>
      <c r="J176" s="34" t="n"/>
      <c r="K176" s="41" t="n"/>
      <c r="L176" s="41" t="n"/>
      <c r="M176" s="34" t="n"/>
    </row>
    <row r="177">
      <c r="A177" s="132" t="n"/>
      <c r="B177" s="41" t="n"/>
      <c r="C177" s="34" t="n"/>
      <c r="D177" s="41" t="n"/>
      <c r="E177" s="34" t="n"/>
      <c r="F177" s="34" t="n"/>
      <c r="G177" s="41" t="n"/>
      <c r="H177" s="41" t="n"/>
      <c r="I177" s="44" t="n"/>
      <c r="J177" s="34" t="n"/>
      <c r="K177" s="41" t="n"/>
      <c r="L177" s="41" t="n"/>
      <c r="M177" s="34" t="n"/>
    </row>
    <row r="178">
      <c r="A178" s="132" t="n"/>
      <c r="B178" s="41" t="n"/>
      <c r="C178" s="34" t="n"/>
      <c r="D178" s="41" t="n"/>
      <c r="E178" s="34" t="n"/>
      <c r="F178" s="34" t="n"/>
      <c r="G178" s="41" t="n"/>
      <c r="H178" s="41" t="n"/>
      <c r="I178" s="44" t="n"/>
      <c r="J178" s="34" t="n"/>
      <c r="K178" s="41" t="n"/>
      <c r="L178" s="41" t="n"/>
      <c r="M178" s="34" t="n"/>
    </row>
    <row r="179">
      <c r="A179" s="132" t="n"/>
      <c r="B179" s="41" t="n"/>
      <c r="C179" s="34" t="n"/>
      <c r="D179" s="41" t="n"/>
      <c r="E179" s="34" t="n"/>
      <c r="F179" s="34" t="n"/>
      <c r="G179" s="41" t="n"/>
      <c r="H179" s="41" t="n"/>
      <c r="I179" s="44" t="n"/>
      <c r="J179" s="34" t="n"/>
      <c r="K179" s="41" t="n"/>
      <c r="L179" s="41" t="n"/>
      <c r="M179" s="34" t="n"/>
    </row>
    <row r="180">
      <c r="A180" s="132" t="n"/>
      <c r="B180" s="41" t="n"/>
      <c r="C180" s="34" t="n"/>
      <c r="D180" s="41" t="n"/>
      <c r="E180" s="34" t="n"/>
      <c r="F180" s="34" t="n"/>
      <c r="G180" s="41" t="n"/>
      <c r="H180" s="41" t="n"/>
      <c r="I180" s="44" t="n"/>
      <c r="J180" s="34" t="n"/>
      <c r="K180" s="41" t="n"/>
      <c r="L180" s="41" t="n"/>
      <c r="M180" s="34" t="n"/>
    </row>
    <row r="181">
      <c r="A181" s="132" t="n"/>
      <c r="B181" s="41" t="n"/>
      <c r="C181" s="34" t="n"/>
      <c r="D181" s="41" t="n"/>
      <c r="E181" s="34" t="n"/>
      <c r="F181" s="34" t="n"/>
      <c r="G181" s="41" t="n"/>
      <c r="H181" s="41" t="n"/>
      <c r="I181" s="44" t="n"/>
      <c r="J181" s="34" t="n"/>
      <c r="K181" s="41" t="n"/>
      <c r="L181" s="41" t="n"/>
      <c r="M181" s="34" t="n"/>
    </row>
    <row r="182">
      <c r="A182" s="132" t="n"/>
      <c r="B182" s="41" t="n"/>
      <c r="C182" s="34" t="n"/>
      <c r="D182" s="41" t="n"/>
      <c r="E182" s="34" t="n"/>
      <c r="F182" s="34" t="n"/>
      <c r="G182" s="41" t="n"/>
      <c r="H182" s="41" t="n"/>
      <c r="I182" s="44" t="n"/>
      <c r="J182" s="34" t="n"/>
      <c r="K182" s="41" t="n"/>
      <c r="L182" s="41" t="n"/>
      <c r="M182" s="34" t="n"/>
    </row>
    <row r="183">
      <c r="A183" s="132" t="n"/>
      <c r="B183" s="41" t="n"/>
      <c r="C183" s="34" t="n"/>
      <c r="D183" s="41" t="n"/>
      <c r="E183" s="34" t="n"/>
      <c r="F183" s="34" t="n"/>
      <c r="G183" s="41" t="n"/>
      <c r="H183" s="41" t="n"/>
      <c r="I183" s="44" t="n"/>
      <c r="J183" s="34" t="n"/>
      <c r="K183" s="41" t="n"/>
      <c r="L183" s="41" t="n"/>
      <c r="M183" s="34" t="n"/>
    </row>
    <row r="184">
      <c r="A184" s="132" t="n"/>
      <c r="B184" s="41" t="n"/>
      <c r="C184" s="34" t="n"/>
      <c r="D184" s="41" t="n"/>
      <c r="E184" s="34" t="n"/>
      <c r="F184" s="34" t="n"/>
      <c r="G184" s="41" t="n"/>
      <c r="H184" s="41" t="n"/>
      <c r="I184" s="44" t="n"/>
      <c r="J184" s="34" t="n"/>
      <c r="K184" s="41" t="n"/>
      <c r="L184" s="41" t="n"/>
      <c r="M184" s="34" t="n"/>
    </row>
    <row r="185">
      <c r="A185" s="132" t="n"/>
      <c r="B185" s="41" t="n"/>
      <c r="C185" s="34" t="n"/>
      <c r="D185" s="41" t="n"/>
      <c r="E185" s="34" t="n"/>
      <c r="F185" s="34" t="n"/>
      <c r="G185" s="41" t="n"/>
      <c r="H185" s="41" t="n"/>
      <c r="I185" s="44" t="n"/>
      <c r="J185" s="34" t="n"/>
      <c r="K185" s="41" t="n"/>
      <c r="L185" s="41" t="n"/>
      <c r="M185" s="34" t="n"/>
    </row>
    <row r="186">
      <c r="A186" s="132" t="n"/>
      <c r="B186" s="41" t="n"/>
      <c r="C186" s="34" t="n"/>
      <c r="D186" s="41" t="n"/>
      <c r="E186" s="34" t="n"/>
      <c r="F186" s="34" t="n"/>
      <c r="G186" s="41" t="n"/>
      <c r="H186" s="41" t="n"/>
      <c r="I186" s="44" t="n"/>
      <c r="J186" s="34" t="n"/>
      <c r="K186" s="41" t="n"/>
      <c r="L186" s="41" t="n"/>
      <c r="M186" s="34" t="n"/>
    </row>
    <row r="187">
      <c r="A187" s="132" t="n"/>
      <c r="B187" s="41" t="n"/>
      <c r="C187" s="34" t="n"/>
      <c r="D187" s="41" t="n"/>
      <c r="E187" s="34" t="n"/>
      <c r="F187" s="34" t="n"/>
      <c r="G187" s="41" t="n"/>
      <c r="H187" s="41" t="n"/>
      <c r="I187" s="44" t="n"/>
      <c r="J187" s="34" t="n"/>
      <c r="K187" s="41" t="n"/>
      <c r="L187" s="41" t="n"/>
      <c r="M187" s="34" t="n"/>
    </row>
    <row r="188">
      <c r="A188" s="132" t="n"/>
      <c r="B188" s="41" t="n"/>
      <c r="C188" s="34" t="n"/>
      <c r="D188" s="41" t="n"/>
      <c r="E188" s="34" t="n"/>
      <c r="F188" s="34" t="n"/>
      <c r="G188" s="41" t="n"/>
      <c r="H188" s="41" t="n"/>
      <c r="I188" s="44" t="n"/>
      <c r="J188" s="34" t="n"/>
      <c r="K188" s="41" t="n"/>
      <c r="L188" s="41" t="n"/>
      <c r="M188" s="34" t="n"/>
    </row>
    <row r="189">
      <c r="A189" s="132" t="n"/>
      <c r="B189" s="41" t="n"/>
      <c r="C189" s="34" t="n"/>
      <c r="D189" s="41" t="n"/>
      <c r="E189" s="34" t="n"/>
      <c r="F189" s="34" t="n"/>
      <c r="G189" s="41" t="n"/>
      <c r="H189" s="41" t="n"/>
      <c r="I189" s="44" t="n"/>
      <c r="J189" s="34" t="n"/>
      <c r="K189" s="41" t="n"/>
      <c r="L189" s="41" t="n"/>
      <c r="M189" s="34" t="n"/>
    </row>
    <row r="190">
      <c r="A190" s="132" t="n"/>
      <c r="B190" s="41" t="n"/>
      <c r="C190" s="34" t="n"/>
      <c r="D190" s="41" t="n"/>
      <c r="E190" s="34" t="n"/>
      <c r="F190" s="34" t="n"/>
      <c r="G190" s="41" t="n"/>
      <c r="H190" s="41" t="n"/>
      <c r="I190" s="44" t="n"/>
      <c r="J190" s="34" t="n"/>
      <c r="K190" s="41" t="n"/>
      <c r="L190" s="41" t="n"/>
      <c r="M190" s="34" t="n"/>
    </row>
    <row r="191">
      <c r="A191" s="132" t="n"/>
      <c r="B191" s="41" t="n"/>
      <c r="C191" s="34" t="n"/>
      <c r="D191" s="41" t="n"/>
      <c r="E191" s="34" t="n"/>
      <c r="F191" s="34" t="n"/>
      <c r="G191" s="41" t="n"/>
      <c r="H191" s="41" t="n"/>
      <c r="I191" s="44" t="n"/>
      <c r="J191" s="34" t="n"/>
      <c r="K191" s="41" t="n"/>
      <c r="L191" s="41" t="n"/>
      <c r="M191" s="34" t="n"/>
    </row>
    <row r="192">
      <c r="A192" s="132" t="n"/>
      <c r="B192" s="41" t="n"/>
      <c r="C192" s="34" t="n"/>
      <c r="D192" s="41" t="n"/>
      <c r="E192" s="34" t="n"/>
      <c r="F192" s="34" t="n"/>
      <c r="G192" s="41" t="n"/>
      <c r="H192" s="41" t="n"/>
      <c r="I192" s="44" t="n"/>
      <c r="J192" s="34" t="n"/>
      <c r="K192" s="41" t="n"/>
      <c r="L192" s="41" t="n"/>
      <c r="M192" s="34" t="n"/>
    </row>
    <row r="193">
      <c r="A193" s="132" t="n"/>
      <c r="B193" s="41" t="n"/>
      <c r="C193" s="34" t="n"/>
      <c r="D193" s="41" t="n"/>
      <c r="E193" s="34" t="n"/>
      <c r="F193" s="34" t="n"/>
      <c r="G193" s="41" t="n"/>
      <c r="H193" s="41" t="n"/>
      <c r="I193" s="44" t="n"/>
      <c r="J193" s="34" t="n"/>
      <c r="K193" s="41" t="n"/>
      <c r="L193" s="41" t="n"/>
      <c r="M193" s="34" t="n"/>
    </row>
    <row r="194">
      <c r="A194" s="132" t="n"/>
      <c r="B194" s="41" t="n"/>
      <c r="C194" s="34" t="n"/>
      <c r="D194" s="41" t="n"/>
      <c r="E194" s="34" t="n"/>
      <c r="F194" s="34" t="n"/>
      <c r="G194" s="41" t="n"/>
      <c r="H194" s="41" t="n"/>
      <c r="I194" s="44" t="n"/>
      <c r="J194" s="34" t="n"/>
      <c r="K194" s="41" t="n"/>
      <c r="L194" s="41" t="n"/>
      <c r="M194" s="34" t="n"/>
    </row>
    <row r="195">
      <c r="A195" s="132" t="n"/>
      <c r="B195" s="41" t="n"/>
      <c r="C195" s="34" t="n"/>
      <c r="D195" s="41" t="n"/>
      <c r="E195" s="34" t="n"/>
      <c r="F195" s="34" t="n"/>
      <c r="G195" s="41" t="n"/>
      <c r="H195" s="41" t="n"/>
      <c r="I195" s="44" t="n"/>
      <c r="J195" s="34" t="n"/>
      <c r="K195" s="41" t="n"/>
      <c r="L195" s="41" t="n"/>
      <c r="M195" s="34" t="n"/>
    </row>
    <row r="196">
      <c r="A196" s="132" t="n"/>
      <c r="B196" s="41" t="n"/>
      <c r="C196" s="34" t="n"/>
      <c r="D196" s="41" t="n"/>
      <c r="E196" s="34" t="n"/>
      <c r="F196" s="34" t="n"/>
      <c r="G196" s="41" t="n"/>
      <c r="H196" s="41" t="n"/>
      <c r="I196" s="44" t="n"/>
      <c r="J196" s="34" t="n"/>
      <c r="K196" s="41" t="n"/>
      <c r="L196" s="41" t="n"/>
      <c r="M196" s="34" t="n"/>
    </row>
    <row r="197">
      <c r="A197" s="132" t="n"/>
      <c r="B197" s="41" t="n"/>
      <c r="C197" s="34" t="n"/>
      <c r="D197" s="41" t="n"/>
      <c r="E197" s="34" t="n"/>
      <c r="F197" s="34" t="n"/>
      <c r="G197" s="41" t="n"/>
      <c r="H197" s="41" t="n"/>
      <c r="I197" s="44" t="n"/>
      <c r="J197" s="34" t="n"/>
      <c r="K197" s="41" t="n"/>
      <c r="L197" s="41" t="n"/>
      <c r="M197" s="34" t="n"/>
    </row>
    <row r="198">
      <c r="A198" s="132" t="n"/>
      <c r="B198" s="41" t="n"/>
      <c r="C198" s="34" t="n"/>
      <c r="D198" s="41" t="n"/>
      <c r="E198" s="34" t="n"/>
      <c r="F198" s="34" t="n"/>
      <c r="G198" s="41" t="n"/>
      <c r="H198" s="41" t="n"/>
      <c r="I198" s="44" t="n"/>
      <c r="J198" s="34" t="n"/>
      <c r="K198" s="41" t="n"/>
      <c r="L198" s="41" t="n"/>
      <c r="M198" s="34" t="n"/>
    </row>
    <row r="199">
      <c r="A199" s="132" t="n"/>
      <c r="B199" s="41" t="n"/>
      <c r="C199" s="34" t="n"/>
      <c r="D199" s="41" t="n"/>
      <c r="E199" s="34" t="n"/>
      <c r="F199" s="34" t="n"/>
      <c r="G199" s="41" t="n"/>
      <c r="H199" s="41" t="n"/>
      <c r="I199" s="44" t="n"/>
      <c r="J199" s="34" t="n"/>
      <c r="K199" s="41" t="n"/>
      <c r="L199" s="41" t="n"/>
      <c r="M199" s="34" t="n"/>
    </row>
    <row r="200">
      <c r="A200" s="132" t="n"/>
      <c r="B200" s="41" t="n"/>
      <c r="C200" s="34" t="n"/>
      <c r="D200" s="41" t="n"/>
      <c r="E200" s="34" t="n"/>
      <c r="F200" s="34" t="n"/>
      <c r="G200" s="41" t="n"/>
      <c r="H200" s="41" t="n"/>
      <c r="I200" s="44" t="n"/>
      <c r="J200" s="34" t="n"/>
      <c r="K200" s="41" t="n"/>
      <c r="L200" s="41" t="n"/>
      <c r="M200" s="34" t="n"/>
    </row>
    <row r="201">
      <c r="A201" s="132" t="n"/>
      <c r="B201" s="41" t="n"/>
      <c r="C201" s="34" t="n"/>
      <c r="D201" s="41" t="n"/>
      <c r="E201" s="34" t="n"/>
      <c r="F201" s="34" t="n"/>
      <c r="G201" s="41" t="n"/>
      <c r="H201" s="41" t="n"/>
      <c r="I201" s="44" t="n"/>
      <c r="J201" s="34" t="n"/>
      <c r="K201" s="41" t="n"/>
      <c r="L201" s="41" t="n"/>
      <c r="M201" s="34" t="n"/>
    </row>
    <row r="202">
      <c r="A202" s="132" t="n"/>
      <c r="B202" s="41" t="n"/>
      <c r="C202" s="34" t="n"/>
      <c r="D202" s="41" t="n"/>
      <c r="E202" s="34" t="n"/>
      <c r="F202" s="34" t="n"/>
      <c r="G202" s="41" t="n"/>
      <c r="H202" s="41" t="n"/>
      <c r="I202" s="44" t="n"/>
      <c r="J202" s="34" t="n"/>
      <c r="K202" s="41" t="n"/>
      <c r="L202" s="41" t="n"/>
      <c r="M202" s="34" t="n"/>
    </row>
    <row r="203">
      <c r="A203" s="132" t="n"/>
      <c r="B203" s="41" t="n"/>
      <c r="C203" s="34" t="n"/>
      <c r="D203" s="41" t="n"/>
      <c r="E203" s="34" t="n"/>
      <c r="F203" s="34" t="n"/>
      <c r="G203" s="41" t="n"/>
      <c r="H203" s="41" t="n"/>
      <c r="I203" s="44" t="n"/>
      <c r="J203" s="34" t="n"/>
      <c r="K203" s="41" t="n"/>
      <c r="L203" s="41" t="n"/>
      <c r="M203" s="34" t="n"/>
    </row>
    <row r="204">
      <c r="A204" s="132" t="n"/>
      <c r="B204" s="41" t="n"/>
      <c r="C204" s="34" t="n"/>
      <c r="D204" s="41" t="n"/>
      <c r="E204" s="34" t="n"/>
      <c r="F204" s="34" t="n"/>
      <c r="G204" s="41" t="n"/>
      <c r="H204" s="41" t="n"/>
      <c r="I204" s="44" t="n"/>
      <c r="J204" s="34" t="n"/>
      <c r="K204" s="41" t="n"/>
      <c r="L204" s="41" t="n"/>
      <c r="M204" s="34" t="n"/>
    </row>
    <row r="205">
      <c r="A205" s="132" t="n"/>
      <c r="B205" s="41" t="n"/>
      <c r="C205" s="34" t="n"/>
      <c r="D205" s="41" t="n"/>
      <c r="E205" s="34" t="n"/>
      <c r="F205" s="34" t="n"/>
      <c r="G205" s="41" t="n"/>
      <c r="H205" s="41" t="n"/>
      <c r="I205" s="44" t="n"/>
      <c r="J205" s="34" t="n"/>
      <c r="K205" s="41" t="n"/>
      <c r="L205" s="41" t="n"/>
      <c r="M205" s="34" t="n"/>
    </row>
    <row r="206">
      <c r="A206" s="132" t="n"/>
      <c r="B206" s="41" t="n"/>
      <c r="C206" s="34" t="n"/>
      <c r="D206" s="41" t="n"/>
      <c r="E206" s="34" t="n"/>
      <c r="F206" s="34" t="n"/>
      <c r="G206" s="41" t="n"/>
      <c r="H206" s="41" t="n"/>
      <c r="I206" s="44" t="n"/>
      <c r="J206" s="34" t="n"/>
      <c r="K206" s="41" t="n"/>
      <c r="L206" s="41" t="n"/>
      <c r="M206" s="34" t="n"/>
    </row>
    <row r="207">
      <c r="A207" s="132" t="n"/>
      <c r="B207" s="41" t="n"/>
      <c r="C207" s="34" t="n"/>
      <c r="D207" s="41" t="n"/>
      <c r="E207" s="34" t="n"/>
      <c r="F207" s="34" t="n"/>
      <c r="G207" s="41" t="n"/>
      <c r="H207" s="41" t="n"/>
      <c r="I207" s="44" t="n"/>
      <c r="J207" s="34" t="n"/>
      <c r="K207" s="41" t="n"/>
      <c r="L207" s="41" t="n"/>
      <c r="M207" s="34" t="n"/>
    </row>
    <row r="208">
      <c r="A208" s="132" t="n"/>
      <c r="B208" s="41" t="n"/>
      <c r="C208" s="34" t="n"/>
      <c r="D208" s="41" t="n"/>
      <c r="E208" s="34" t="n"/>
      <c r="F208" s="34" t="n"/>
      <c r="G208" s="41" t="n"/>
      <c r="H208" s="41" t="n"/>
      <c r="I208" s="44" t="n"/>
      <c r="J208" s="34" t="n"/>
      <c r="K208" s="41" t="n"/>
      <c r="L208" s="41" t="n"/>
      <c r="M208" s="34" t="n"/>
    </row>
    <row r="209">
      <c r="A209" s="132" t="n"/>
      <c r="B209" s="41" t="n"/>
      <c r="C209" s="34" t="n"/>
      <c r="D209" s="41" t="n"/>
      <c r="E209" s="34" t="n"/>
      <c r="F209" s="34" t="n"/>
      <c r="G209" s="41" t="n"/>
      <c r="H209" s="41" t="n"/>
      <c r="I209" s="44" t="n"/>
      <c r="J209" s="34" t="n"/>
      <c r="K209" s="41" t="n"/>
      <c r="L209" s="41" t="n"/>
      <c r="M209" s="34" t="n"/>
    </row>
    <row r="210">
      <c r="A210" s="132" t="n"/>
      <c r="B210" s="41" t="n"/>
      <c r="C210" s="34" t="n"/>
      <c r="D210" s="41" t="n"/>
      <c r="E210" s="34" t="n"/>
      <c r="F210" s="34" t="n"/>
      <c r="G210" s="41" t="n"/>
      <c r="H210" s="41" t="n"/>
      <c r="I210" s="44" t="n"/>
      <c r="J210" s="34" t="n"/>
      <c r="K210" s="41" t="n"/>
      <c r="L210" s="41" t="n"/>
      <c r="M210" s="34" t="n"/>
    </row>
    <row r="211">
      <c r="A211" s="132" t="n"/>
      <c r="B211" s="41" t="n"/>
      <c r="C211" s="34" t="n"/>
      <c r="D211" s="41" t="n"/>
      <c r="E211" s="34" t="n"/>
      <c r="F211" s="34" t="n"/>
      <c r="G211" s="41" t="n"/>
      <c r="H211" s="41" t="n"/>
      <c r="I211" s="44" t="n"/>
      <c r="J211" s="34" t="n"/>
      <c r="K211" s="41" t="n"/>
      <c r="L211" s="41" t="n"/>
      <c r="M211" s="34" t="n"/>
    </row>
    <row r="212">
      <c r="A212" s="132" t="n"/>
      <c r="B212" s="41" t="n"/>
      <c r="C212" s="34" t="n"/>
      <c r="D212" s="41" t="n"/>
      <c r="E212" s="34" t="n"/>
      <c r="F212" s="34" t="n"/>
      <c r="G212" s="41" t="n"/>
      <c r="H212" s="41" t="n"/>
      <c r="I212" s="44" t="n"/>
      <c r="J212" s="34" t="n"/>
      <c r="K212" s="41" t="n"/>
      <c r="L212" s="41" t="n"/>
      <c r="M212" s="34" t="n"/>
    </row>
    <row r="213">
      <c r="A213" s="132" t="n"/>
      <c r="B213" s="41" t="n"/>
      <c r="C213" s="34" t="n"/>
      <c r="D213" s="41" t="n"/>
      <c r="E213" s="34" t="n"/>
      <c r="F213" s="34" t="n"/>
      <c r="G213" s="41" t="n"/>
      <c r="H213" s="41" t="n"/>
      <c r="I213" s="44" t="n"/>
      <c r="J213" s="34" t="n"/>
      <c r="K213" s="41" t="n"/>
      <c r="L213" s="41" t="n"/>
      <c r="M213" s="34" t="n"/>
    </row>
    <row r="214">
      <c r="A214" s="132" t="n"/>
      <c r="B214" s="41" t="n"/>
      <c r="C214" s="34" t="n"/>
      <c r="D214" s="41" t="n"/>
      <c r="E214" s="34" t="n"/>
      <c r="F214" s="34" t="n"/>
      <c r="G214" s="41" t="n"/>
      <c r="H214" s="41" t="n"/>
      <c r="I214" s="44" t="n"/>
      <c r="J214" s="34" t="n"/>
      <c r="K214" s="41" t="n"/>
      <c r="L214" s="41" t="n"/>
      <c r="M214" s="34" t="n"/>
    </row>
    <row r="215">
      <c r="A215" s="132" t="n"/>
      <c r="B215" s="41" t="n"/>
      <c r="C215" s="34" t="n"/>
      <c r="D215" s="41" t="n"/>
      <c r="E215" s="34" t="n"/>
      <c r="F215" s="34" t="n"/>
      <c r="G215" s="41" t="n"/>
      <c r="H215" s="41" t="n"/>
      <c r="I215" s="44" t="n"/>
      <c r="J215" s="34" t="n"/>
      <c r="K215" s="41" t="n"/>
      <c r="L215" s="41" t="n"/>
      <c r="M215" s="34" t="n"/>
    </row>
    <row r="216">
      <c r="A216" s="132" t="n"/>
      <c r="B216" s="41" t="n"/>
      <c r="C216" s="34" t="n"/>
      <c r="D216" s="41" t="n"/>
      <c r="E216" s="34" t="n"/>
      <c r="F216" s="34" t="n"/>
      <c r="G216" s="41" t="n"/>
      <c r="H216" s="41" t="n"/>
      <c r="I216" s="44" t="n"/>
      <c r="J216" s="34" t="n"/>
      <c r="K216" s="41" t="n"/>
      <c r="L216" s="41" t="n"/>
      <c r="M216" s="34" t="n"/>
    </row>
    <row r="217">
      <c r="A217" s="132" t="n"/>
      <c r="B217" s="41" t="n"/>
      <c r="C217" s="34" t="n"/>
      <c r="D217" s="41" t="n"/>
      <c r="E217" s="34" t="n"/>
      <c r="F217" s="34" t="n"/>
      <c r="G217" s="41" t="n"/>
      <c r="H217" s="41" t="n"/>
      <c r="I217" s="44" t="n"/>
      <c r="J217" s="34" t="n"/>
      <c r="K217" s="41" t="n"/>
      <c r="L217" s="41" t="n"/>
      <c r="M217" s="34" t="n"/>
    </row>
    <row r="218">
      <c r="A218" s="132" t="n"/>
      <c r="B218" s="41" t="n"/>
      <c r="C218" s="34" t="n"/>
      <c r="D218" s="41" t="n"/>
      <c r="E218" s="34" t="n"/>
      <c r="F218" s="34" t="n"/>
      <c r="G218" s="41" t="n"/>
      <c r="H218" s="41" t="n"/>
      <c r="I218" s="44" t="n"/>
      <c r="J218" s="34" t="n"/>
      <c r="K218" s="41" t="n"/>
      <c r="L218" s="41" t="n"/>
      <c r="M218" s="34" t="n"/>
    </row>
    <row r="219">
      <c r="A219" s="132" t="n"/>
      <c r="B219" s="41" t="n"/>
      <c r="C219" s="34" t="n"/>
      <c r="D219" s="41" t="n"/>
      <c r="E219" s="34" t="n"/>
      <c r="F219" s="34" t="n"/>
      <c r="G219" s="41" t="n"/>
      <c r="H219" s="41" t="n"/>
      <c r="I219" s="44" t="n"/>
      <c r="J219" s="34" t="n"/>
      <c r="K219" s="41" t="n"/>
      <c r="L219" s="41" t="n"/>
      <c r="M219" s="34" t="n"/>
    </row>
    <row r="220">
      <c r="A220" s="132" t="n"/>
      <c r="B220" s="41" t="n"/>
      <c r="C220" s="34" t="n"/>
      <c r="D220" s="41" t="n"/>
      <c r="E220" s="34" t="n"/>
      <c r="F220" s="34" t="n"/>
      <c r="G220" s="41" t="n"/>
      <c r="H220" s="41" t="n"/>
      <c r="I220" s="44" t="n"/>
      <c r="J220" s="34" t="n"/>
      <c r="K220" s="41" t="n"/>
      <c r="L220" s="41" t="n"/>
      <c r="M220" s="34" t="n"/>
    </row>
    <row r="221">
      <c r="A221" s="132" t="n"/>
      <c r="B221" s="41" t="n"/>
      <c r="C221" s="34" t="n"/>
      <c r="D221" s="41" t="n"/>
      <c r="E221" s="34" t="n"/>
      <c r="F221" s="34" t="n"/>
      <c r="G221" s="41" t="n"/>
      <c r="H221" s="41" t="n"/>
      <c r="I221" s="44" t="n"/>
      <c r="J221" s="34" t="n"/>
      <c r="K221" s="41" t="n"/>
      <c r="L221" s="41" t="n"/>
      <c r="M221" s="34" t="n"/>
    </row>
    <row r="222">
      <c r="A222" s="132" t="n"/>
      <c r="B222" s="41" t="n"/>
      <c r="C222" s="34" t="n"/>
      <c r="D222" s="41" t="n"/>
      <c r="E222" s="34" t="n"/>
      <c r="F222" s="34" t="n"/>
      <c r="G222" s="41" t="n"/>
      <c r="H222" s="41" t="n"/>
      <c r="I222" s="44" t="n"/>
      <c r="J222" s="34" t="n"/>
      <c r="K222" s="41" t="n"/>
      <c r="L222" s="41" t="n"/>
      <c r="M222" s="34" t="n"/>
    </row>
    <row r="223">
      <c r="A223" s="132" t="n"/>
      <c r="B223" s="41" t="n"/>
      <c r="C223" s="34" t="n"/>
      <c r="D223" s="41" t="n"/>
      <c r="E223" s="34" t="n"/>
      <c r="F223" s="34" t="n"/>
      <c r="G223" s="41" t="n"/>
      <c r="H223" s="41" t="n"/>
      <c r="I223" s="44" t="n"/>
      <c r="J223" s="34" t="n"/>
      <c r="K223" s="41" t="n"/>
      <c r="L223" s="41" t="n"/>
      <c r="M223" s="34" t="n"/>
    </row>
    <row r="224">
      <c r="A224" s="132" t="n"/>
      <c r="B224" s="41" t="n"/>
      <c r="C224" s="34" t="n"/>
      <c r="D224" s="41" t="n"/>
      <c r="E224" s="34" t="n"/>
      <c r="F224" s="34" t="n"/>
      <c r="G224" s="41" t="n"/>
      <c r="H224" s="41" t="n"/>
      <c r="I224" s="44" t="n"/>
      <c r="J224" s="34" t="n"/>
      <c r="K224" s="41" t="n"/>
      <c r="L224" s="41" t="n"/>
      <c r="M224" s="34" t="n"/>
    </row>
    <row r="225">
      <c r="A225" s="132" t="n"/>
      <c r="B225" s="41" t="n"/>
      <c r="C225" s="34" t="n"/>
      <c r="D225" s="41" t="n"/>
      <c r="E225" s="34" t="n"/>
      <c r="F225" s="34" t="n"/>
      <c r="G225" s="41" t="n"/>
      <c r="H225" s="41" t="n"/>
      <c r="I225" s="44" t="n"/>
      <c r="J225" s="34" t="n"/>
      <c r="K225" s="41" t="n"/>
      <c r="L225" s="41" t="n"/>
      <c r="M225" s="34" t="n"/>
    </row>
    <row r="226">
      <c r="A226" s="132" t="n"/>
      <c r="B226" s="41" t="n"/>
      <c r="C226" s="34" t="n"/>
      <c r="D226" s="41" t="n"/>
      <c r="E226" s="34" t="n"/>
      <c r="F226" s="34" t="n"/>
      <c r="G226" s="41" t="n"/>
      <c r="H226" s="41" t="n"/>
      <c r="I226" s="44" t="n"/>
      <c r="J226" s="34" t="n"/>
      <c r="K226" s="41" t="n"/>
      <c r="L226" s="41" t="n"/>
      <c r="M226" s="34" t="n"/>
    </row>
    <row r="227">
      <c r="A227" s="132" t="n"/>
      <c r="B227" s="41" t="n"/>
      <c r="C227" s="34" t="n"/>
      <c r="D227" s="41" t="n"/>
      <c r="E227" s="34" t="n"/>
      <c r="F227" s="34" t="n"/>
      <c r="G227" s="41" t="n"/>
      <c r="H227" s="41" t="n"/>
      <c r="I227" s="44" t="n"/>
      <c r="J227" s="34" t="n"/>
      <c r="K227" s="41" t="n"/>
      <c r="L227" s="41" t="n"/>
      <c r="M227" s="34" t="n"/>
    </row>
    <row r="228">
      <c r="A228" s="132" t="n"/>
      <c r="B228" s="41" t="n"/>
      <c r="C228" s="34" t="n"/>
      <c r="D228" s="41" t="n"/>
      <c r="E228" s="34" t="n"/>
      <c r="F228" s="34" t="n"/>
      <c r="G228" s="41" t="n"/>
      <c r="H228" s="41" t="n"/>
      <c r="I228" s="44" t="n"/>
      <c r="J228" s="34" t="n"/>
      <c r="K228" s="41" t="n"/>
      <c r="L228" s="41" t="n"/>
      <c r="M228" s="34" t="n"/>
    </row>
    <row r="229">
      <c r="A229" s="132" t="n"/>
      <c r="B229" s="41" t="n"/>
      <c r="C229" s="34" t="n"/>
      <c r="D229" s="41" t="n"/>
      <c r="E229" s="34" t="n"/>
      <c r="F229" s="34" t="n"/>
      <c r="G229" s="41" t="n"/>
      <c r="H229" s="41" t="n"/>
      <c r="I229" s="44" t="n"/>
      <c r="J229" s="34" t="n"/>
      <c r="K229" s="41" t="n"/>
      <c r="L229" s="41" t="n"/>
      <c r="M229" s="34" t="n"/>
    </row>
    <row r="230">
      <c r="A230" s="132" t="n"/>
      <c r="B230" s="41" t="n"/>
      <c r="C230" s="34" t="n"/>
      <c r="D230" s="41" t="n"/>
      <c r="E230" s="34" t="n"/>
      <c r="F230" s="34" t="n"/>
      <c r="G230" s="41" t="n"/>
      <c r="H230" s="41" t="n"/>
      <c r="I230" s="44" t="n"/>
      <c r="J230" s="34" t="n"/>
      <c r="K230" s="41" t="n"/>
      <c r="L230" s="41" t="n"/>
      <c r="M230" s="34" t="n"/>
    </row>
    <row r="231">
      <c r="A231" s="132" t="n"/>
      <c r="B231" s="41" t="n"/>
      <c r="C231" s="34" t="n"/>
      <c r="D231" s="41" t="n"/>
      <c r="E231" s="34" t="n"/>
      <c r="F231" s="34" t="n"/>
      <c r="G231" s="41" t="n"/>
      <c r="H231" s="41" t="n"/>
      <c r="I231" s="44" t="n"/>
      <c r="J231" s="34" t="n"/>
      <c r="K231" s="41" t="n"/>
      <c r="L231" s="41" t="n"/>
      <c r="M231" s="34" t="n"/>
    </row>
    <row r="232">
      <c r="A232" s="132" t="n"/>
      <c r="B232" s="41" t="n"/>
      <c r="C232" s="34" t="n"/>
      <c r="D232" s="41" t="n"/>
      <c r="E232" s="34" t="n"/>
      <c r="F232" s="34" t="n"/>
      <c r="G232" s="41" t="n"/>
      <c r="H232" s="41" t="n"/>
      <c r="I232" s="44" t="n"/>
      <c r="J232" s="34" t="n"/>
      <c r="K232" s="41" t="n"/>
      <c r="L232" s="41" t="n"/>
      <c r="M232" s="34" t="n"/>
    </row>
    <row r="233">
      <c r="A233" s="132" t="n"/>
      <c r="B233" s="41" t="n"/>
      <c r="C233" s="34" t="n"/>
      <c r="D233" s="41" t="n"/>
      <c r="E233" s="34" t="n"/>
      <c r="F233" s="34" t="n"/>
      <c r="G233" s="41" t="n"/>
      <c r="H233" s="41" t="n"/>
      <c r="I233" s="44" t="n"/>
      <c r="J233" s="34" t="n"/>
      <c r="K233" s="41" t="n"/>
      <c r="L233" s="41" t="n"/>
      <c r="M233" s="34" t="n"/>
    </row>
    <row r="234">
      <c r="A234" s="132" t="n"/>
      <c r="B234" s="41" t="n"/>
      <c r="C234" s="34" t="n"/>
      <c r="D234" s="41" t="n"/>
      <c r="E234" s="34" t="n"/>
      <c r="F234" s="34" t="n"/>
      <c r="G234" s="41" t="n"/>
      <c r="H234" s="41" t="n"/>
      <c r="I234" s="44" t="n"/>
      <c r="J234" s="34" t="n"/>
      <c r="K234" s="41" t="n"/>
      <c r="L234" s="41" t="n"/>
      <c r="M234" s="34" t="n"/>
    </row>
    <row r="235">
      <c r="A235" s="132" t="n"/>
      <c r="B235" s="41" t="n"/>
      <c r="C235" s="34" t="n"/>
      <c r="D235" s="41" t="n"/>
      <c r="E235" s="34" t="n"/>
      <c r="F235" s="34" t="n"/>
      <c r="G235" s="41" t="n"/>
      <c r="H235" s="41" t="n"/>
      <c r="I235" s="44" t="n"/>
      <c r="J235" s="34" t="n"/>
      <c r="K235" s="41" t="n"/>
      <c r="L235" s="41" t="n"/>
      <c r="M235" s="34" t="n"/>
    </row>
    <row r="236">
      <c r="A236" s="132" t="n"/>
      <c r="B236" s="41" t="n"/>
      <c r="C236" s="34" t="n"/>
      <c r="D236" s="41" t="n"/>
      <c r="E236" s="34" t="n"/>
      <c r="F236" s="34" t="n"/>
      <c r="G236" s="41" t="n"/>
      <c r="H236" s="41" t="n"/>
      <c r="I236" s="44" t="n"/>
      <c r="J236" s="34" t="n"/>
      <c r="K236" s="41" t="n"/>
      <c r="L236" s="41" t="n"/>
      <c r="M236" s="34" t="n"/>
    </row>
    <row r="237">
      <c r="A237" s="132" t="n"/>
      <c r="B237" s="41" t="n"/>
      <c r="C237" s="34" t="n"/>
      <c r="D237" s="41" t="n"/>
      <c r="E237" s="34" t="n"/>
      <c r="F237" s="34" t="n"/>
      <c r="G237" s="41" t="n"/>
      <c r="H237" s="41" t="n"/>
      <c r="I237" s="44" t="n"/>
      <c r="J237" s="34" t="n"/>
      <c r="K237" s="41" t="n"/>
      <c r="L237" s="41" t="n"/>
      <c r="M237" s="34" t="n"/>
    </row>
    <row r="238">
      <c r="A238" s="132" t="n"/>
      <c r="B238" s="41" t="n"/>
      <c r="C238" s="34" t="n"/>
      <c r="D238" s="41" t="n"/>
      <c r="E238" s="34" t="n"/>
      <c r="F238" s="34" t="n"/>
      <c r="G238" s="41" t="n"/>
      <c r="H238" s="41" t="n"/>
      <c r="I238" s="44" t="n"/>
      <c r="J238" s="34" t="n"/>
      <c r="K238" s="41" t="n"/>
      <c r="L238" s="41" t="n"/>
      <c r="M238" s="34" t="n"/>
    </row>
    <row r="239">
      <c r="A239" s="132" t="n"/>
      <c r="B239" s="41" t="n"/>
      <c r="C239" s="34" t="n"/>
      <c r="D239" s="41" t="n"/>
      <c r="E239" s="34" t="n"/>
      <c r="F239" s="34" t="n"/>
      <c r="G239" s="41" t="n"/>
      <c r="H239" s="41" t="n"/>
      <c r="I239" s="44" t="n"/>
      <c r="J239" s="34" t="n"/>
      <c r="K239" s="41" t="n"/>
      <c r="L239" s="41" t="n"/>
      <c r="M239" s="34" t="n"/>
    </row>
    <row r="240">
      <c r="A240" s="132" t="n"/>
      <c r="B240" s="41" t="n"/>
      <c r="C240" s="34" t="n"/>
      <c r="D240" s="41" t="n"/>
      <c r="E240" s="34" t="n"/>
      <c r="F240" s="34" t="n"/>
      <c r="G240" s="41" t="n"/>
      <c r="H240" s="41" t="n"/>
      <c r="I240" s="44" t="n"/>
      <c r="J240" s="34" t="n"/>
      <c r="K240" s="41" t="n"/>
      <c r="L240" s="41" t="n"/>
      <c r="M240" s="34" t="n"/>
    </row>
    <row r="241">
      <c r="A241" s="132" t="n"/>
      <c r="B241" s="41" t="n"/>
      <c r="C241" s="34" t="n"/>
      <c r="D241" s="41" t="n"/>
      <c r="E241" s="34" t="n"/>
      <c r="F241" s="34" t="n"/>
      <c r="G241" s="41" t="n"/>
      <c r="H241" s="41" t="n"/>
      <c r="I241" s="44" t="n"/>
      <c r="J241" s="34" t="n"/>
      <c r="K241" s="41" t="n"/>
      <c r="L241" s="41" t="n"/>
      <c r="M241" s="34" t="n"/>
    </row>
    <row r="242">
      <c r="A242" s="132" t="n"/>
      <c r="B242" s="41" t="n"/>
      <c r="C242" s="34" t="n"/>
      <c r="D242" s="41" t="n"/>
      <c r="E242" s="34" t="n"/>
      <c r="F242" s="34" t="n"/>
      <c r="G242" s="41" t="n"/>
      <c r="H242" s="41" t="n"/>
      <c r="I242" s="44" t="n"/>
      <c r="J242" s="34" t="n"/>
      <c r="K242" s="41" t="n"/>
      <c r="L242" s="41" t="n"/>
      <c r="M242" s="34" t="n"/>
    </row>
    <row r="243">
      <c r="A243" s="132" t="n"/>
      <c r="B243" s="41" t="n"/>
      <c r="C243" s="34" t="n"/>
      <c r="D243" s="41" t="n"/>
      <c r="E243" s="34" t="n"/>
      <c r="F243" s="34" t="n"/>
      <c r="G243" s="41" t="n"/>
      <c r="H243" s="41" t="n"/>
      <c r="I243" s="44" t="n"/>
      <c r="J243" s="34" t="n"/>
      <c r="K243" s="41" t="n"/>
      <c r="L243" s="41" t="n"/>
      <c r="M243" s="34" t="n"/>
    </row>
    <row r="244">
      <c r="A244" s="132" t="n"/>
      <c r="B244" s="41" t="n"/>
      <c r="C244" s="34" t="n"/>
      <c r="D244" s="41" t="n"/>
      <c r="E244" s="34" t="n"/>
      <c r="F244" s="34" t="n"/>
      <c r="G244" s="41" t="n"/>
      <c r="H244" s="41" t="n"/>
      <c r="I244" s="44" t="n"/>
      <c r="J244" s="34" t="n"/>
      <c r="K244" s="41" t="n"/>
      <c r="L244" s="41" t="n"/>
      <c r="M244" s="34" t="n"/>
    </row>
    <row r="245">
      <c r="A245" s="132" t="n"/>
      <c r="B245" s="41" t="n"/>
      <c r="C245" s="34" t="n"/>
      <c r="D245" s="41" t="n"/>
      <c r="E245" s="34" t="n"/>
      <c r="F245" s="34" t="n"/>
      <c r="G245" s="41" t="n"/>
      <c r="H245" s="41" t="n"/>
      <c r="I245" s="44" t="n"/>
      <c r="J245" s="34" t="n"/>
      <c r="K245" s="41" t="n"/>
      <c r="L245" s="41" t="n"/>
      <c r="M245" s="34" t="n"/>
    </row>
    <row r="246">
      <c r="A246" s="132" t="n"/>
      <c r="B246" s="41" t="n"/>
      <c r="C246" s="34" t="n"/>
      <c r="D246" s="41" t="n"/>
      <c r="E246" s="34" t="n"/>
      <c r="F246" s="34" t="n"/>
      <c r="G246" s="41" t="n"/>
      <c r="H246" s="41" t="n"/>
      <c r="I246" s="44" t="n"/>
      <c r="J246" s="34" t="n"/>
      <c r="K246" s="41" t="n"/>
      <c r="L246" s="41" t="n"/>
      <c r="M246" s="34" t="n"/>
    </row>
    <row r="247">
      <c r="A247" s="132" t="n"/>
      <c r="B247" s="41" t="n"/>
      <c r="C247" s="34" t="n"/>
      <c r="D247" s="41" t="n"/>
      <c r="E247" s="34" t="n"/>
      <c r="F247" s="34" t="n"/>
      <c r="G247" s="41" t="n"/>
      <c r="H247" s="41" t="n"/>
      <c r="I247" s="44" t="n"/>
      <c r="J247" s="34" t="n"/>
      <c r="K247" s="41" t="n"/>
      <c r="L247" s="41" t="n"/>
      <c r="M247" s="34" t="n"/>
    </row>
    <row r="248">
      <c r="A248" s="132" t="n"/>
      <c r="B248" s="41" t="n"/>
      <c r="C248" s="34" t="n"/>
      <c r="D248" s="41" t="n"/>
      <c r="E248" s="34" t="n"/>
      <c r="F248" s="34" t="n"/>
      <c r="G248" s="41" t="n"/>
      <c r="H248" s="41" t="n"/>
      <c r="I248" s="44" t="n"/>
      <c r="J248" s="34" t="n"/>
      <c r="K248" s="41" t="n"/>
      <c r="L248" s="41" t="n"/>
      <c r="M248" s="34" t="n"/>
    </row>
    <row r="249">
      <c r="A249" s="132" t="n"/>
      <c r="B249" s="41" t="n"/>
      <c r="C249" s="34" t="n"/>
      <c r="D249" s="41" t="n"/>
      <c r="E249" s="34" t="n"/>
      <c r="F249" s="34" t="n"/>
      <c r="G249" s="41" t="n"/>
      <c r="H249" s="41" t="n"/>
      <c r="I249" s="44" t="n"/>
      <c r="J249" s="34" t="n"/>
      <c r="K249" s="41" t="n"/>
      <c r="L249" s="41" t="n"/>
      <c r="M249" s="34" t="n"/>
    </row>
    <row r="250">
      <c r="A250" s="132" t="n"/>
      <c r="B250" s="41" t="n"/>
      <c r="C250" s="34" t="n"/>
      <c r="D250" s="41" t="n"/>
      <c r="E250" s="34" t="n"/>
      <c r="F250" s="34" t="n"/>
      <c r="G250" s="41" t="n"/>
      <c r="H250" s="41" t="n"/>
      <c r="I250" s="44" t="n"/>
      <c r="J250" s="34" t="n"/>
      <c r="K250" s="41" t="n"/>
      <c r="L250" s="41" t="n"/>
      <c r="M250" s="34" t="n"/>
    </row>
    <row r="251">
      <c r="A251" s="132" t="n"/>
      <c r="B251" s="41" t="n"/>
      <c r="C251" s="34" t="n"/>
      <c r="D251" s="41" t="n"/>
      <c r="E251" s="34" t="n"/>
      <c r="F251" s="34" t="n"/>
      <c r="G251" s="41" t="n"/>
      <c r="H251" s="41" t="n"/>
      <c r="I251" s="44" t="n"/>
      <c r="J251" s="34" t="n"/>
      <c r="K251" s="41" t="n"/>
      <c r="L251" s="41" t="n"/>
      <c r="M251" s="34" t="n"/>
    </row>
    <row r="252">
      <c r="A252" s="132" t="n"/>
      <c r="B252" s="41" t="n"/>
      <c r="C252" s="34" t="n"/>
      <c r="D252" s="41" t="n"/>
      <c r="E252" s="34" t="n"/>
      <c r="F252" s="34" t="n"/>
      <c r="G252" s="41" t="n"/>
      <c r="H252" s="41" t="n"/>
      <c r="I252" s="44" t="n"/>
      <c r="J252" s="34" t="n"/>
      <c r="K252" s="41" t="n"/>
      <c r="L252" s="41" t="n"/>
      <c r="M252" s="34" t="n"/>
    </row>
    <row r="253">
      <c r="A253" s="132" t="n"/>
      <c r="B253" s="41" t="n"/>
      <c r="C253" s="34" t="n"/>
      <c r="D253" s="41" t="n"/>
      <c r="E253" s="34" t="n"/>
      <c r="F253" s="34" t="n"/>
      <c r="G253" s="41" t="n"/>
      <c r="H253" s="41" t="n"/>
      <c r="I253" s="44" t="n"/>
      <c r="J253" s="34" t="n"/>
      <c r="K253" s="41" t="n"/>
      <c r="L253" s="41" t="n"/>
      <c r="M253" s="34" t="n"/>
    </row>
    <row r="254">
      <c r="A254" s="132" t="n"/>
      <c r="B254" s="41" t="n"/>
      <c r="C254" s="34" t="n"/>
      <c r="D254" s="41" t="n"/>
      <c r="E254" s="34" t="n"/>
      <c r="F254" s="34" t="n"/>
      <c r="G254" s="41" t="n"/>
      <c r="H254" s="41" t="n"/>
      <c r="I254" s="44" t="n"/>
      <c r="J254" s="34" t="n"/>
      <c r="K254" s="41" t="n"/>
      <c r="L254" s="41" t="n"/>
      <c r="M254" s="34" t="n"/>
    </row>
    <row r="255">
      <c r="A255" s="132" t="n"/>
      <c r="B255" s="41" t="n"/>
      <c r="C255" s="34" t="n"/>
      <c r="D255" s="41" t="n"/>
      <c r="E255" s="34" t="n"/>
      <c r="F255" s="34" t="n"/>
      <c r="G255" s="41" t="n"/>
      <c r="H255" s="41" t="n"/>
      <c r="I255" s="44" t="n"/>
      <c r="J255" s="34" t="n"/>
      <c r="K255" s="41" t="n"/>
      <c r="L255" s="41" t="n"/>
      <c r="M255" s="34" t="n"/>
    </row>
    <row r="256">
      <c r="A256" s="132" t="n"/>
      <c r="B256" s="41" t="n"/>
      <c r="C256" s="34" t="n"/>
      <c r="D256" s="41" t="n"/>
      <c r="E256" s="34" t="n"/>
      <c r="F256" s="34" t="n"/>
      <c r="G256" s="41" t="n"/>
      <c r="H256" s="41" t="n"/>
      <c r="I256" s="44" t="n"/>
      <c r="J256" s="34" t="n"/>
      <c r="K256" s="41" t="n"/>
      <c r="L256" s="41" t="n"/>
      <c r="M256" s="34" t="n"/>
    </row>
    <row r="257">
      <c r="A257" s="132" t="n"/>
      <c r="B257" s="41" t="n"/>
      <c r="C257" s="34" t="n"/>
      <c r="D257" s="41" t="n"/>
      <c r="E257" s="34" t="n"/>
      <c r="F257" s="34" t="n"/>
      <c r="G257" s="41" t="n"/>
      <c r="H257" s="41" t="n"/>
      <c r="I257" s="44" t="n"/>
      <c r="J257" s="34" t="n"/>
      <c r="K257" s="41" t="n"/>
      <c r="L257" s="41" t="n"/>
      <c r="M257" s="34" t="n"/>
    </row>
    <row r="258">
      <c r="A258" s="132" t="n"/>
      <c r="B258" s="41" t="n"/>
      <c r="C258" s="34" t="n"/>
      <c r="D258" s="41" t="n"/>
      <c r="E258" s="34" t="n"/>
      <c r="F258" s="34" t="n"/>
      <c r="G258" s="41" t="n"/>
      <c r="H258" s="41" t="n"/>
      <c r="I258" s="44" t="n"/>
      <c r="J258" s="34" t="n"/>
      <c r="K258" s="41" t="n"/>
      <c r="L258" s="41" t="n"/>
      <c r="M258" s="34" t="n"/>
    </row>
    <row r="259">
      <c r="A259" s="132" t="n"/>
      <c r="B259" s="41" t="n"/>
      <c r="C259" s="34" t="n"/>
      <c r="D259" s="41" t="n"/>
      <c r="E259" s="34" t="n"/>
      <c r="F259" s="34" t="n"/>
      <c r="G259" s="41" t="n"/>
      <c r="H259" s="41" t="n"/>
      <c r="I259" s="44" t="n"/>
      <c r="J259" s="34" t="n"/>
      <c r="K259" s="41" t="n"/>
      <c r="L259" s="41" t="n"/>
      <c r="M259" s="34" t="n"/>
    </row>
    <row r="260">
      <c r="A260" s="132" t="n"/>
      <c r="B260" s="41" t="n"/>
      <c r="C260" s="34" t="n"/>
      <c r="D260" s="41" t="n"/>
      <c r="E260" s="34" t="n"/>
      <c r="F260" s="34" t="n"/>
      <c r="G260" s="41" t="n"/>
      <c r="H260" s="41" t="n"/>
      <c r="I260" s="44" t="n"/>
      <c r="J260" s="34" t="n"/>
      <c r="K260" s="41" t="n"/>
      <c r="L260" s="41" t="n"/>
      <c r="M260" s="34" t="n"/>
    </row>
    <row r="261">
      <c r="A261" s="132" t="n"/>
      <c r="B261" s="41" t="n"/>
      <c r="C261" s="34" t="n"/>
      <c r="D261" s="41" t="n"/>
      <c r="E261" s="34" t="n"/>
      <c r="F261" s="34" t="n"/>
      <c r="G261" s="41" t="n"/>
      <c r="H261" s="41" t="n"/>
      <c r="I261" s="44" t="n"/>
      <c r="J261" s="34" t="n"/>
      <c r="K261" s="41" t="n"/>
      <c r="L261" s="41" t="n"/>
      <c r="M261" s="34" t="n"/>
    </row>
    <row r="262">
      <c r="A262" s="132" t="n"/>
      <c r="B262" s="41" t="n"/>
      <c r="C262" s="34" t="n"/>
      <c r="D262" s="41" t="n"/>
      <c r="E262" s="34" t="n"/>
      <c r="F262" s="34" t="n"/>
      <c r="G262" s="41" t="n"/>
      <c r="H262" s="41" t="n"/>
      <c r="I262" s="44" t="n"/>
      <c r="J262" s="34" t="n"/>
      <c r="K262" s="41" t="n"/>
      <c r="L262" s="41" t="n"/>
      <c r="M262" s="34" t="n"/>
    </row>
    <row r="263">
      <c r="A263" s="132" t="n"/>
      <c r="B263" s="41" t="n"/>
      <c r="C263" s="34" t="n"/>
      <c r="D263" s="41" t="n"/>
      <c r="E263" s="34" t="n"/>
      <c r="F263" s="34" t="n"/>
      <c r="G263" s="41" t="n"/>
      <c r="H263" s="41" t="n"/>
      <c r="I263" s="44" t="n"/>
      <c r="J263" s="34" t="n"/>
      <c r="K263" s="41" t="n"/>
      <c r="L263" s="41" t="n"/>
      <c r="M263" s="34" t="n"/>
    </row>
    <row r="264">
      <c r="A264" s="132" t="n"/>
      <c r="B264" s="41" t="n"/>
      <c r="C264" s="34" t="n"/>
      <c r="D264" s="41" t="n"/>
      <c r="E264" s="34" t="n"/>
      <c r="F264" s="34" t="n"/>
      <c r="G264" s="41" t="n"/>
      <c r="H264" s="41" t="n"/>
      <c r="I264" s="44" t="n"/>
      <c r="J264" s="34" t="n"/>
      <c r="K264" s="41" t="n"/>
      <c r="L264" s="41" t="n"/>
      <c r="M264" s="34" t="n"/>
    </row>
    <row r="265">
      <c r="A265" s="132" t="n"/>
      <c r="B265" s="41" t="n"/>
      <c r="C265" s="34" t="n"/>
      <c r="D265" s="41" t="n"/>
      <c r="E265" s="34" t="n"/>
      <c r="F265" s="34" t="n"/>
      <c r="G265" s="41" t="n"/>
      <c r="H265" s="41" t="n"/>
      <c r="I265" s="44" t="n"/>
      <c r="J265" s="34" t="n"/>
      <c r="K265" s="41" t="n"/>
      <c r="L265" s="41" t="n"/>
      <c r="M265" s="34" t="n"/>
    </row>
    <row r="266">
      <c r="A266" s="132" t="n"/>
      <c r="B266" s="41" t="n"/>
      <c r="C266" s="34" t="n"/>
      <c r="D266" s="41" t="n"/>
      <c r="E266" s="34" t="n"/>
      <c r="F266" s="34" t="n"/>
      <c r="G266" s="41" t="n"/>
      <c r="H266" s="41" t="n"/>
      <c r="I266" s="44" t="n"/>
      <c r="J266" s="34" t="n"/>
      <c r="K266" s="41" t="n"/>
      <c r="L266" s="41" t="n"/>
      <c r="M266" s="34" t="n"/>
    </row>
    <row r="267">
      <c r="A267" s="132" t="n"/>
      <c r="B267" s="41" t="n"/>
      <c r="C267" s="34" t="n"/>
      <c r="D267" s="41" t="n"/>
      <c r="E267" s="34" t="n"/>
      <c r="F267" s="34" t="n"/>
      <c r="G267" s="41" t="n"/>
      <c r="H267" s="41" t="n"/>
      <c r="I267" s="44" t="n"/>
      <c r="J267" s="34" t="n"/>
      <c r="K267" s="41" t="n"/>
      <c r="L267" s="41" t="n"/>
      <c r="M267" s="34" t="n"/>
    </row>
    <row r="268">
      <c r="A268" s="132" t="n"/>
      <c r="B268" s="41" t="n"/>
      <c r="C268" s="34" t="n"/>
      <c r="D268" s="41" t="n"/>
      <c r="E268" s="34" t="n"/>
      <c r="F268" s="34" t="n"/>
      <c r="G268" s="41" t="n"/>
      <c r="H268" s="41" t="n"/>
      <c r="I268" s="44" t="n"/>
      <c r="J268" s="34" t="n"/>
      <c r="K268" s="41" t="n"/>
      <c r="L268" s="41" t="n"/>
      <c r="M268" s="34" t="n"/>
    </row>
    <row r="269">
      <c r="A269" s="132" t="n"/>
      <c r="B269" s="41" t="n"/>
      <c r="C269" s="34" t="n"/>
      <c r="D269" s="41" t="n"/>
      <c r="E269" s="34" t="n"/>
      <c r="F269" s="34" t="n"/>
      <c r="G269" s="41" t="n"/>
      <c r="H269" s="41" t="n"/>
      <c r="I269" s="44" t="n"/>
      <c r="J269" s="34" t="n"/>
      <c r="K269" s="41" t="n"/>
      <c r="L269" s="41" t="n"/>
      <c r="M269" s="34" t="n"/>
    </row>
    <row r="270">
      <c r="A270" s="132" t="n"/>
      <c r="B270" s="41" t="n"/>
      <c r="C270" s="34" t="n"/>
      <c r="D270" s="41" t="n"/>
      <c r="E270" s="34" t="n"/>
      <c r="F270" s="34" t="n"/>
      <c r="G270" s="41" t="n"/>
      <c r="H270" s="41" t="n"/>
      <c r="I270" s="44" t="n"/>
      <c r="J270" s="34" t="n"/>
      <c r="K270" s="41" t="n"/>
      <c r="L270" s="41" t="n"/>
      <c r="M270" s="34" t="n"/>
    </row>
    <row r="271">
      <c r="A271" s="132" t="n"/>
      <c r="B271" s="41" t="n"/>
      <c r="C271" s="34" t="n"/>
      <c r="D271" s="41" t="n"/>
      <c r="E271" s="34" t="n"/>
      <c r="F271" s="34" t="n"/>
      <c r="G271" s="41" t="n"/>
      <c r="H271" s="41" t="n"/>
      <c r="I271" s="44" t="n"/>
      <c r="J271" s="34" t="n"/>
      <c r="K271" s="41" t="n"/>
      <c r="L271" s="41" t="n"/>
      <c r="M271" s="34" t="n"/>
    </row>
    <row r="272">
      <c r="A272" s="132" t="n"/>
      <c r="B272" s="41" t="n"/>
      <c r="C272" s="34" t="n"/>
      <c r="D272" s="41" t="n"/>
      <c r="E272" s="34" t="n"/>
      <c r="F272" s="34" t="n"/>
      <c r="G272" s="41" t="n"/>
      <c r="H272" s="41" t="n"/>
      <c r="I272" s="44" t="n"/>
      <c r="J272" s="34" t="n"/>
      <c r="K272" s="41" t="n"/>
      <c r="L272" s="41" t="n"/>
      <c r="M272" s="34" t="n"/>
    </row>
    <row r="273">
      <c r="A273" s="132" t="n"/>
      <c r="B273" s="41" t="n"/>
      <c r="C273" s="34" t="n"/>
      <c r="D273" s="41" t="n"/>
      <c r="E273" s="34" t="n"/>
      <c r="F273" s="34" t="n"/>
      <c r="G273" s="41" t="n"/>
      <c r="H273" s="41" t="n"/>
      <c r="I273" s="44" t="n"/>
      <c r="J273" s="34" t="n"/>
      <c r="K273" s="41" t="n"/>
      <c r="L273" s="41" t="n"/>
      <c r="M273" s="34" t="n"/>
    </row>
    <row r="274">
      <c r="A274" s="132" t="n"/>
      <c r="B274" s="41" t="n"/>
      <c r="C274" s="34" t="n"/>
      <c r="D274" s="41" t="n"/>
      <c r="E274" s="34" t="n"/>
      <c r="F274" s="34" t="n"/>
      <c r="G274" s="41" t="n"/>
      <c r="H274" s="41" t="n"/>
      <c r="I274" s="44" t="n"/>
      <c r="J274" s="34" t="n"/>
      <c r="K274" s="41" t="n"/>
      <c r="L274" s="41" t="n"/>
      <c r="M274" s="34" t="n"/>
    </row>
    <row r="275">
      <c r="A275" s="132" t="n"/>
      <c r="B275" s="41" t="n"/>
      <c r="C275" s="34" t="n"/>
      <c r="D275" s="41" t="n"/>
      <c r="E275" s="34" t="n"/>
      <c r="F275" s="34" t="n"/>
      <c r="G275" s="41" t="n"/>
      <c r="H275" s="41" t="n"/>
      <c r="I275" s="44" t="n"/>
      <c r="J275" s="34" t="n"/>
      <c r="K275" s="41" t="n"/>
      <c r="L275" s="41" t="n"/>
      <c r="M275" s="34" t="n"/>
    </row>
    <row r="276">
      <c r="A276" s="132" t="n"/>
      <c r="B276" s="41" t="n"/>
      <c r="C276" s="34" t="n"/>
      <c r="D276" s="41" t="n"/>
      <c r="E276" s="34" t="n"/>
      <c r="F276" s="34" t="n"/>
      <c r="G276" s="41" t="n"/>
      <c r="H276" s="41" t="n"/>
      <c r="I276" s="44" t="n"/>
      <c r="J276" s="34" t="n"/>
      <c r="K276" s="41" t="n"/>
      <c r="L276" s="41" t="n"/>
      <c r="M276" s="34" t="n"/>
    </row>
    <row r="277">
      <c r="A277" s="132" t="n"/>
      <c r="B277" s="41" t="n"/>
      <c r="C277" s="34" t="n"/>
      <c r="D277" s="41" t="n"/>
      <c r="E277" s="34" t="n"/>
      <c r="F277" s="34" t="n"/>
      <c r="G277" s="41" t="n"/>
      <c r="H277" s="41" t="n"/>
      <c r="I277" s="44" t="n"/>
      <c r="J277" s="34" t="n"/>
      <c r="K277" s="41" t="n"/>
      <c r="L277" s="41" t="n"/>
      <c r="M277" s="34" t="n"/>
    </row>
    <row r="278">
      <c r="A278" s="132" t="n"/>
      <c r="B278" s="41" t="n"/>
      <c r="C278" s="34" t="n"/>
      <c r="D278" s="41" t="n"/>
      <c r="E278" s="34" t="n"/>
      <c r="F278" s="34" t="n"/>
      <c r="G278" s="41" t="n"/>
      <c r="H278" s="41" t="n"/>
      <c r="I278" s="44" t="n"/>
      <c r="J278" s="34" t="n"/>
      <c r="K278" s="41" t="n"/>
      <c r="L278" s="41" t="n"/>
      <c r="M278" s="34" t="n"/>
    </row>
    <row r="279">
      <c r="A279" s="132" t="n"/>
      <c r="B279" s="41" t="n"/>
      <c r="C279" s="34" t="n"/>
      <c r="D279" s="41" t="n"/>
      <c r="E279" s="34" t="n"/>
      <c r="F279" s="34" t="n"/>
      <c r="G279" s="41" t="n"/>
      <c r="H279" s="41" t="n"/>
      <c r="I279" s="44" t="n"/>
      <c r="J279" s="34" t="n"/>
      <c r="K279" s="41" t="n"/>
      <c r="L279" s="41" t="n"/>
      <c r="M279" s="34" t="n"/>
    </row>
    <row r="280">
      <c r="A280" s="132" t="n"/>
      <c r="B280" s="41" t="n"/>
      <c r="C280" s="34" t="n"/>
      <c r="D280" s="41" t="n"/>
      <c r="E280" s="34" t="n"/>
      <c r="F280" s="34" t="n"/>
      <c r="G280" s="41" t="n"/>
      <c r="H280" s="41" t="n"/>
      <c r="I280" s="44" t="n"/>
      <c r="J280" s="34" t="n"/>
      <c r="K280" s="41" t="n"/>
      <c r="L280" s="41" t="n"/>
      <c r="M280" s="34" t="n"/>
    </row>
    <row r="281">
      <c r="A281" s="132" t="n"/>
      <c r="B281" s="41" t="n"/>
      <c r="C281" s="34" t="n"/>
      <c r="D281" s="41" t="n"/>
      <c r="E281" s="34" t="n"/>
      <c r="F281" s="34" t="n"/>
      <c r="G281" s="41" t="n"/>
      <c r="H281" s="41" t="n"/>
      <c r="I281" s="44" t="n"/>
      <c r="J281" s="34" t="n"/>
      <c r="K281" s="41" t="n"/>
      <c r="L281" s="41" t="n"/>
      <c r="M281" s="34" t="n"/>
    </row>
    <row r="282">
      <c r="A282" s="132" t="n"/>
      <c r="B282" s="41" t="n"/>
      <c r="C282" s="34" t="n"/>
      <c r="D282" s="41" t="n"/>
      <c r="E282" s="34" t="n"/>
      <c r="F282" s="34" t="n"/>
      <c r="G282" s="41" t="n"/>
      <c r="H282" s="41" t="n"/>
      <c r="I282" s="44" t="n"/>
      <c r="J282" s="34" t="n"/>
      <c r="K282" s="41" t="n"/>
      <c r="L282" s="41" t="n"/>
      <c r="M282" s="34" t="n"/>
    </row>
    <row r="283">
      <c r="A283" s="132" t="n"/>
      <c r="B283" s="41" t="n"/>
      <c r="C283" s="34" t="n"/>
      <c r="D283" s="41" t="n"/>
      <c r="E283" s="34" t="n"/>
      <c r="F283" s="34" t="n"/>
      <c r="G283" s="41" t="n"/>
      <c r="H283" s="41" t="n"/>
      <c r="I283" s="44" t="n"/>
      <c r="J283" s="34" t="n"/>
      <c r="K283" s="41" t="n"/>
      <c r="L283" s="41" t="n"/>
      <c r="M283" s="34" t="n"/>
    </row>
    <row r="284">
      <c r="A284" s="132" t="n"/>
      <c r="B284" s="41" t="n"/>
      <c r="C284" s="34" t="n"/>
      <c r="D284" s="41" t="n"/>
      <c r="E284" s="34" t="n"/>
      <c r="F284" s="34" t="n"/>
      <c r="G284" s="41" t="n"/>
      <c r="H284" s="41" t="n"/>
      <c r="I284" s="44" t="n"/>
      <c r="J284" s="34" t="n"/>
      <c r="K284" s="41" t="n"/>
      <c r="L284" s="41" t="n"/>
      <c r="M284" s="34" t="n"/>
    </row>
    <row r="285">
      <c r="A285" s="132" t="n"/>
      <c r="B285" s="41" t="n"/>
      <c r="C285" s="34" t="n"/>
      <c r="D285" s="41" t="n"/>
      <c r="E285" s="34" t="n"/>
      <c r="F285" s="34" t="n"/>
      <c r="G285" s="41" t="n"/>
      <c r="H285" s="41" t="n"/>
      <c r="I285" s="44" t="n"/>
      <c r="J285" s="34" t="n"/>
      <c r="K285" s="41" t="n"/>
      <c r="L285" s="41" t="n"/>
      <c r="M285" s="34" t="n"/>
    </row>
    <row r="286">
      <c r="A286" s="132" t="n"/>
      <c r="B286" s="41" t="n"/>
      <c r="C286" s="34" t="n"/>
      <c r="D286" s="41" t="n"/>
      <c r="E286" s="34" t="n"/>
      <c r="F286" s="34" t="n"/>
      <c r="G286" s="41" t="n"/>
      <c r="H286" s="41" t="n"/>
      <c r="I286" s="44" t="n"/>
      <c r="J286" s="34" t="n"/>
      <c r="K286" s="41" t="n"/>
      <c r="L286" s="41" t="n"/>
      <c r="M286" s="34" t="n"/>
    </row>
    <row r="287">
      <c r="A287" s="132" t="n"/>
      <c r="B287" s="41" t="n"/>
      <c r="C287" s="34" t="n"/>
      <c r="D287" s="41" t="n"/>
      <c r="E287" s="34" t="n"/>
      <c r="F287" s="34" t="n"/>
      <c r="G287" s="41" t="n"/>
      <c r="H287" s="41" t="n"/>
      <c r="I287" s="44" t="n"/>
      <c r="J287" s="34" t="n"/>
      <c r="K287" s="41" t="n"/>
      <c r="L287" s="41" t="n"/>
      <c r="M287" s="34" t="n"/>
    </row>
    <row r="288">
      <c r="A288" s="132" t="n"/>
      <c r="B288" s="41" t="n"/>
      <c r="C288" s="34" t="n"/>
      <c r="D288" s="41" t="n"/>
      <c r="E288" s="34" t="n"/>
      <c r="F288" s="34" t="n"/>
      <c r="G288" s="41" t="n"/>
      <c r="H288" s="41" t="n"/>
      <c r="I288" s="44" t="n"/>
      <c r="J288" s="34" t="n"/>
      <c r="K288" s="41" t="n"/>
      <c r="L288" s="41" t="n"/>
      <c r="M288" s="34" t="n"/>
    </row>
    <row r="289">
      <c r="A289" s="132" t="n"/>
      <c r="B289" s="41" t="n"/>
      <c r="C289" s="34" t="n"/>
      <c r="D289" s="41" t="n"/>
      <c r="E289" s="34" t="n"/>
      <c r="F289" s="34" t="n"/>
      <c r="G289" s="41" t="n"/>
      <c r="H289" s="41" t="n"/>
      <c r="I289" s="44" t="n"/>
      <c r="J289" s="34" t="n"/>
      <c r="K289" s="41" t="n"/>
      <c r="L289" s="41" t="n"/>
      <c r="M289" s="34" t="n"/>
    </row>
    <row r="290">
      <c r="A290" s="132" t="n"/>
      <c r="B290" s="41" t="n"/>
      <c r="C290" s="34" t="n"/>
      <c r="D290" s="41" t="n"/>
      <c r="E290" s="34" t="n"/>
      <c r="F290" s="34" t="n"/>
      <c r="G290" s="41" t="n"/>
      <c r="H290" s="41" t="n"/>
      <c r="I290" s="44" t="n"/>
      <c r="J290" s="34" t="n"/>
      <c r="K290" s="41" t="n"/>
      <c r="L290" s="41" t="n"/>
      <c r="M290" s="34" t="n"/>
    </row>
    <row r="291">
      <c r="A291" s="132" t="n"/>
      <c r="B291" s="41" t="n"/>
      <c r="C291" s="34" t="n"/>
      <c r="D291" s="41" t="n"/>
      <c r="E291" s="34" t="n"/>
      <c r="F291" s="34" t="n"/>
      <c r="G291" s="41" t="n"/>
      <c r="H291" s="41" t="n"/>
      <c r="I291" s="44" t="n"/>
      <c r="J291" s="34" t="n"/>
      <c r="K291" s="41" t="n"/>
      <c r="L291" s="41" t="n"/>
      <c r="M291" s="34" t="n"/>
    </row>
    <row r="292">
      <c r="A292" s="132" t="n"/>
      <c r="B292" s="41" t="n"/>
      <c r="C292" s="34" t="n"/>
      <c r="D292" s="41" t="n"/>
      <c r="E292" s="34" t="n"/>
      <c r="F292" s="34" t="n"/>
      <c r="G292" s="41" t="n"/>
      <c r="H292" s="41" t="n"/>
      <c r="I292" s="44" t="n"/>
      <c r="J292" s="34" t="n"/>
      <c r="K292" s="41" t="n"/>
      <c r="L292" s="41" t="n"/>
      <c r="M292" s="34" t="n"/>
    </row>
    <row r="293">
      <c r="A293" s="132" t="n"/>
      <c r="B293" s="41" t="n"/>
      <c r="C293" s="34" t="n"/>
      <c r="D293" s="41" t="n"/>
      <c r="E293" s="34" t="n"/>
      <c r="F293" s="34" t="n"/>
      <c r="G293" s="41" t="n"/>
      <c r="H293" s="41" t="n"/>
      <c r="I293" s="44" t="n"/>
      <c r="J293" s="34" t="n"/>
      <c r="K293" s="41" t="n"/>
      <c r="L293" s="41" t="n"/>
      <c r="M293" s="34" t="n"/>
    </row>
    <row r="294">
      <c r="A294" s="132" t="n"/>
      <c r="B294" s="41" t="n"/>
      <c r="C294" s="34" t="n"/>
      <c r="D294" s="41" t="n"/>
      <c r="E294" s="34" t="n"/>
      <c r="F294" s="34" t="n"/>
      <c r="G294" s="41" t="n"/>
      <c r="H294" s="41" t="n"/>
      <c r="I294" s="44" t="n"/>
      <c r="J294" s="34" t="n"/>
      <c r="K294" s="41" t="n"/>
      <c r="L294" s="41" t="n"/>
      <c r="M294" s="34" t="n"/>
    </row>
    <row r="295">
      <c r="A295" s="132" t="n"/>
      <c r="B295" s="41" t="n"/>
      <c r="C295" s="34" t="n"/>
      <c r="D295" s="41" t="n"/>
      <c r="E295" s="34" t="n"/>
      <c r="F295" s="34" t="n"/>
      <c r="G295" s="41" t="n"/>
      <c r="H295" s="41" t="n"/>
      <c r="I295" s="44" t="n"/>
      <c r="J295" s="34" t="n"/>
      <c r="K295" s="41" t="n"/>
      <c r="L295" s="41" t="n"/>
      <c r="M295" s="34" t="n"/>
    </row>
    <row r="296">
      <c r="A296" s="132" t="n"/>
      <c r="B296" s="41" t="n"/>
      <c r="C296" s="34" t="n"/>
      <c r="D296" s="41" t="n"/>
      <c r="E296" s="34" t="n"/>
      <c r="F296" s="34" t="n"/>
      <c r="G296" s="41" t="n"/>
      <c r="H296" s="41" t="n"/>
      <c r="I296" s="44" t="n"/>
      <c r="J296" s="34" t="n"/>
      <c r="K296" s="41" t="n"/>
      <c r="L296" s="41" t="n"/>
      <c r="M296" s="34" t="n"/>
    </row>
    <row r="297">
      <c r="A297" s="132" t="n"/>
      <c r="B297" s="41" t="n"/>
      <c r="C297" s="34" t="n"/>
      <c r="D297" s="41" t="n"/>
      <c r="E297" s="34" t="n"/>
      <c r="F297" s="34" t="n"/>
      <c r="G297" s="41" t="n"/>
      <c r="H297" s="41" t="n"/>
      <c r="I297" s="44" t="n"/>
      <c r="J297" s="34" t="n"/>
      <c r="K297" s="41" t="n"/>
      <c r="L297" s="41" t="n"/>
      <c r="M297" s="34" t="n"/>
    </row>
    <row r="298">
      <c r="A298" s="132" t="n"/>
      <c r="B298" s="41" t="n"/>
      <c r="C298" s="34" t="n"/>
      <c r="D298" s="41" t="n"/>
      <c r="E298" s="34" t="n"/>
      <c r="F298" s="34" t="n"/>
      <c r="G298" s="41" t="n"/>
      <c r="H298" s="41" t="n"/>
      <c r="I298" s="44" t="n"/>
      <c r="J298" s="34" t="n"/>
      <c r="K298" s="41" t="n"/>
      <c r="L298" s="41" t="n"/>
      <c r="M298" s="34" t="n"/>
    </row>
    <row r="299">
      <c r="A299" s="132" t="n"/>
      <c r="B299" s="41" t="n"/>
      <c r="C299" s="34" t="n"/>
      <c r="D299" s="41" t="n"/>
      <c r="E299" s="34" t="n"/>
      <c r="F299" s="34" t="n"/>
      <c r="G299" s="41" t="n"/>
      <c r="H299" s="41" t="n"/>
      <c r="I299" s="44" t="n"/>
      <c r="J299" s="34" t="n"/>
      <c r="K299" s="41" t="n"/>
      <c r="L299" s="41" t="n"/>
      <c r="M299" s="34" t="n"/>
    </row>
    <row r="300">
      <c r="A300" s="132" t="n"/>
      <c r="B300" s="41" t="n"/>
      <c r="C300" s="34" t="n"/>
      <c r="D300" s="41" t="n"/>
      <c r="E300" s="34" t="n"/>
      <c r="F300" s="34" t="n"/>
      <c r="G300" s="41" t="n"/>
      <c r="H300" s="41" t="n"/>
      <c r="I300" s="44" t="n"/>
      <c r="J300" s="34" t="n"/>
      <c r="K300" s="41" t="n"/>
      <c r="L300" s="41" t="n"/>
      <c r="M300" s="34" t="n"/>
    </row>
    <row r="301">
      <c r="A301" s="132" t="n"/>
      <c r="B301" s="41" t="n"/>
      <c r="C301" s="34" t="n"/>
      <c r="D301" s="41" t="n"/>
      <c r="E301" s="34" t="n"/>
      <c r="F301" s="34" t="n"/>
      <c r="G301" s="41" t="n"/>
      <c r="H301" s="41" t="n"/>
      <c r="I301" s="44" t="n"/>
      <c r="J301" s="34" t="n"/>
      <c r="K301" s="41" t="n"/>
      <c r="L301" s="41" t="n"/>
      <c r="M301" s="34" t="n"/>
    </row>
    <row r="302">
      <c r="A302" s="132" t="n"/>
      <c r="B302" s="41" t="n"/>
      <c r="C302" s="34" t="n"/>
      <c r="D302" s="41" t="n"/>
      <c r="E302" s="34" t="n"/>
      <c r="F302" s="34" t="n"/>
      <c r="G302" s="41" t="n"/>
      <c r="H302" s="41" t="n"/>
      <c r="I302" s="44" t="n"/>
      <c r="J302" s="34" t="n"/>
      <c r="K302" s="41" t="n"/>
      <c r="L302" s="41" t="n"/>
      <c r="M302" s="34" t="n"/>
    </row>
    <row r="303">
      <c r="A303" s="132" t="n"/>
      <c r="B303" s="41" t="n"/>
      <c r="C303" s="34" t="n"/>
      <c r="D303" s="41" t="n"/>
      <c r="E303" s="34" t="n"/>
      <c r="F303" s="34" t="n"/>
      <c r="G303" s="41" t="n"/>
      <c r="H303" s="41" t="n"/>
      <c r="I303" s="44" t="n"/>
      <c r="J303" s="34" t="n"/>
      <c r="K303" s="41" t="n"/>
      <c r="L303" s="41" t="n"/>
      <c r="M303" s="34" t="n"/>
    </row>
    <row r="304">
      <c r="A304" s="132" t="n"/>
      <c r="B304" s="41" t="n"/>
      <c r="C304" s="34" t="n"/>
      <c r="D304" s="41" t="n"/>
      <c r="E304" s="34" t="n"/>
      <c r="F304" s="34" t="n"/>
      <c r="G304" s="41" t="n"/>
      <c r="H304" s="41" t="n"/>
      <c r="I304" s="44" t="n"/>
      <c r="J304" s="34" t="n"/>
      <c r="K304" s="41" t="n"/>
      <c r="L304" s="41" t="n"/>
      <c r="M304" s="34" t="n"/>
    </row>
    <row r="305">
      <c r="A305" s="132" t="n"/>
      <c r="B305" s="41" t="n"/>
      <c r="C305" s="34" t="n"/>
      <c r="D305" s="41" t="n"/>
      <c r="E305" s="34" t="n"/>
      <c r="F305" s="34" t="n"/>
      <c r="G305" s="41" t="n"/>
      <c r="H305" s="41" t="n"/>
      <c r="I305" s="44" t="n"/>
      <c r="J305" s="34" t="n"/>
      <c r="K305" s="41" t="n"/>
      <c r="L305" s="41" t="n"/>
      <c r="M305" s="34" t="n"/>
    </row>
    <row r="306">
      <c r="A306" s="132" t="n"/>
      <c r="B306" s="41" t="n"/>
      <c r="C306" s="34" t="n"/>
      <c r="D306" s="41" t="n"/>
      <c r="E306" s="34" t="n"/>
      <c r="F306" s="34" t="n"/>
      <c r="G306" s="41" t="n"/>
      <c r="H306" s="41" t="n"/>
      <c r="I306" s="44" t="n"/>
      <c r="J306" s="34" t="n"/>
      <c r="K306" s="41" t="n"/>
      <c r="L306" s="41" t="n"/>
      <c r="M306" s="34" t="n"/>
    </row>
  </sheetData>
  <mergeCells count="2">
    <mergeCell ref="A2:M2"/>
    <mergeCell ref="A1:M1"/>
  </mergeCells>
  <dataValidations count="6">
    <dataValidation sqref="C7:C306" showDropDown="0" showInputMessage="0" showErrorMessage="0" allowBlank="1" error="Pick a value from the list." promptTitle="Found by" type="list">
      <formula1>=LISTS!$H$5:$H$10</formula1>
    </dataValidation>
    <dataValidation sqref="D7:D306" showDropDown="0" showInputMessage="0" showErrorMessage="0" allowBlank="1" error="Pick a value from the list." promptTitle="Milestone" type="list">
      <formula1>=LISTS!$D$5:$D$8</formula1>
    </dataValidation>
    <dataValidation sqref="E7:E306" showDropDown="0" showInputMessage="0" showErrorMessage="0" allowBlank="1" error="Pick a value from the list." promptTitle="Defect type" type="list">
      <formula1>=LISTS!$C$5:$C$19</formula1>
    </dataValidation>
    <dataValidation sqref="G7:H306" showDropDown="0" showInputMessage="0" showErrorMessage="0" allowBlank="1" error="Pick a value from the list." promptTitle="Phase" type="list">
      <formula1>=LISTS!$A$5:$A$31</formula1>
    </dataValidation>
    <dataValidation sqref="K7:K306" showDropDown="0" showInputMessage="0" showErrorMessage="0" allowBlank="1" error="Pick a value from the list." promptTitle="Severity" type="list">
      <formula1>=LISTS!$M$5:$M$8</formula1>
    </dataValidation>
    <dataValidation sqref="L7:L306" showDropDown="0" showInputMessage="0" showErrorMessage="0" allowBlank="1" error="Pick a value from the list." promptTitle="Originated in AI-generated code?" type="list">
      <formula1>=LISTS!$I$5:$I$6</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tabColor rgb="0014505C"/>
    <outlinePr summaryBelow="1" summaryRight="1"/>
    <pageSetUpPr fitToPage="1"/>
  </sheetPr>
  <dimension ref="A1:L306"/>
  <sheetViews>
    <sheetView showGridLines="0" workbookViewId="0">
      <pane ySplit="6" topLeftCell="A7" activePane="bottomLeft" state="frozen"/>
      <selection pane="bottomLeft" activeCell="A1" sqref="A1"/>
    </sheetView>
  </sheetViews>
  <sheetFormatPr baseColWidth="8" defaultRowHeight="15" outlineLevelCol="0"/>
  <cols>
    <col width="11" customWidth="1" min="1" max="1"/>
    <col width="9" customWidth="1" min="2" max="2"/>
    <col width="22" customWidth="1" min="3" max="3"/>
    <col width="40" customWidth="1" min="4" max="4"/>
    <col width="12" customWidth="1" min="5" max="5"/>
    <col width="28" customWidth="1" min="6" max="6"/>
    <col width="28" customWidth="1" min="7" max="7"/>
    <col width="10" customWidth="1" min="8" max="8"/>
    <col width="11" customWidth="1" min="9" max="9"/>
    <col width="18" customWidth="1" min="10" max="10"/>
    <col width="12" customWidth="1" min="11" max="11"/>
    <col width="11" customWidth="1" min="12" max="12"/>
  </cols>
  <sheetData>
    <row r="1" ht="30" customHeight="1">
      <c r="A1" s="1" t="inlineStr">
        <is>
          <t>Form LOGTEST  -  Test Case Log</t>
        </is>
      </c>
    </row>
    <row r="2" ht="16" customHeight="1">
      <c r="A2" s="2" t="inlineStr">
        <is>
          <t>The evidence behind the Testing &amp; Release rubric. Automated tests still get a row.</t>
        </is>
      </c>
    </row>
    <row r="4">
      <c r="A4" s="23" t="inlineStr">
        <is>
          <t>Team</t>
        </is>
      </c>
      <c r="B4" s="24">
        <f>SETUP!$C$10</f>
        <v/>
      </c>
      <c r="E4" s="23" t="inlineStr">
        <is>
          <t>Cases</t>
        </is>
      </c>
      <c r="F4" s="67">
        <f>COUNTA(LOGTEST!$A$7:$A$306)</f>
        <v/>
      </c>
      <c r="G4" s="23" t="inlineStr">
        <is>
          <t>Passed</t>
        </is>
      </c>
      <c r="H4" s="67">
        <f>COUNTIF(LOGTEST!$H$7:$H$306,"Pass")</f>
        <v/>
      </c>
      <c r="I4" s="23" t="inlineStr">
        <is>
          <t>Pass rate</t>
        </is>
      </c>
      <c r="J4" s="131">
        <f>IF(COUNTA(LOGTEST!$H$7:$H$306)=0,"",COUNTIF(LOGTEST!$H$7:$H$306,"Pass")/COUNTA(LOGTEST!$H$7:$H$306))</f>
        <v/>
      </c>
      <c r="K4" s="23" t="inlineStr">
        <is>
          <t>Automated</t>
        </is>
      </c>
      <c r="L4" s="67">
        <f>COUNTIF(LOGTEST!$L$7:$L$306,"Yes")</f>
        <v/>
      </c>
    </row>
    <row r="6" ht="32" customHeight="1">
      <c r="A6" s="6" t="inlineStr">
        <is>
          <t>Date run</t>
        </is>
      </c>
      <c r="B6" s="6" t="inlineStr">
        <is>
          <t>Test ID</t>
        </is>
      </c>
      <c r="C6" s="6" t="inlineStr">
        <is>
          <t>Module / Screen</t>
        </is>
      </c>
      <c r="D6" s="6" t="inlineStr">
        <is>
          <t>What is being tested</t>
        </is>
      </c>
      <c r="E6" s="6" t="inlineStr">
        <is>
          <t>Type</t>
        </is>
      </c>
      <c r="F6" s="6" t="inlineStr">
        <is>
          <t>Expected result</t>
        </is>
      </c>
      <c r="G6" s="6" t="inlineStr">
        <is>
          <t>Actual result</t>
        </is>
      </c>
      <c r="H6" s="6" t="inlineStr">
        <is>
          <t>Status</t>
        </is>
      </c>
      <c r="I6" s="6" t="inlineStr">
        <is>
          <t>Milestone</t>
        </is>
      </c>
      <c r="J6" s="6" t="inlineStr">
        <is>
          <t>Tester</t>
        </is>
      </c>
      <c r="K6" s="6" t="inlineStr">
        <is>
          <t>Defect ref (LOGD)</t>
        </is>
      </c>
      <c r="L6" s="6" t="inlineStr">
        <is>
          <t>Automated?</t>
        </is>
      </c>
    </row>
    <row r="7">
      <c r="A7" s="132" t="n">
        <v>46342</v>
      </c>
      <c r="B7" s="41" t="inlineStr">
        <is>
          <t>TC001</t>
        </is>
      </c>
      <c r="C7" s="34" t="inlineStr">
        <is>
          <t>Order entry screen</t>
        </is>
      </c>
      <c r="D7" s="34" t="inlineStr">
        <is>
          <t>Order total sums line amounts correctly</t>
        </is>
      </c>
      <c r="E7" s="41" t="inlineStr">
        <is>
          <t>Unit</t>
        </is>
      </c>
      <c r="F7" s="34" t="inlineStr">
        <is>
          <t>Total equals sum of line amounts</t>
        </is>
      </c>
      <c r="G7" s="34" t="inlineStr">
        <is>
          <t>As expected</t>
        </is>
      </c>
      <c r="H7" s="41" t="inlineStr">
        <is>
          <t>Pass</t>
        </is>
      </c>
      <c r="I7" s="41" t="inlineStr">
        <is>
          <t>M2</t>
        </is>
      </c>
      <c r="J7" s="34" t="inlineStr">
        <is>
          <t>Aisyah Binti Rahman</t>
        </is>
      </c>
      <c r="K7" s="41" t="n"/>
      <c r="L7" s="41" t="inlineStr">
        <is>
          <t>Yes</t>
        </is>
      </c>
    </row>
    <row r="8">
      <c r="A8" s="132" t="n">
        <v>46343</v>
      </c>
      <c r="B8" s="41" t="inlineStr">
        <is>
          <t>TC002</t>
        </is>
      </c>
      <c r="C8" s="34" t="inlineStr">
        <is>
          <t>Catalogue screen</t>
        </is>
      </c>
      <c r="D8" s="34" t="inlineStr">
        <is>
          <t>Order total recalculates when a quantity changes</t>
        </is>
      </c>
      <c r="E8" s="41" t="inlineStr">
        <is>
          <t>Unit</t>
        </is>
      </c>
      <c r="F8" s="34" t="inlineStr">
        <is>
          <t>Total updates immediately</t>
        </is>
      </c>
      <c r="G8" s="34" t="inlineStr">
        <is>
          <t>As expected</t>
        </is>
      </c>
      <c r="H8" s="41" t="inlineStr">
        <is>
          <t>Pass</t>
        </is>
      </c>
      <c r="I8" s="41" t="inlineStr">
        <is>
          <t>M2</t>
        </is>
      </c>
      <c r="J8" s="34" t="inlineStr">
        <is>
          <t>Daniel Wong Jun Hao</t>
        </is>
      </c>
      <c r="K8" s="41" t="n"/>
      <c r="L8" s="41" t="inlineStr">
        <is>
          <t>Yes</t>
        </is>
      </c>
    </row>
    <row r="9">
      <c r="A9" s="132" t="n">
        <v>46344</v>
      </c>
      <c r="B9" s="41" t="inlineStr">
        <is>
          <t>TC003</t>
        </is>
      </c>
      <c r="C9" s="34" t="inlineStr">
        <is>
          <t>Invoice &amp; history</t>
        </is>
      </c>
      <c r="D9" s="34" t="inlineStr">
        <is>
          <t>Zero-quantity line is rejected</t>
        </is>
      </c>
      <c r="E9" s="41" t="inlineStr">
        <is>
          <t>Unit</t>
        </is>
      </c>
      <c r="F9" s="34" t="inlineStr">
        <is>
          <t>Validation error shown, line not added</t>
        </is>
      </c>
      <c r="G9" s="34" t="inlineStr">
        <is>
          <t>As expected</t>
        </is>
      </c>
      <c r="H9" s="41" t="inlineStr">
        <is>
          <t>Pass</t>
        </is>
      </c>
      <c r="I9" s="41" t="inlineStr">
        <is>
          <t>M2</t>
        </is>
      </c>
      <c r="J9" s="34" t="inlineStr">
        <is>
          <t>Mei Ling Chong</t>
        </is>
      </c>
      <c r="K9" s="41" t="n"/>
      <c r="L9" s="41" t="inlineStr">
        <is>
          <t>Yes</t>
        </is>
      </c>
    </row>
    <row r="10">
      <c r="A10" s="132" t="n">
        <v>46345</v>
      </c>
      <c r="B10" s="41" t="inlineStr">
        <is>
          <t>TC004</t>
        </is>
      </c>
      <c r="C10" s="34" t="inlineStr">
        <is>
          <t>Order &amp; catalogue service</t>
        </is>
      </c>
      <c r="D10" s="34" t="inlineStr">
        <is>
          <t>Negative quantity is rejected</t>
        </is>
      </c>
      <c r="E10" s="41" t="inlineStr">
        <is>
          <t>Unit</t>
        </is>
      </c>
      <c r="F10" s="34" t="inlineStr">
        <is>
          <t>Validation error shown</t>
        </is>
      </c>
      <c r="G10" s="34" t="inlineStr">
        <is>
          <t>As expected</t>
        </is>
      </c>
      <c r="H10" s="41" t="inlineStr">
        <is>
          <t>Pass</t>
        </is>
      </c>
      <c r="I10" s="41" t="inlineStr">
        <is>
          <t>M2</t>
        </is>
      </c>
      <c r="J10" s="34" t="inlineStr">
        <is>
          <t>Harith Bin Ismail</t>
        </is>
      </c>
      <c r="K10" s="41" t="n"/>
      <c r="L10" s="41" t="inlineStr">
        <is>
          <t>Yes</t>
        </is>
      </c>
    </row>
    <row r="11">
      <c r="A11" s="132" t="n">
        <v>46346</v>
      </c>
      <c r="B11" s="41" t="inlineStr">
        <is>
          <t>TC005</t>
        </is>
      </c>
      <c r="C11" s="34" t="inlineStr">
        <is>
          <t>Local store &amp; sync</t>
        </is>
      </c>
      <c r="D11" s="34" t="inlineStr">
        <is>
          <t>Discount applied after tax</t>
        </is>
      </c>
      <c r="E11" s="41" t="inlineStr">
        <is>
          <t>Unit</t>
        </is>
      </c>
      <c r="F11" s="34" t="inlineStr">
        <is>
          <t>Invoice total matches the worked example</t>
        </is>
      </c>
      <c r="G11" s="34" t="inlineStr">
        <is>
          <t>As expected</t>
        </is>
      </c>
      <c r="H11" s="41" t="inlineStr">
        <is>
          <t>Pass</t>
        </is>
      </c>
      <c r="I11" s="41" t="inlineStr">
        <is>
          <t>M2</t>
        </is>
      </c>
      <c r="J11" s="34" t="inlineStr">
        <is>
          <t>Priya Nair</t>
        </is>
      </c>
      <c r="K11" s="41" t="n"/>
      <c r="L11" s="41" t="inlineStr">
        <is>
          <t>Yes</t>
        </is>
      </c>
    </row>
    <row r="12">
      <c r="A12" s="132" t="n">
        <v>46347</v>
      </c>
      <c r="B12" s="41" t="inlineStr">
        <is>
          <t>TC006</t>
        </is>
      </c>
      <c r="C12" s="34" t="inlineStr">
        <is>
          <t>Shared widgets &amp; theme</t>
        </is>
      </c>
      <c r="D12" s="34" t="inlineStr">
        <is>
          <t>Price at order time is used, not latest price</t>
        </is>
      </c>
      <c r="E12" s="41" t="inlineStr">
        <is>
          <t>Unit</t>
        </is>
      </c>
      <c r="F12" s="34" t="inlineStr">
        <is>
          <t>Historic price returned</t>
        </is>
      </c>
      <c r="G12" s="34" t="inlineStr">
        <is>
          <t>As expected</t>
        </is>
      </c>
      <c r="H12" s="41" t="inlineStr">
        <is>
          <t>Pass</t>
        </is>
      </c>
      <c r="I12" s="41" t="inlineStr">
        <is>
          <t>M2</t>
        </is>
      </c>
      <c r="J12" s="34" t="inlineStr">
        <is>
          <t>Aisyah Binti Rahman</t>
        </is>
      </c>
      <c r="K12" s="41" t="n"/>
      <c r="L12" s="41" t="inlineStr">
        <is>
          <t>Yes</t>
        </is>
      </c>
    </row>
    <row r="13">
      <c r="A13" s="132" t="n">
        <v>46342</v>
      </c>
      <c r="B13" s="41" t="inlineStr">
        <is>
          <t>TC007</t>
        </is>
      </c>
      <c r="C13" s="34" t="inlineStr">
        <is>
          <t>Order entry screen</t>
        </is>
      </c>
      <c r="D13" s="34" t="inlineStr">
        <is>
          <t>Rounding applied once, on the invoice total</t>
        </is>
      </c>
      <c r="E13" s="41" t="inlineStr">
        <is>
          <t>Unit</t>
        </is>
      </c>
      <c r="F13" s="34" t="inlineStr">
        <is>
          <t>Total matches to two decimals</t>
        </is>
      </c>
      <c r="G13" s="34" t="inlineStr">
        <is>
          <t>As expected</t>
        </is>
      </c>
      <c r="H13" s="41" t="inlineStr">
        <is>
          <t>Pass</t>
        </is>
      </c>
      <c r="I13" s="41" t="inlineStr">
        <is>
          <t>M2</t>
        </is>
      </c>
      <c r="J13" s="34" t="inlineStr">
        <is>
          <t>Daniel Wong Jun Hao</t>
        </is>
      </c>
      <c r="K13" s="41" t="n"/>
      <c r="L13" s="41" t="inlineStr">
        <is>
          <t>Yes</t>
        </is>
      </c>
    </row>
    <row r="14">
      <c r="A14" s="132" t="n">
        <v>46343</v>
      </c>
      <c r="B14" s="41" t="inlineStr">
        <is>
          <t>TC008</t>
        </is>
      </c>
      <c r="C14" s="34" t="inlineStr">
        <is>
          <t>Catalogue screen</t>
        </is>
      </c>
      <c r="D14" s="34" t="inlineStr">
        <is>
          <t>Invoice number unique across devices</t>
        </is>
      </c>
      <c r="E14" s="41" t="inlineStr">
        <is>
          <t>Unit</t>
        </is>
      </c>
      <c r="F14" s="34" t="inlineStr">
        <is>
          <t>No duplicate for 1000 generated ids</t>
        </is>
      </c>
      <c r="G14" s="34" t="inlineStr">
        <is>
          <t>As expected</t>
        </is>
      </c>
      <c r="H14" s="41" t="inlineStr">
        <is>
          <t>Pass</t>
        </is>
      </c>
      <c r="I14" s="41" t="inlineStr">
        <is>
          <t>M2</t>
        </is>
      </c>
      <c r="J14" s="34" t="inlineStr">
        <is>
          <t>Mei Ling Chong</t>
        </is>
      </c>
      <c r="K14" s="41" t="n"/>
      <c r="L14" s="41" t="inlineStr">
        <is>
          <t>Yes</t>
        </is>
      </c>
    </row>
    <row r="15">
      <c r="A15" s="132" t="n">
        <v>46344</v>
      </c>
      <c r="B15" s="41" t="inlineStr">
        <is>
          <t>TC009</t>
        </is>
      </c>
      <c r="C15" s="34" t="inlineStr">
        <is>
          <t>Invoice &amp; history</t>
        </is>
      </c>
      <c r="D15" s="34" t="inlineStr">
        <is>
          <t>Empty order cannot be submitted</t>
        </is>
      </c>
      <c r="E15" s="41" t="inlineStr">
        <is>
          <t>Unit</t>
        </is>
      </c>
      <c r="F15" s="34" t="inlineStr">
        <is>
          <t>Submit rejected with a message</t>
        </is>
      </c>
      <c r="G15" s="34" t="inlineStr">
        <is>
          <t>As expected</t>
        </is>
      </c>
      <c r="H15" s="41" t="inlineStr">
        <is>
          <t>Pass</t>
        </is>
      </c>
      <c r="I15" s="41" t="inlineStr">
        <is>
          <t>M2</t>
        </is>
      </c>
      <c r="J15" s="34" t="inlineStr">
        <is>
          <t>Harith Bin Ismail</t>
        </is>
      </c>
      <c r="K15" s="41" t="n"/>
      <c r="L15" s="41" t="inlineStr">
        <is>
          <t>Yes</t>
        </is>
      </c>
    </row>
    <row r="16">
      <c r="A16" s="132" t="n">
        <v>46345</v>
      </c>
      <c r="B16" s="41" t="inlineStr">
        <is>
          <t>TC010</t>
        </is>
      </c>
      <c r="C16" s="34" t="inlineStr">
        <is>
          <t>Order &amp; catalogue service</t>
        </is>
      </c>
      <c r="D16" s="34" t="inlineStr">
        <is>
          <t>Catalogue filter returns matching items only</t>
        </is>
      </c>
      <c r="E16" s="41" t="inlineStr">
        <is>
          <t>Unit</t>
        </is>
      </c>
      <c r="F16" s="34" t="inlineStr">
        <is>
          <t>Filtered list matches the query</t>
        </is>
      </c>
      <c r="G16" s="34" t="inlineStr">
        <is>
          <t>As expected</t>
        </is>
      </c>
      <c r="H16" s="41" t="inlineStr">
        <is>
          <t>Pass</t>
        </is>
      </c>
      <c r="I16" s="41" t="inlineStr">
        <is>
          <t>M2</t>
        </is>
      </c>
      <c r="J16" s="34" t="inlineStr">
        <is>
          <t>Priya Nair</t>
        </is>
      </c>
      <c r="K16" s="41" t="n"/>
      <c r="L16" s="41" t="inlineStr">
        <is>
          <t>Yes</t>
        </is>
      </c>
    </row>
    <row r="17">
      <c r="A17" s="132" t="n">
        <v>46346</v>
      </c>
      <c r="B17" s="41" t="inlineStr">
        <is>
          <t>TC011</t>
        </is>
      </c>
      <c r="C17" s="34" t="inlineStr">
        <is>
          <t>Local store &amp; sync</t>
        </is>
      </c>
      <c r="D17" s="34" t="inlineStr">
        <is>
          <t>Catalogue sorts by name</t>
        </is>
      </c>
      <c r="E17" s="41" t="inlineStr">
        <is>
          <t>Unit</t>
        </is>
      </c>
      <c r="F17" s="34" t="inlineStr">
        <is>
          <t>Alphabetical order</t>
        </is>
      </c>
      <c r="G17" s="34" t="inlineStr">
        <is>
          <t>As expected</t>
        </is>
      </c>
      <c r="H17" s="41" t="inlineStr">
        <is>
          <t>Pass</t>
        </is>
      </c>
      <c r="I17" s="41" t="inlineStr">
        <is>
          <t>M2</t>
        </is>
      </c>
      <c r="J17" s="34" t="inlineStr">
        <is>
          <t>Aisyah Binti Rahman</t>
        </is>
      </c>
      <c r="K17" s="41" t="n"/>
      <c r="L17" s="41" t="inlineStr">
        <is>
          <t>Yes</t>
        </is>
      </c>
    </row>
    <row r="18">
      <c r="A18" s="132" t="n">
        <v>46347</v>
      </c>
      <c r="B18" s="41" t="inlineStr">
        <is>
          <t>TC012</t>
        </is>
      </c>
      <c r="C18" s="34" t="inlineStr">
        <is>
          <t>Shared widgets &amp; theme</t>
        </is>
      </c>
      <c r="D18" s="34" t="inlineStr">
        <is>
          <t>Order note parser reads a Malay quantity phrase</t>
        </is>
      </c>
      <c r="E18" s="41" t="inlineStr">
        <is>
          <t>Unit</t>
        </is>
      </c>
      <c r="F18" s="34" t="inlineStr">
        <is>
          <t>Two lines parsed correctly</t>
        </is>
      </c>
      <c r="G18" s="34" t="inlineStr">
        <is>
          <t>As expected</t>
        </is>
      </c>
      <c r="H18" s="41" t="inlineStr">
        <is>
          <t>Pass</t>
        </is>
      </c>
      <c r="I18" s="41" t="inlineStr">
        <is>
          <t>M2</t>
        </is>
      </c>
      <c r="J18" s="34" t="inlineStr">
        <is>
          <t>Daniel Wong Jun Hao</t>
        </is>
      </c>
      <c r="K18" s="41" t="n"/>
      <c r="L18" s="41" t="inlineStr">
        <is>
          <t>Yes</t>
        </is>
      </c>
    </row>
    <row r="19">
      <c r="A19" s="132" t="n">
        <v>46342</v>
      </c>
      <c r="B19" s="41" t="inlineStr">
        <is>
          <t>TC013</t>
        </is>
      </c>
      <c r="C19" s="34" t="inlineStr">
        <is>
          <t>Order entry screen</t>
        </is>
      </c>
      <c r="D19" s="34" t="inlineStr">
        <is>
          <t>Order note parser handles an unknown item</t>
        </is>
      </c>
      <c r="E19" s="41" t="inlineStr">
        <is>
          <t>Unit</t>
        </is>
      </c>
      <c r="F19" s="34" t="inlineStr">
        <is>
          <t>Item flagged, not silently dropped</t>
        </is>
      </c>
      <c r="G19" s="34" t="inlineStr">
        <is>
          <t>As expected</t>
        </is>
      </c>
      <c r="H19" s="41" t="inlineStr">
        <is>
          <t>Pass</t>
        </is>
      </c>
      <c r="I19" s="41" t="inlineStr">
        <is>
          <t>M2</t>
        </is>
      </c>
      <c r="J19" s="34" t="inlineStr">
        <is>
          <t>Mei Ling Chong</t>
        </is>
      </c>
      <c r="K19" s="41" t="n"/>
      <c r="L19" s="41" t="inlineStr">
        <is>
          <t>Yes</t>
        </is>
      </c>
    </row>
    <row r="20">
      <c r="A20" s="132" t="n">
        <v>46343</v>
      </c>
      <c r="B20" s="41" t="inlineStr">
        <is>
          <t>TC014</t>
        </is>
      </c>
      <c r="C20" s="34" t="inlineStr">
        <is>
          <t>Catalogue screen</t>
        </is>
      </c>
      <c r="D20" s="34" t="inlineStr">
        <is>
          <t>Write queue stores an order when offline</t>
        </is>
      </c>
      <c r="E20" s="41" t="inlineStr">
        <is>
          <t>Unit</t>
        </is>
      </c>
      <c r="F20" s="34" t="inlineStr">
        <is>
          <t>Record written with status pending</t>
        </is>
      </c>
      <c r="G20" s="34" t="inlineStr">
        <is>
          <t>As expected</t>
        </is>
      </c>
      <c r="H20" s="41" t="inlineStr">
        <is>
          <t>Pass</t>
        </is>
      </c>
      <c r="I20" s="41" t="inlineStr">
        <is>
          <t>M2</t>
        </is>
      </c>
      <c r="J20" s="34" t="inlineStr">
        <is>
          <t>Harith Bin Ismail</t>
        </is>
      </c>
      <c r="K20" s="41" t="n"/>
      <c r="L20" s="41" t="inlineStr">
        <is>
          <t>Yes</t>
        </is>
      </c>
    </row>
    <row r="21">
      <c r="A21" s="132" t="n">
        <v>46344</v>
      </c>
      <c r="B21" s="41" t="inlineStr">
        <is>
          <t>TC015</t>
        </is>
      </c>
      <c r="C21" s="34" t="inlineStr">
        <is>
          <t>Invoice &amp; history</t>
        </is>
      </c>
      <c r="D21" s="34" t="inlineStr">
        <is>
          <t>Write queue drains once when connection returns</t>
        </is>
      </c>
      <c r="E21" s="41" t="inlineStr">
        <is>
          <t>Unit</t>
        </is>
      </c>
      <c r="F21" s="34" t="inlineStr">
        <is>
          <t>Record sent exactly once</t>
        </is>
      </c>
      <c r="G21" s="34" t="inlineStr">
        <is>
          <t>As expected</t>
        </is>
      </c>
      <c r="H21" s="41" t="inlineStr">
        <is>
          <t>Pass</t>
        </is>
      </c>
      <c r="I21" s="41" t="inlineStr">
        <is>
          <t>M2</t>
        </is>
      </c>
      <c r="J21" s="34" t="inlineStr">
        <is>
          <t>Priya Nair</t>
        </is>
      </c>
      <c r="K21" s="41" t="n"/>
      <c r="L21" s="41" t="inlineStr">
        <is>
          <t>Yes</t>
        </is>
      </c>
    </row>
    <row r="22">
      <c r="A22" s="132" t="n">
        <v>46345</v>
      </c>
      <c r="B22" s="41" t="inlineStr">
        <is>
          <t>TC016</t>
        </is>
      </c>
      <c r="C22" s="34" t="inlineStr">
        <is>
          <t>Order &amp; catalogue service</t>
        </is>
      </c>
      <c r="D22" s="34" t="inlineStr">
        <is>
          <t>Write queue survives app restart</t>
        </is>
      </c>
      <c r="E22" s="41" t="inlineStr">
        <is>
          <t>Unit</t>
        </is>
      </c>
      <c r="F22" s="34" t="inlineStr">
        <is>
          <t>Pending record still present</t>
        </is>
      </c>
      <c r="G22" s="34" t="inlineStr">
        <is>
          <t>As expected</t>
        </is>
      </c>
      <c r="H22" s="41" t="inlineStr">
        <is>
          <t>Pass</t>
        </is>
      </c>
      <c r="I22" s="41" t="inlineStr">
        <is>
          <t>M2</t>
        </is>
      </c>
      <c r="J22" s="34" t="inlineStr">
        <is>
          <t>Aisyah Binti Rahman</t>
        </is>
      </c>
      <c r="K22" s="41" t="n"/>
      <c r="L22" s="41" t="inlineStr">
        <is>
          <t>Yes</t>
        </is>
      </c>
    </row>
    <row r="23">
      <c r="A23" s="132" t="n">
        <v>46346</v>
      </c>
      <c r="B23" s="41" t="inlineStr">
        <is>
          <t>TC017</t>
        </is>
      </c>
      <c r="C23" s="34" t="inlineStr">
        <is>
          <t>Local store &amp; sync</t>
        </is>
      </c>
      <c r="D23" s="34" t="inlineStr">
        <is>
          <t>Sync marks a record done only after confirmation</t>
        </is>
      </c>
      <c r="E23" s="41" t="inlineStr">
        <is>
          <t>Unit</t>
        </is>
      </c>
      <c r="F23" s="34" t="inlineStr">
        <is>
          <t>Status stays pending until ack</t>
        </is>
      </c>
      <c r="G23" s="34" t="inlineStr">
        <is>
          <t>As expected</t>
        </is>
      </c>
      <c r="H23" s="41" t="inlineStr">
        <is>
          <t>Pass</t>
        </is>
      </c>
      <c r="I23" s="41" t="inlineStr">
        <is>
          <t>M2</t>
        </is>
      </c>
      <c r="J23" s="34" t="inlineStr">
        <is>
          <t>Daniel Wong Jun Hao</t>
        </is>
      </c>
      <c r="K23" s="41" t="n"/>
      <c r="L23" s="41" t="inlineStr">
        <is>
          <t>Yes</t>
        </is>
      </c>
    </row>
    <row r="24">
      <c r="A24" s="132" t="n">
        <v>46347</v>
      </c>
      <c r="B24" s="41" t="inlineStr">
        <is>
          <t>TC018</t>
        </is>
      </c>
      <c r="C24" s="34" t="inlineStr">
        <is>
          <t>Shared widgets &amp; theme</t>
        </is>
      </c>
      <c r="D24" s="34" t="inlineStr">
        <is>
          <t>Dates stored and compared in UTC</t>
        </is>
      </c>
      <c r="E24" s="41" t="inlineStr">
        <is>
          <t>Unit</t>
        </is>
      </c>
      <c r="F24" s="34" t="inlineStr">
        <is>
          <t>Same instant across time zones</t>
        </is>
      </c>
      <c r="G24" s="34" t="inlineStr">
        <is>
          <t>As expected</t>
        </is>
      </c>
      <c r="H24" s="41" t="inlineStr">
        <is>
          <t>Pass</t>
        </is>
      </c>
      <c r="I24" s="41" t="inlineStr">
        <is>
          <t>M2</t>
        </is>
      </c>
      <c r="J24" s="34" t="inlineStr">
        <is>
          <t>Mei Ling Chong</t>
        </is>
      </c>
      <c r="K24" s="41" t="n"/>
      <c r="L24" s="41" t="inlineStr">
        <is>
          <t>Yes</t>
        </is>
      </c>
    </row>
    <row r="25">
      <c r="A25" s="132" t="n">
        <v>46342</v>
      </c>
      <c r="B25" s="41" t="inlineStr">
        <is>
          <t>TC019</t>
        </is>
      </c>
      <c r="C25" s="34" t="inlineStr">
        <is>
          <t>Order entry screen</t>
        </is>
      </c>
      <c r="D25" s="34" t="inlineStr">
        <is>
          <t>Repository returns a stream of catalogue updates</t>
        </is>
      </c>
      <c r="E25" s="41" t="inlineStr">
        <is>
          <t>Unit</t>
        </is>
      </c>
      <c r="F25" s="34" t="inlineStr">
        <is>
          <t>Listener receives the update</t>
        </is>
      </c>
      <c r="G25" s="34" t="inlineStr">
        <is>
          <t>As expected</t>
        </is>
      </c>
      <c r="H25" s="41" t="inlineStr">
        <is>
          <t>Pass</t>
        </is>
      </c>
      <c r="I25" s="41" t="inlineStr">
        <is>
          <t>M2</t>
        </is>
      </c>
      <c r="J25" s="34" t="inlineStr">
        <is>
          <t>Harith Bin Ismail</t>
        </is>
      </c>
      <c r="K25" s="41" t="n"/>
      <c r="L25" s="41" t="inlineStr">
        <is>
          <t>Yes</t>
        </is>
      </c>
    </row>
    <row r="26">
      <c r="A26" s="132" t="n">
        <v>46343</v>
      </c>
      <c r="B26" s="41" t="inlineStr">
        <is>
          <t>TC020</t>
        </is>
      </c>
      <c r="C26" s="34" t="inlineStr">
        <is>
          <t>Catalogue screen</t>
        </is>
      </c>
      <c r="D26" s="34" t="inlineStr">
        <is>
          <t>Auth rejects an unknown phone number</t>
        </is>
      </c>
      <c r="E26" s="41" t="inlineStr">
        <is>
          <t>Unit</t>
        </is>
      </c>
      <c r="F26" s="34" t="inlineStr">
        <is>
          <t>Sign-in fails with a clear message</t>
        </is>
      </c>
      <c r="G26" s="34" t="inlineStr">
        <is>
          <t>As expected</t>
        </is>
      </c>
      <c r="H26" s="41" t="inlineStr">
        <is>
          <t>Pass</t>
        </is>
      </c>
      <c r="I26" s="41" t="inlineStr">
        <is>
          <t>M2</t>
        </is>
      </c>
      <c r="J26" s="34" t="inlineStr">
        <is>
          <t>Priya Nair</t>
        </is>
      </c>
      <c r="K26" s="41" t="n"/>
      <c r="L26" s="41" t="inlineStr">
        <is>
          <t>Yes</t>
        </is>
      </c>
    </row>
    <row r="27">
      <c r="A27" s="132" t="n">
        <v>46344</v>
      </c>
      <c r="B27" s="41" t="inlineStr">
        <is>
          <t>TC021</t>
        </is>
      </c>
      <c r="C27" s="34" t="inlineStr">
        <is>
          <t>Invoice &amp; history</t>
        </is>
      </c>
      <c r="D27" s="34" t="inlineStr">
        <is>
          <t>API key read from environment, not source</t>
        </is>
      </c>
      <c r="E27" s="41" t="inlineStr">
        <is>
          <t>Unit</t>
        </is>
      </c>
      <c r="F27" s="34" t="inlineStr">
        <is>
          <t>Key absent from the compiled bundle</t>
        </is>
      </c>
      <c r="G27" s="34" t="inlineStr">
        <is>
          <t>As expected</t>
        </is>
      </c>
      <c r="H27" s="41" t="inlineStr">
        <is>
          <t>Pass</t>
        </is>
      </c>
      <c r="I27" s="41" t="inlineStr">
        <is>
          <t>M2</t>
        </is>
      </c>
      <c r="J27" s="34" t="inlineStr">
        <is>
          <t>Aisyah Binti Rahman</t>
        </is>
      </c>
      <c r="K27" s="41" t="n"/>
      <c r="L27" s="41" t="inlineStr">
        <is>
          <t>Yes</t>
        </is>
      </c>
    </row>
    <row r="28">
      <c r="A28" s="132" t="n">
        <v>46345</v>
      </c>
      <c r="B28" s="41" t="inlineStr">
        <is>
          <t>TC022</t>
        </is>
      </c>
      <c r="C28" s="34" t="inlineStr">
        <is>
          <t>Order &amp; catalogue service</t>
        </is>
      </c>
      <c r="D28" s="34" t="inlineStr">
        <is>
          <t>Session expires after the configured period</t>
        </is>
      </c>
      <c r="E28" s="41" t="inlineStr">
        <is>
          <t>Unit</t>
        </is>
      </c>
      <c r="F28" s="34" t="inlineStr">
        <is>
          <t>User returned to sign-in</t>
        </is>
      </c>
      <c r="G28" s="34" t="inlineStr">
        <is>
          <t>As expected</t>
        </is>
      </c>
      <c r="H28" s="41" t="inlineStr">
        <is>
          <t>Pass</t>
        </is>
      </c>
      <c r="I28" s="41" t="inlineStr">
        <is>
          <t>M2</t>
        </is>
      </c>
      <c r="J28" s="34" t="inlineStr">
        <is>
          <t>Daniel Wong Jun Hao</t>
        </is>
      </c>
      <c r="K28" s="41" t="n"/>
      <c r="L28" s="41" t="inlineStr">
        <is>
          <t>Yes</t>
        </is>
      </c>
    </row>
    <row r="29">
      <c r="A29" s="132" t="n">
        <v>46353</v>
      </c>
      <c r="B29" s="41" t="inlineStr">
        <is>
          <t>TC023</t>
        </is>
      </c>
      <c r="C29" s="34" t="inlineStr">
        <is>
          <t>Local store &amp; sync</t>
        </is>
      </c>
      <c r="D29" s="34" t="inlineStr">
        <is>
          <t>Cart survives a screen rotation</t>
        </is>
      </c>
      <c r="E29" s="41" t="inlineStr">
        <is>
          <t>Unit</t>
        </is>
      </c>
      <c r="F29" s="34" t="inlineStr">
        <is>
          <t>Cart contents unchanged</t>
        </is>
      </c>
      <c r="G29" s="34" t="inlineStr">
        <is>
          <t>As expected</t>
        </is>
      </c>
      <c r="H29" s="41" t="inlineStr">
        <is>
          <t>Pass</t>
        </is>
      </c>
      <c r="I29" s="41" t="inlineStr">
        <is>
          <t>M3</t>
        </is>
      </c>
      <c r="J29" s="34" t="inlineStr">
        <is>
          <t>Mei Ling Chong</t>
        </is>
      </c>
      <c r="K29" s="41" t="n"/>
      <c r="L29" s="41" t="inlineStr">
        <is>
          <t>Yes</t>
        </is>
      </c>
    </row>
    <row r="30">
      <c r="A30" s="132" t="n">
        <v>46354</v>
      </c>
      <c r="B30" s="41" t="inlineStr">
        <is>
          <t>TC024</t>
        </is>
      </c>
      <c r="C30" s="34" t="inlineStr">
        <is>
          <t>Shared widgets &amp; theme</t>
        </is>
      </c>
      <c r="D30" s="34" t="inlineStr">
        <is>
          <t>Price change mid-order prompts the user</t>
        </is>
      </c>
      <c r="E30" s="41" t="inlineStr">
        <is>
          <t>Unit</t>
        </is>
      </c>
      <c r="F30" s="34" t="inlineStr">
        <is>
          <t>Prompt shown once</t>
        </is>
      </c>
      <c r="G30" s="34" t="inlineStr">
        <is>
          <t>As expected</t>
        </is>
      </c>
      <c r="H30" s="41" t="inlineStr">
        <is>
          <t>Pass</t>
        </is>
      </c>
      <c r="I30" s="41" t="inlineStr">
        <is>
          <t>M3</t>
        </is>
      </c>
      <c r="J30" s="34" t="inlineStr">
        <is>
          <t>Harith Bin Ismail</t>
        </is>
      </c>
      <c r="K30" s="41" t="n"/>
      <c r="L30" s="41" t="inlineStr">
        <is>
          <t>Yes</t>
        </is>
      </c>
    </row>
    <row r="31">
      <c r="A31" s="132" t="n">
        <v>46349</v>
      </c>
      <c r="B31" s="41" t="inlineStr">
        <is>
          <t>TC025</t>
        </is>
      </c>
      <c r="C31" s="34" t="inlineStr">
        <is>
          <t>Order entry screen</t>
        </is>
      </c>
      <c r="D31" s="34" t="inlineStr">
        <is>
          <t>Stock below threshold is flagged</t>
        </is>
      </c>
      <c r="E31" s="41" t="inlineStr">
        <is>
          <t>Unit</t>
        </is>
      </c>
      <c r="F31" s="34" t="inlineStr">
        <is>
          <t>Item marked low stock</t>
        </is>
      </c>
      <c r="G31" s="34" t="inlineStr">
        <is>
          <t>As expected</t>
        </is>
      </c>
      <c r="H31" s="41" t="inlineStr">
        <is>
          <t>Pass</t>
        </is>
      </c>
      <c r="I31" s="41" t="inlineStr">
        <is>
          <t>M3</t>
        </is>
      </c>
      <c r="J31" s="34" t="inlineStr">
        <is>
          <t>Priya Nair</t>
        </is>
      </c>
      <c r="K31" s="41" t="n"/>
      <c r="L31" s="41" t="inlineStr">
        <is>
          <t>Yes</t>
        </is>
      </c>
    </row>
    <row r="32">
      <c r="A32" s="132" t="n">
        <v>46350</v>
      </c>
      <c r="B32" s="41" t="inlineStr">
        <is>
          <t>TC026</t>
        </is>
      </c>
      <c r="C32" s="34" t="inlineStr">
        <is>
          <t>Catalogue screen</t>
        </is>
      </c>
      <c r="D32" s="34" t="inlineStr">
        <is>
          <t>Order history pages in batches of twenty</t>
        </is>
      </c>
      <c r="E32" s="41" t="inlineStr">
        <is>
          <t>Unit</t>
        </is>
      </c>
      <c r="F32" s="34" t="inlineStr">
        <is>
          <t>Second page loads on scroll</t>
        </is>
      </c>
      <c r="G32" s="34" t="inlineStr">
        <is>
          <t>As expected</t>
        </is>
      </c>
      <c r="H32" s="41" t="inlineStr">
        <is>
          <t>Pass</t>
        </is>
      </c>
      <c r="I32" s="41" t="inlineStr">
        <is>
          <t>M3</t>
        </is>
      </c>
      <c r="J32" s="34" t="inlineStr">
        <is>
          <t>Aisyah Binti Rahman</t>
        </is>
      </c>
      <c r="K32" s="41" t="n"/>
      <c r="L32" s="41" t="inlineStr">
        <is>
          <t>Yes</t>
        </is>
      </c>
    </row>
    <row r="33">
      <c r="A33" s="132" t="n">
        <v>46351</v>
      </c>
      <c r="B33" s="41" t="inlineStr">
        <is>
          <t>TC027</t>
        </is>
      </c>
      <c r="C33" s="34" t="inlineStr">
        <is>
          <t>Invoice &amp; history</t>
        </is>
      </c>
      <c r="D33" s="34" t="inlineStr">
        <is>
          <t>Invoice PDF renders all order lines</t>
        </is>
      </c>
      <c r="E33" s="41" t="inlineStr">
        <is>
          <t>Unit</t>
        </is>
      </c>
      <c r="F33" s="34" t="inlineStr">
        <is>
          <t>Line count matches the order</t>
        </is>
      </c>
      <c r="G33" s="34" t="inlineStr">
        <is>
          <t>As expected</t>
        </is>
      </c>
      <c r="H33" s="41" t="inlineStr">
        <is>
          <t>Pass</t>
        </is>
      </c>
      <c r="I33" s="41" t="inlineStr">
        <is>
          <t>M3</t>
        </is>
      </c>
      <c r="J33" s="34" t="inlineStr">
        <is>
          <t>Daniel Wong Jun Hao</t>
        </is>
      </c>
      <c r="K33" s="41" t="n"/>
      <c r="L33" s="41" t="inlineStr">
        <is>
          <t>Yes</t>
        </is>
      </c>
    </row>
    <row r="34">
      <c r="A34" s="132" t="n">
        <v>46352</v>
      </c>
      <c r="B34" s="41" t="inlineStr">
        <is>
          <t>TC028</t>
        </is>
      </c>
      <c r="C34" s="34" t="inlineStr">
        <is>
          <t>Order &amp; catalogue service</t>
        </is>
      </c>
      <c r="D34" s="34" t="inlineStr">
        <is>
          <t>Currency formatted as RM with two decimals</t>
        </is>
      </c>
      <c r="E34" s="41" t="inlineStr">
        <is>
          <t>Unit</t>
        </is>
      </c>
      <c r="F34" s="34" t="inlineStr">
        <is>
          <t>Formatted string matches</t>
        </is>
      </c>
      <c r="G34" s="34" t="inlineStr">
        <is>
          <t>As expected</t>
        </is>
      </c>
      <c r="H34" s="41" t="inlineStr">
        <is>
          <t>Pass</t>
        </is>
      </c>
      <c r="I34" s="41" t="inlineStr">
        <is>
          <t>M3</t>
        </is>
      </c>
      <c r="J34" s="34" t="inlineStr">
        <is>
          <t>Mei Ling Chong</t>
        </is>
      </c>
      <c r="K34" s="41" t="n"/>
      <c r="L34" s="41" t="inlineStr">
        <is>
          <t>Yes</t>
        </is>
      </c>
    </row>
    <row r="35">
      <c r="A35" s="132" t="n">
        <v>46353</v>
      </c>
      <c r="B35" s="41" t="inlineStr">
        <is>
          <t>TC029</t>
        </is>
      </c>
      <c r="C35" s="34" t="inlineStr">
        <is>
          <t>Local store &amp; sync</t>
        </is>
      </c>
      <c r="D35" s="34" t="inlineStr">
        <is>
          <t>Unknown item in a note does not crash the parser</t>
        </is>
      </c>
      <c r="E35" s="41" t="inlineStr">
        <is>
          <t>Unit</t>
        </is>
      </c>
      <c r="F35" s="34" t="inlineStr">
        <is>
          <t>Error returned, app alive</t>
        </is>
      </c>
      <c r="G35" s="34" t="inlineStr">
        <is>
          <t>As expected</t>
        </is>
      </c>
      <c r="H35" s="41" t="inlineStr">
        <is>
          <t>Pass</t>
        </is>
      </c>
      <c r="I35" s="41" t="inlineStr">
        <is>
          <t>M3</t>
        </is>
      </c>
      <c r="J35" s="34" t="inlineStr">
        <is>
          <t>Harith Bin Ismail</t>
        </is>
      </c>
      <c r="K35" s="41" t="n"/>
      <c r="L35" s="41" t="inlineStr">
        <is>
          <t>Yes</t>
        </is>
      </c>
    </row>
    <row r="36">
      <c r="A36" s="132" t="n">
        <v>46354</v>
      </c>
      <c r="B36" s="41" t="inlineStr">
        <is>
          <t>TC030</t>
        </is>
      </c>
      <c r="C36" s="34" t="inlineStr">
        <is>
          <t>Shared widgets &amp; theme</t>
        </is>
      </c>
      <c r="D36" s="34" t="inlineStr">
        <is>
          <t>Duplicate submit within one second is ignored</t>
        </is>
      </c>
      <c r="E36" s="41" t="inlineStr">
        <is>
          <t>Unit</t>
        </is>
      </c>
      <c r="F36" s="34" t="inlineStr">
        <is>
          <t>Only one order created</t>
        </is>
      </c>
      <c r="G36" s="34" t="inlineStr">
        <is>
          <t>As expected</t>
        </is>
      </c>
      <c r="H36" s="41" t="inlineStr">
        <is>
          <t>Pass</t>
        </is>
      </c>
      <c r="I36" s="41" t="inlineStr">
        <is>
          <t>M3</t>
        </is>
      </c>
      <c r="J36" s="34" t="inlineStr">
        <is>
          <t>Priya Nair</t>
        </is>
      </c>
      <c r="K36" s="41" t="n"/>
      <c r="L36" s="41" t="inlineStr">
        <is>
          <t>Yes</t>
        </is>
      </c>
    </row>
    <row r="37">
      <c r="A37" s="132" t="n">
        <v>46356</v>
      </c>
      <c r="B37" s="41" t="inlineStr">
        <is>
          <t>TC031</t>
        </is>
      </c>
      <c r="C37" s="34" t="inlineStr">
        <is>
          <t>Order entry screen</t>
        </is>
      </c>
      <c r="D37" s="34" t="inlineStr">
        <is>
          <t>Order entry screen renders an empty cart state</t>
        </is>
      </c>
      <c r="E37" s="41" t="inlineStr">
        <is>
          <t>Widget</t>
        </is>
      </c>
      <c r="F37" s="34" t="inlineStr">
        <is>
          <t>Empty-state message shown</t>
        </is>
      </c>
      <c r="G37" s="34" t="inlineStr">
        <is>
          <t>As expected</t>
        </is>
      </c>
      <c r="H37" s="41" t="inlineStr">
        <is>
          <t>Pass</t>
        </is>
      </c>
      <c r="I37" s="41" t="inlineStr">
        <is>
          <t>M3</t>
        </is>
      </c>
      <c r="J37" s="34" t="inlineStr">
        <is>
          <t>Aisyah Binti Rahman</t>
        </is>
      </c>
      <c r="K37" s="41" t="n"/>
      <c r="L37" s="41" t="inlineStr">
        <is>
          <t>Yes</t>
        </is>
      </c>
    </row>
    <row r="38">
      <c r="A38" s="132" t="n">
        <v>46357</v>
      </c>
      <c r="B38" s="41" t="inlineStr">
        <is>
          <t>TC032</t>
        </is>
      </c>
      <c r="C38" s="34" t="inlineStr">
        <is>
          <t>Catalogue screen</t>
        </is>
      </c>
      <c r="D38" s="34" t="inlineStr">
        <is>
          <t>Submit button disabled while saving</t>
        </is>
      </c>
      <c r="E38" s="41" t="inlineStr">
        <is>
          <t>Widget</t>
        </is>
      </c>
      <c r="F38" s="34" t="inlineStr">
        <is>
          <t>Button shows a spinner and is disabled</t>
        </is>
      </c>
      <c r="G38" s="34" t="inlineStr">
        <is>
          <t>As expected</t>
        </is>
      </c>
      <c r="H38" s="41" t="inlineStr">
        <is>
          <t>Pass</t>
        </is>
      </c>
      <c r="I38" s="41" t="inlineStr">
        <is>
          <t>M3</t>
        </is>
      </c>
      <c r="J38" s="34" t="inlineStr">
        <is>
          <t>Daniel Wong Jun Hao</t>
        </is>
      </c>
      <c r="K38" s="41" t="n"/>
      <c r="L38" s="41" t="inlineStr">
        <is>
          <t>Yes</t>
        </is>
      </c>
    </row>
    <row r="39">
      <c r="A39" s="132" t="n">
        <v>46358</v>
      </c>
      <c r="B39" s="41" t="inlineStr">
        <is>
          <t>TC033</t>
        </is>
      </c>
      <c r="C39" s="34" t="inlineStr">
        <is>
          <t>Invoice &amp; history</t>
        </is>
      </c>
      <c r="D39" s="34" t="inlineStr">
        <is>
          <t>Quantity field accepts digits only</t>
        </is>
      </c>
      <c r="E39" s="41" t="inlineStr">
        <is>
          <t>Widget</t>
        </is>
      </c>
      <c r="F39" s="34" t="inlineStr">
        <is>
          <t>Letters rejected by the field</t>
        </is>
      </c>
      <c r="G39" s="34" t="inlineStr">
        <is>
          <t>As expected</t>
        </is>
      </c>
      <c r="H39" s="41" t="inlineStr">
        <is>
          <t>Pass</t>
        </is>
      </c>
      <c r="I39" s="41" t="inlineStr">
        <is>
          <t>M3</t>
        </is>
      </c>
      <c r="J39" s="34" t="inlineStr">
        <is>
          <t>Mei Ling Chong</t>
        </is>
      </c>
      <c r="K39" s="41" t="n"/>
      <c r="L39" s="41" t="inlineStr">
        <is>
          <t>Yes</t>
        </is>
      </c>
    </row>
    <row r="40">
      <c r="A40" s="132" t="n">
        <v>46359</v>
      </c>
      <c r="B40" s="41" t="inlineStr">
        <is>
          <t>TC034</t>
        </is>
      </c>
      <c r="C40" s="34" t="inlineStr">
        <is>
          <t>Order &amp; catalogue service</t>
        </is>
      </c>
      <c r="D40" s="34" t="inlineStr">
        <is>
          <t>Removing a line updates the displayed total</t>
        </is>
      </c>
      <c r="E40" s="41" t="inlineStr">
        <is>
          <t>Widget</t>
        </is>
      </c>
      <c r="F40" s="34" t="inlineStr">
        <is>
          <t>Total decreases correctly</t>
        </is>
      </c>
      <c r="G40" s="34" t="inlineStr">
        <is>
          <t>As expected</t>
        </is>
      </c>
      <c r="H40" s="41" t="inlineStr">
        <is>
          <t>Pass</t>
        </is>
      </c>
      <c r="I40" s="41" t="inlineStr">
        <is>
          <t>M3</t>
        </is>
      </c>
      <c r="J40" s="34" t="inlineStr">
        <is>
          <t>Harith Bin Ismail</t>
        </is>
      </c>
      <c r="K40" s="41" t="n"/>
      <c r="L40" s="41" t="inlineStr">
        <is>
          <t>Yes</t>
        </is>
      </c>
    </row>
    <row r="41">
      <c r="A41" s="132" t="n">
        <v>46360</v>
      </c>
      <c r="B41" s="41" t="inlineStr">
        <is>
          <t>TC035</t>
        </is>
      </c>
      <c r="C41" s="34" t="inlineStr">
        <is>
          <t>Local store &amp; sync</t>
        </is>
      </c>
      <c r="D41" s="34" t="inlineStr">
        <is>
          <t>Catalogue list scrolls past three hundred items</t>
        </is>
      </c>
      <c r="E41" s="41" t="inlineStr">
        <is>
          <t>Widget</t>
        </is>
      </c>
      <c r="F41" s="34" t="inlineStr">
        <is>
          <t>No frame drops reported</t>
        </is>
      </c>
      <c r="G41" s="34" t="inlineStr">
        <is>
          <t>Still failing - defect raised, fix in progress</t>
        </is>
      </c>
      <c r="H41" s="41" t="inlineStr">
        <is>
          <t>Fail</t>
        </is>
      </c>
      <c r="I41" s="41" t="inlineStr">
        <is>
          <t>M3</t>
        </is>
      </c>
      <c r="J41" s="34" t="inlineStr">
        <is>
          <t>Priya Nair</t>
        </is>
      </c>
      <c r="K41" s="41" t="inlineStr">
        <is>
          <t>PR#64</t>
        </is>
      </c>
      <c r="L41" s="41" t="inlineStr">
        <is>
          <t>Yes</t>
        </is>
      </c>
    </row>
    <row r="42">
      <c r="A42" s="132" t="n">
        <v>46361</v>
      </c>
      <c r="B42" s="41" t="inlineStr">
        <is>
          <t>TC036</t>
        </is>
      </c>
      <c r="C42" s="34" t="inlineStr">
        <is>
          <t>Shared widgets &amp; theme</t>
        </is>
      </c>
      <c r="D42" s="34" t="inlineStr">
        <is>
          <t>Catalogue filter clears when the screen reopens</t>
        </is>
      </c>
      <c r="E42" s="41" t="inlineStr">
        <is>
          <t>Widget</t>
        </is>
      </c>
      <c r="F42" s="34" t="inlineStr">
        <is>
          <t>Filter field empty</t>
        </is>
      </c>
      <c r="G42" s="34" t="inlineStr">
        <is>
          <t>As expected</t>
        </is>
      </c>
      <c r="H42" s="41" t="inlineStr">
        <is>
          <t>Pass</t>
        </is>
      </c>
      <c r="I42" s="41" t="inlineStr">
        <is>
          <t>M3</t>
        </is>
      </c>
      <c r="J42" s="34" t="inlineStr">
        <is>
          <t>Aisyah Binti Rahman</t>
        </is>
      </c>
      <c r="K42" s="41" t="n"/>
      <c r="L42" s="41" t="inlineStr">
        <is>
          <t>Yes</t>
        </is>
      </c>
    </row>
    <row r="43">
      <c r="A43" s="132" t="n">
        <v>46356</v>
      </c>
      <c r="B43" s="41" t="inlineStr">
        <is>
          <t>TC037</t>
        </is>
      </c>
      <c r="C43" s="34" t="inlineStr">
        <is>
          <t>Order entry screen</t>
        </is>
      </c>
      <c r="D43" s="34" t="inlineStr">
        <is>
          <t>Long item names do not overflow on a small screen</t>
        </is>
      </c>
      <c r="E43" s="41" t="inlineStr">
        <is>
          <t>Widget</t>
        </is>
      </c>
      <c r="F43" s="34" t="inlineStr">
        <is>
          <t>No overflow warning</t>
        </is>
      </c>
      <c r="G43" s="34" t="inlineStr">
        <is>
          <t>As expected</t>
        </is>
      </c>
      <c r="H43" s="41" t="inlineStr">
        <is>
          <t>Pass</t>
        </is>
      </c>
      <c r="I43" s="41" t="inlineStr">
        <is>
          <t>M3</t>
        </is>
      </c>
      <c r="J43" s="34" t="inlineStr">
        <is>
          <t>Daniel Wong Jun Hao</t>
        </is>
      </c>
      <c r="K43" s="41" t="n"/>
      <c r="L43" s="41" t="inlineStr">
        <is>
          <t>Yes</t>
        </is>
      </c>
    </row>
    <row r="44">
      <c r="A44" s="132" t="n">
        <v>46357</v>
      </c>
      <c r="B44" s="41" t="inlineStr">
        <is>
          <t>TC038</t>
        </is>
      </c>
      <c r="C44" s="34" t="inlineStr">
        <is>
          <t>Catalogue screen</t>
        </is>
      </c>
      <c r="D44" s="34" t="inlineStr">
        <is>
          <t>Invoice screen shows the order lines</t>
        </is>
      </c>
      <c r="E44" s="41" t="inlineStr">
        <is>
          <t>Widget</t>
        </is>
      </c>
      <c r="F44" s="34" t="inlineStr">
        <is>
          <t>All lines visible</t>
        </is>
      </c>
      <c r="G44" s="34" t="inlineStr">
        <is>
          <t>As expected</t>
        </is>
      </c>
      <c r="H44" s="41" t="inlineStr">
        <is>
          <t>Pass</t>
        </is>
      </c>
      <c r="I44" s="41" t="inlineStr">
        <is>
          <t>M3</t>
        </is>
      </c>
      <c r="J44" s="34" t="inlineStr">
        <is>
          <t>Mei Ling Chong</t>
        </is>
      </c>
      <c r="K44" s="41" t="n"/>
      <c r="L44" s="41" t="inlineStr">
        <is>
          <t>Yes</t>
        </is>
      </c>
    </row>
    <row r="45">
      <c r="A45" s="132" t="n">
        <v>46358</v>
      </c>
      <c r="B45" s="41" t="inlineStr">
        <is>
          <t>TC039</t>
        </is>
      </c>
      <c r="C45" s="34" t="inlineStr">
        <is>
          <t>Invoice &amp; history</t>
        </is>
      </c>
      <c r="D45" s="34" t="inlineStr">
        <is>
          <t>History screen shows the most recent order first</t>
        </is>
      </c>
      <c r="E45" s="41" t="inlineStr">
        <is>
          <t>Widget</t>
        </is>
      </c>
      <c r="F45" s="34" t="inlineStr">
        <is>
          <t>Order matches expectation</t>
        </is>
      </c>
      <c r="G45" s="34" t="inlineStr">
        <is>
          <t>As expected</t>
        </is>
      </c>
      <c r="H45" s="41" t="inlineStr">
        <is>
          <t>Pass</t>
        </is>
      </c>
      <c r="I45" s="41" t="inlineStr">
        <is>
          <t>M3</t>
        </is>
      </c>
      <c r="J45" s="34" t="inlineStr">
        <is>
          <t>Harith Bin Ismail</t>
        </is>
      </c>
      <c r="K45" s="41" t="n"/>
      <c r="L45" s="41" t="inlineStr">
        <is>
          <t>Yes</t>
        </is>
      </c>
    </row>
    <row r="46">
      <c r="A46" s="132" t="n">
        <v>46359</v>
      </c>
      <c r="B46" s="41" t="inlineStr">
        <is>
          <t>TC040</t>
        </is>
      </c>
      <c r="C46" s="34" t="inlineStr">
        <is>
          <t>Order &amp; catalogue service</t>
        </is>
      </c>
      <c r="D46" s="34" t="inlineStr">
        <is>
          <t>Offline banner appears when connection is lost</t>
        </is>
      </c>
      <c r="E46" s="41" t="inlineStr">
        <is>
          <t>Widget</t>
        </is>
      </c>
      <c r="F46" s="34" t="inlineStr">
        <is>
          <t>Banner visible</t>
        </is>
      </c>
      <c r="G46" s="34" t="inlineStr">
        <is>
          <t>As expected</t>
        </is>
      </c>
      <c r="H46" s="41" t="inlineStr">
        <is>
          <t>Pass</t>
        </is>
      </c>
      <c r="I46" s="41" t="inlineStr">
        <is>
          <t>M3</t>
        </is>
      </c>
      <c r="J46" s="34" t="inlineStr">
        <is>
          <t>Priya Nair</t>
        </is>
      </c>
      <c r="K46" s="41" t="n"/>
      <c r="L46" s="41" t="inlineStr">
        <is>
          <t>Yes</t>
        </is>
      </c>
    </row>
    <row r="47">
      <c r="A47" s="132" t="n">
        <v>46360</v>
      </c>
      <c r="B47" s="41" t="inlineStr">
        <is>
          <t>TC041</t>
        </is>
      </c>
      <c r="C47" s="34" t="inlineStr">
        <is>
          <t>Local store &amp; sync</t>
        </is>
      </c>
      <c r="D47" s="34" t="inlineStr">
        <is>
          <t>Offline banner disappears on reconnect</t>
        </is>
      </c>
      <c r="E47" s="41" t="inlineStr">
        <is>
          <t>Widget</t>
        </is>
      </c>
      <c r="F47" s="34" t="inlineStr">
        <is>
          <t>Banner removed</t>
        </is>
      </c>
      <c r="G47" s="34" t="inlineStr">
        <is>
          <t>As expected</t>
        </is>
      </c>
      <c r="H47" s="41" t="inlineStr">
        <is>
          <t>Pass</t>
        </is>
      </c>
      <c r="I47" s="41" t="inlineStr">
        <is>
          <t>M3</t>
        </is>
      </c>
      <c r="J47" s="34" t="inlineStr">
        <is>
          <t>Aisyah Binti Rahman</t>
        </is>
      </c>
      <c r="K47" s="41" t="n"/>
      <c r="L47" s="41" t="inlineStr">
        <is>
          <t>Yes</t>
        </is>
      </c>
    </row>
    <row r="48">
      <c r="A48" s="132" t="n">
        <v>46361</v>
      </c>
      <c r="B48" s="41" t="inlineStr">
        <is>
          <t>TC042</t>
        </is>
      </c>
      <c r="C48" s="34" t="inlineStr">
        <is>
          <t>Shared widgets &amp; theme</t>
        </is>
      </c>
      <c r="D48" s="34" t="inlineStr">
        <is>
          <t>Error dialog is dismissable</t>
        </is>
      </c>
      <c r="E48" s="41" t="inlineStr">
        <is>
          <t>Widget</t>
        </is>
      </c>
      <c r="F48" s="34" t="inlineStr">
        <is>
          <t>Dialog closes on tap</t>
        </is>
      </c>
      <c r="G48" s="34" t="inlineStr">
        <is>
          <t>As expected</t>
        </is>
      </c>
      <c r="H48" s="41" t="inlineStr">
        <is>
          <t>Pass</t>
        </is>
      </c>
      <c r="I48" s="41" t="inlineStr">
        <is>
          <t>M3</t>
        </is>
      </c>
      <c r="J48" s="34" t="inlineStr">
        <is>
          <t>Daniel Wong Jun Hao</t>
        </is>
      </c>
      <c r="K48" s="41" t="n"/>
      <c r="L48" s="41" t="inlineStr">
        <is>
          <t>Yes</t>
        </is>
      </c>
    </row>
    <row r="49">
      <c r="A49" s="132" t="n">
        <v>46356</v>
      </c>
      <c r="B49" s="41" t="inlineStr">
        <is>
          <t>TC043</t>
        </is>
      </c>
      <c r="C49" s="34" t="inlineStr">
        <is>
          <t>Order entry screen</t>
        </is>
      </c>
      <c r="D49" s="34" t="inlineStr">
        <is>
          <t>Theme applies the brand colour to the app bar</t>
        </is>
      </c>
      <c r="E49" s="41" t="inlineStr">
        <is>
          <t>Widget</t>
        </is>
      </c>
      <c r="F49" s="34" t="inlineStr">
        <is>
          <t>Colour matches the design system</t>
        </is>
      </c>
      <c r="G49" s="34" t="inlineStr">
        <is>
          <t>As expected</t>
        </is>
      </c>
      <c r="H49" s="41" t="inlineStr">
        <is>
          <t>Pass</t>
        </is>
      </c>
      <c r="I49" s="41" t="inlineStr">
        <is>
          <t>M3</t>
        </is>
      </c>
      <c r="J49" s="34" t="inlineStr">
        <is>
          <t>Mei Ling Chong</t>
        </is>
      </c>
      <c r="K49" s="41" t="n"/>
      <c r="L49" s="41" t="inlineStr">
        <is>
          <t>Yes</t>
        </is>
      </c>
    </row>
    <row r="50">
      <c r="A50" s="132" t="n">
        <v>46357</v>
      </c>
      <c r="B50" s="41" t="inlineStr">
        <is>
          <t>TC044</t>
        </is>
      </c>
      <c r="C50" s="34" t="inlineStr">
        <is>
          <t>Catalogue screen</t>
        </is>
      </c>
      <c r="D50" s="34" t="inlineStr">
        <is>
          <t>Font size is readable at the counter device setting</t>
        </is>
      </c>
      <c r="E50" s="41" t="inlineStr">
        <is>
          <t>Widget</t>
        </is>
      </c>
      <c r="F50" s="34" t="inlineStr">
        <is>
          <t>Text scales as configured</t>
        </is>
      </c>
      <c r="G50" s="34" t="inlineStr">
        <is>
          <t>As expected</t>
        </is>
      </c>
      <c r="H50" s="41" t="inlineStr">
        <is>
          <t>Pass</t>
        </is>
      </c>
      <c r="I50" s="41" t="inlineStr">
        <is>
          <t>M3</t>
        </is>
      </c>
      <c r="J50" s="34" t="inlineStr">
        <is>
          <t>Harith Bin Ismail</t>
        </is>
      </c>
      <c r="K50" s="41" t="n"/>
      <c r="L50" s="41" t="inlineStr">
        <is>
          <t>Yes</t>
        </is>
      </c>
    </row>
    <row r="51">
      <c r="A51" s="132" t="n">
        <v>46358</v>
      </c>
      <c r="B51" s="41" t="inlineStr">
        <is>
          <t>TC045</t>
        </is>
      </c>
      <c r="C51" s="34" t="inlineStr">
        <is>
          <t>Invoice &amp; history</t>
        </is>
      </c>
      <c r="D51" s="34" t="inlineStr">
        <is>
          <t>Sign-in screen validates the phone format</t>
        </is>
      </c>
      <c r="E51" s="41" t="inlineStr">
        <is>
          <t>Widget</t>
        </is>
      </c>
      <c r="F51" s="34" t="inlineStr">
        <is>
          <t>Inline error shown</t>
        </is>
      </c>
      <c r="G51" s="34" t="inlineStr">
        <is>
          <t>As expected</t>
        </is>
      </c>
      <c r="H51" s="41" t="inlineStr">
        <is>
          <t>Pass</t>
        </is>
      </c>
      <c r="I51" s="41" t="inlineStr">
        <is>
          <t>M3</t>
        </is>
      </c>
      <c r="J51" s="34" t="inlineStr">
        <is>
          <t>Priya Nair</t>
        </is>
      </c>
      <c r="K51" s="41" t="n"/>
      <c r="L51" s="41" t="inlineStr">
        <is>
          <t>Yes</t>
        </is>
      </c>
    </row>
    <row r="52">
      <c r="A52" s="132" t="n">
        <v>46359</v>
      </c>
      <c r="B52" s="41" t="inlineStr">
        <is>
          <t>TC046</t>
        </is>
      </c>
      <c r="C52" s="34" t="inlineStr">
        <is>
          <t>Order &amp; catalogue service</t>
        </is>
      </c>
      <c r="D52" s="34" t="inlineStr">
        <is>
          <t>Low-stock badge renders on the catalogue tile</t>
        </is>
      </c>
      <c r="E52" s="41" t="inlineStr">
        <is>
          <t>Widget</t>
        </is>
      </c>
      <c r="F52" s="34" t="inlineStr">
        <is>
          <t>Badge visible</t>
        </is>
      </c>
      <c r="G52" s="34" t="inlineStr">
        <is>
          <t>As expected</t>
        </is>
      </c>
      <c r="H52" s="41" t="inlineStr">
        <is>
          <t>Pass</t>
        </is>
      </c>
      <c r="I52" s="41" t="inlineStr">
        <is>
          <t>M3</t>
        </is>
      </c>
      <c r="J52" s="34" t="inlineStr">
        <is>
          <t>Aisyah Binti Rahman</t>
        </is>
      </c>
      <c r="K52" s="41" t="n"/>
      <c r="L52" s="41" t="inlineStr">
        <is>
          <t>Yes</t>
        </is>
      </c>
    </row>
    <row r="53">
      <c r="A53" s="132" t="n">
        <v>46367</v>
      </c>
      <c r="B53" s="41" t="inlineStr">
        <is>
          <t>TC047</t>
        </is>
      </c>
      <c r="C53" s="34" t="inlineStr">
        <is>
          <t>Local store &amp; sync</t>
        </is>
      </c>
      <c r="D53" s="34" t="inlineStr">
        <is>
          <t>Place an order end to end while online</t>
        </is>
      </c>
      <c r="E53" s="41" t="inlineStr">
        <is>
          <t>Integration</t>
        </is>
      </c>
      <c r="F53" s="34" t="inlineStr">
        <is>
          <t>Order appears in history</t>
        </is>
      </c>
      <c r="G53" s="34" t="inlineStr">
        <is>
          <t>As expected</t>
        </is>
      </c>
      <c r="H53" s="41" t="inlineStr">
        <is>
          <t>Pass</t>
        </is>
      </c>
      <c r="I53" s="41" t="inlineStr">
        <is>
          <t>M3</t>
        </is>
      </c>
      <c r="J53" s="34" t="inlineStr">
        <is>
          <t>Daniel Wong Jun Hao</t>
        </is>
      </c>
      <c r="K53" s="41" t="n"/>
      <c r="L53" s="41" t="inlineStr">
        <is>
          <t>Yes</t>
        </is>
      </c>
    </row>
    <row r="54">
      <c r="A54" s="132" t="n">
        <v>46368</v>
      </c>
      <c r="B54" s="41" t="inlineStr">
        <is>
          <t>TC048</t>
        </is>
      </c>
      <c r="C54" s="34" t="inlineStr">
        <is>
          <t>Shared widgets &amp; theme</t>
        </is>
      </c>
      <c r="D54" s="34" t="inlineStr">
        <is>
          <t>Place an order offline, then reconnect</t>
        </is>
      </c>
      <c r="E54" s="41" t="inlineStr">
        <is>
          <t>Integration</t>
        </is>
      </c>
      <c r="F54" s="34" t="inlineStr">
        <is>
          <t>Order syncs once, no duplicate</t>
        </is>
      </c>
      <c r="G54" s="34" t="inlineStr">
        <is>
          <t>Still failing - defect raised, fix in progress</t>
        </is>
      </c>
      <c r="H54" s="41" t="inlineStr">
        <is>
          <t>Fail</t>
        </is>
      </c>
      <c r="I54" s="41" t="inlineStr">
        <is>
          <t>M3</t>
        </is>
      </c>
      <c r="J54" s="34" t="inlineStr">
        <is>
          <t>Mei Ling Chong</t>
        </is>
      </c>
      <c r="K54" s="41" t="inlineStr">
        <is>
          <t>PR#77</t>
        </is>
      </c>
      <c r="L54" s="41" t="inlineStr">
        <is>
          <t>Yes</t>
        </is>
      </c>
    </row>
    <row r="55">
      <c r="A55" s="132" t="n">
        <v>46363</v>
      </c>
      <c r="B55" s="41" t="inlineStr">
        <is>
          <t>TC049</t>
        </is>
      </c>
      <c r="C55" s="34" t="inlineStr">
        <is>
          <t>Order entry screen</t>
        </is>
      </c>
      <c r="D55" s="34" t="inlineStr">
        <is>
          <t>Generate and open an invoice PDF</t>
        </is>
      </c>
      <c r="E55" s="41" t="inlineStr">
        <is>
          <t>Integration</t>
        </is>
      </c>
      <c r="F55" s="34" t="inlineStr">
        <is>
          <t>PDF opens with correct totals</t>
        </is>
      </c>
      <c r="G55" s="34" t="inlineStr">
        <is>
          <t>As expected</t>
        </is>
      </c>
      <c r="H55" s="41" t="inlineStr">
        <is>
          <t>Pass</t>
        </is>
      </c>
      <c r="I55" s="41" t="inlineStr">
        <is>
          <t>M3</t>
        </is>
      </c>
      <c r="J55" s="34" t="inlineStr">
        <is>
          <t>Harith Bin Ismail</t>
        </is>
      </c>
      <c r="K55" s="41" t="n"/>
      <c r="L55" s="41" t="inlineStr">
        <is>
          <t>Yes</t>
        </is>
      </c>
    </row>
    <row r="56">
      <c r="A56" s="132" t="n">
        <v>46364</v>
      </c>
      <c r="B56" s="41" t="inlineStr">
        <is>
          <t>TC050</t>
        </is>
      </c>
      <c r="C56" s="34" t="inlineStr">
        <is>
          <t>Catalogue screen</t>
        </is>
      </c>
      <c r="D56" s="34" t="inlineStr">
        <is>
          <t>Sign in, place an order, sign out</t>
        </is>
      </c>
      <c r="E56" s="41" t="inlineStr">
        <is>
          <t>Integration</t>
        </is>
      </c>
      <c r="F56" s="34" t="inlineStr">
        <is>
          <t>Session cleared, order retained</t>
        </is>
      </c>
      <c r="G56" s="34" t="inlineStr">
        <is>
          <t>As expected</t>
        </is>
      </c>
      <c r="H56" s="41" t="inlineStr">
        <is>
          <t>Pass</t>
        </is>
      </c>
      <c r="I56" s="41" t="inlineStr">
        <is>
          <t>M3</t>
        </is>
      </c>
      <c r="J56" s="34" t="inlineStr">
        <is>
          <t>Priya Nair</t>
        </is>
      </c>
      <c r="K56" s="41" t="n"/>
      <c r="L56" s="41" t="inlineStr">
        <is>
          <t>Yes</t>
        </is>
      </c>
    </row>
    <row r="57">
      <c r="A57" s="132" t="n">
        <v>46365</v>
      </c>
      <c r="B57" s="41" t="inlineStr">
        <is>
          <t>TC051</t>
        </is>
      </c>
      <c r="C57" s="34" t="inlineStr">
        <is>
          <t>Invoice &amp; history</t>
        </is>
      </c>
      <c r="D57" s="34" t="inlineStr">
        <is>
          <t>Catalogue updates propagate to an open screen</t>
        </is>
      </c>
      <c r="E57" s="41" t="inlineStr">
        <is>
          <t>Integration</t>
        </is>
      </c>
      <c r="F57" s="34" t="inlineStr">
        <is>
          <t>List refreshes without restart</t>
        </is>
      </c>
      <c r="G57" s="34" t="inlineStr">
        <is>
          <t>As expected</t>
        </is>
      </c>
      <c r="H57" s="41" t="inlineStr">
        <is>
          <t>Pass</t>
        </is>
      </c>
      <c r="I57" s="41" t="inlineStr">
        <is>
          <t>M3</t>
        </is>
      </c>
      <c r="J57" s="34" t="inlineStr">
        <is>
          <t>Aisyah Binti Rahman</t>
        </is>
      </c>
      <c r="K57" s="41" t="n"/>
      <c r="L57" s="41" t="inlineStr">
        <is>
          <t>Yes</t>
        </is>
      </c>
    </row>
    <row r="58">
      <c r="A58" s="132" t="n">
        <v>46366</v>
      </c>
      <c r="B58" s="41" t="inlineStr">
        <is>
          <t>TC052</t>
        </is>
      </c>
      <c r="C58" s="34" t="inlineStr">
        <is>
          <t>Order &amp; catalogue service</t>
        </is>
      </c>
      <c r="D58" s="34" t="inlineStr">
        <is>
          <t>Connection flaps repeatedly during a sync</t>
        </is>
      </c>
      <c r="E58" s="41" t="inlineStr">
        <is>
          <t>Integration</t>
        </is>
      </c>
      <c r="F58" s="34" t="inlineStr">
        <is>
          <t>Queue drains exactly once</t>
        </is>
      </c>
      <c r="G58" s="34" t="inlineStr">
        <is>
          <t>As expected</t>
        </is>
      </c>
      <c r="H58" s="41" t="inlineStr">
        <is>
          <t>Pass</t>
        </is>
      </c>
      <c r="I58" s="41" t="inlineStr">
        <is>
          <t>M3</t>
        </is>
      </c>
      <c r="J58" s="34" t="inlineStr">
        <is>
          <t>Daniel Wong Jun Hao</t>
        </is>
      </c>
      <c r="K58" s="41" t="n"/>
      <c r="L58" s="41" t="inlineStr">
        <is>
          <t>Yes</t>
        </is>
      </c>
    </row>
    <row r="59">
      <c r="A59" s="132" t="n">
        <v>46367</v>
      </c>
      <c r="B59" s="41" t="inlineStr">
        <is>
          <t>TC053</t>
        </is>
      </c>
      <c r="C59" s="34" t="inlineStr">
        <is>
          <t>Local store &amp; sync</t>
        </is>
      </c>
      <c r="D59" s="34" t="inlineStr">
        <is>
          <t>Counter staff place a real order unaided</t>
        </is>
      </c>
      <c r="E59" s="41" t="inlineStr">
        <is>
          <t>Acceptance</t>
        </is>
      </c>
      <c r="F59" s="34" t="inlineStr">
        <is>
          <t>Order completed in under 3 minutes</t>
        </is>
      </c>
      <c r="G59" s="34" t="inlineStr">
        <is>
          <t>As expected</t>
        </is>
      </c>
      <c r="H59" s="41" t="inlineStr">
        <is>
          <t>Pass</t>
        </is>
      </c>
      <c r="I59" s="41" t="inlineStr">
        <is>
          <t>M3</t>
        </is>
      </c>
      <c r="J59" s="34" t="inlineStr">
        <is>
          <t>Mei Ling Chong</t>
        </is>
      </c>
      <c r="K59" s="41" t="n"/>
      <c r="L59" s="41" t="inlineStr">
        <is>
          <t>No</t>
        </is>
      </c>
    </row>
    <row r="60">
      <c r="A60" s="132" t="n">
        <v>46368</v>
      </c>
      <c r="B60" s="41" t="inlineStr">
        <is>
          <t>TC054</t>
        </is>
      </c>
      <c r="C60" s="34" t="inlineStr">
        <is>
          <t>Shared widgets &amp; theme</t>
        </is>
      </c>
      <c r="D60" s="34" t="inlineStr">
        <is>
          <t>Counter staff find yesterday's order</t>
        </is>
      </c>
      <c r="E60" s="41" t="inlineStr">
        <is>
          <t>Acceptance</t>
        </is>
      </c>
      <c r="F60" s="34" t="inlineStr">
        <is>
          <t>Order located without help</t>
        </is>
      </c>
      <c r="G60" s="34" t="inlineStr">
        <is>
          <t>As expected</t>
        </is>
      </c>
      <c r="H60" s="41" t="inlineStr">
        <is>
          <t>Pass</t>
        </is>
      </c>
      <c r="I60" s="41" t="inlineStr">
        <is>
          <t>M3</t>
        </is>
      </c>
      <c r="J60" s="34" t="inlineStr">
        <is>
          <t>Harith Bin Ismail</t>
        </is>
      </c>
      <c r="K60" s="41" t="n"/>
      <c r="L60" s="41" t="inlineStr">
        <is>
          <t>No</t>
        </is>
      </c>
    </row>
    <row r="61">
      <c r="A61" s="132" t="n"/>
      <c r="B61" s="41" t="n"/>
      <c r="C61" s="34" t="n"/>
      <c r="D61" s="34" t="n"/>
      <c r="E61" s="41" t="n"/>
      <c r="F61" s="34" t="n"/>
      <c r="G61" s="34" t="n"/>
      <c r="H61" s="41" t="n"/>
      <c r="I61" s="41" t="n"/>
      <c r="J61" s="34" t="n"/>
      <c r="K61" s="41" t="n"/>
      <c r="L61" s="41" t="n"/>
    </row>
    <row r="62">
      <c r="A62" s="132" t="n"/>
      <c r="B62" s="41" t="n"/>
      <c r="C62" s="34" t="n"/>
      <c r="D62" s="34" t="n"/>
      <c r="E62" s="41" t="n"/>
      <c r="F62" s="34" t="n"/>
      <c r="G62" s="34" t="n"/>
      <c r="H62" s="41" t="n"/>
      <c r="I62" s="41" t="n"/>
      <c r="J62" s="34" t="n"/>
      <c r="K62" s="41" t="n"/>
      <c r="L62" s="41" t="n"/>
    </row>
    <row r="63">
      <c r="A63" s="132" t="n"/>
      <c r="B63" s="41" t="n"/>
      <c r="C63" s="34" t="n"/>
      <c r="D63" s="34" t="n"/>
      <c r="E63" s="41" t="n"/>
      <c r="F63" s="34" t="n"/>
      <c r="G63" s="34" t="n"/>
      <c r="H63" s="41" t="n"/>
      <c r="I63" s="41" t="n"/>
      <c r="J63" s="34" t="n"/>
      <c r="K63" s="41" t="n"/>
      <c r="L63" s="41" t="n"/>
    </row>
    <row r="64">
      <c r="A64" s="132" t="n"/>
      <c r="B64" s="41" t="n"/>
      <c r="C64" s="34" t="n"/>
      <c r="D64" s="34" t="n"/>
      <c r="E64" s="41" t="n"/>
      <c r="F64" s="34" t="n"/>
      <c r="G64" s="34" t="n"/>
      <c r="H64" s="41" t="n"/>
      <c r="I64" s="41" t="n"/>
      <c r="J64" s="34" t="n"/>
      <c r="K64" s="41" t="n"/>
      <c r="L64" s="41" t="n"/>
    </row>
    <row r="65">
      <c r="A65" s="132" t="n"/>
      <c r="B65" s="41" t="n"/>
      <c r="C65" s="34" t="n"/>
      <c r="D65" s="34" t="n"/>
      <c r="E65" s="41" t="n"/>
      <c r="F65" s="34" t="n"/>
      <c r="G65" s="34" t="n"/>
      <c r="H65" s="41" t="n"/>
      <c r="I65" s="41" t="n"/>
      <c r="J65" s="34" t="n"/>
      <c r="K65" s="41" t="n"/>
      <c r="L65" s="41" t="n"/>
    </row>
    <row r="66">
      <c r="A66" s="132" t="n"/>
      <c r="B66" s="41" t="n"/>
      <c r="C66" s="34" t="n"/>
      <c r="D66" s="34" t="n"/>
      <c r="E66" s="41" t="n"/>
      <c r="F66" s="34" t="n"/>
      <c r="G66" s="34" t="n"/>
      <c r="H66" s="41" t="n"/>
      <c r="I66" s="41" t="n"/>
      <c r="J66" s="34" t="n"/>
      <c r="K66" s="41" t="n"/>
      <c r="L66" s="41" t="n"/>
    </row>
    <row r="67">
      <c r="A67" s="132" t="n"/>
      <c r="B67" s="41" t="n"/>
      <c r="C67" s="34" t="n"/>
      <c r="D67" s="34" t="n"/>
      <c r="E67" s="41" t="n"/>
      <c r="F67" s="34" t="n"/>
      <c r="G67" s="34" t="n"/>
      <c r="H67" s="41" t="n"/>
      <c r="I67" s="41" t="n"/>
      <c r="J67" s="34" t="n"/>
      <c r="K67" s="41" t="n"/>
      <c r="L67" s="41" t="n"/>
    </row>
    <row r="68">
      <c r="A68" s="132" t="n"/>
      <c r="B68" s="41" t="n"/>
      <c r="C68" s="34" t="n"/>
      <c r="D68" s="34" t="n"/>
      <c r="E68" s="41" t="n"/>
      <c r="F68" s="34" t="n"/>
      <c r="G68" s="34" t="n"/>
      <c r="H68" s="41" t="n"/>
      <c r="I68" s="41" t="n"/>
      <c r="J68" s="34" t="n"/>
      <c r="K68" s="41" t="n"/>
      <c r="L68" s="41" t="n"/>
    </row>
    <row r="69">
      <c r="A69" s="132" t="n"/>
      <c r="B69" s="41" t="n"/>
      <c r="C69" s="34" t="n"/>
      <c r="D69" s="34" t="n"/>
      <c r="E69" s="41" t="n"/>
      <c r="F69" s="34" t="n"/>
      <c r="G69" s="34" t="n"/>
      <c r="H69" s="41" t="n"/>
      <c r="I69" s="41" t="n"/>
      <c r="J69" s="34" t="n"/>
      <c r="K69" s="41" t="n"/>
      <c r="L69" s="41" t="n"/>
    </row>
    <row r="70">
      <c r="A70" s="132" t="n"/>
      <c r="B70" s="41" t="n"/>
      <c r="C70" s="34" t="n"/>
      <c r="D70" s="34" t="n"/>
      <c r="E70" s="41" t="n"/>
      <c r="F70" s="34" t="n"/>
      <c r="G70" s="34" t="n"/>
      <c r="H70" s="41" t="n"/>
      <c r="I70" s="41" t="n"/>
      <c r="J70" s="34" t="n"/>
      <c r="K70" s="41" t="n"/>
      <c r="L70" s="41" t="n"/>
    </row>
    <row r="71">
      <c r="A71" s="132" t="n"/>
      <c r="B71" s="41" t="n"/>
      <c r="C71" s="34" t="n"/>
      <c r="D71" s="34" t="n"/>
      <c r="E71" s="41" t="n"/>
      <c r="F71" s="34" t="n"/>
      <c r="G71" s="34" t="n"/>
      <c r="H71" s="41" t="n"/>
      <c r="I71" s="41" t="n"/>
      <c r="J71" s="34" t="n"/>
      <c r="K71" s="41" t="n"/>
      <c r="L71" s="41" t="n"/>
    </row>
    <row r="72">
      <c r="A72" s="132" t="n"/>
      <c r="B72" s="41" t="n"/>
      <c r="C72" s="34" t="n"/>
      <c r="D72" s="34" t="n"/>
      <c r="E72" s="41" t="n"/>
      <c r="F72" s="34" t="n"/>
      <c r="G72" s="34" t="n"/>
      <c r="H72" s="41" t="n"/>
      <c r="I72" s="41" t="n"/>
      <c r="J72" s="34" t="n"/>
      <c r="K72" s="41" t="n"/>
      <c r="L72" s="41" t="n"/>
    </row>
    <row r="73">
      <c r="A73" s="132" t="n"/>
      <c r="B73" s="41" t="n"/>
      <c r="C73" s="34" t="n"/>
      <c r="D73" s="34" t="n"/>
      <c r="E73" s="41" t="n"/>
      <c r="F73" s="34" t="n"/>
      <c r="G73" s="34" t="n"/>
      <c r="H73" s="41" t="n"/>
      <c r="I73" s="41" t="n"/>
      <c r="J73" s="34" t="n"/>
      <c r="K73" s="41" t="n"/>
      <c r="L73" s="41" t="n"/>
    </row>
    <row r="74">
      <c r="A74" s="132" t="n"/>
      <c r="B74" s="41" t="n"/>
      <c r="C74" s="34" t="n"/>
      <c r="D74" s="34" t="n"/>
      <c r="E74" s="41" t="n"/>
      <c r="F74" s="34" t="n"/>
      <c r="G74" s="34" t="n"/>
      <c r="H74" s="41" t="n"/>
      <c r="I74" s="41" t="n"/>
      <c r="J74" s="34" t="n"/>
      <c r="K74" s="41" t="n"/>
      <c r="L74" s="41" t="n"/>
    </row>
    <row r="75">
      <c r="A75" s="132" t="n"/>
      <c r="B75" s="41" t="n"/>
      <c r="C75" s="34" t="n"/>
      <c r="D75" s="34" t="n"/>
      <c r="E75" s="41" t="n"/>
      <c r="F75" s="34" t="n"/>
      <c r="G75" s="34" t="n"/>
      <c r="H75" s="41" t="n"/>
      <c r="I75" s="41" t="n"/>
      <c r="J75" s="34" t="n"/>
      <c r="K75" s="41" t="n"/>
      <c r="L75" s="41" t="n"/>
    </row>
    <row r="76">
      <c r="A76" s="132" t="n"/>
      <c r="B76" s="41" t="n"/>
      <c r="C76" s="34" t="n"/>
      <c r="D76" s="34" t="n"/>
      <c r="E76" s="41" t="n"/>
      <c r="F76" s="34" t="n"/>
      <c r="G76" s="34" t="n"/>
      <c r="H76" s="41" t="n"/>
      <c r="I76" s="41" t="n"/>
      <c r="J76" s="34" t="n"/>
      <c r="K76" s="41" t="n"/>
      <c r="L76" s="41" t="n"/>
    </row>
    <row r="77">
      <c r="A77" s="132" t="n"/>
      <c r="B77" s="41" t="n"/>
      <c r="C77" s="34" t="n"/>
      <c r="D77" s="34" t="n"/>
      <c r="E77" s="41" t="n"/>
      <c r="F77" s="34" t="n"/>
      <c r="G77" s="34" t="n"/>
      <c r="H77" s="41" t="n"/>
      <c r="I77" s="41" t="n"/>
      <c r="J77" s="34" t="n"/>
      <c r="K77" s="41" t="n"/>
      <c r="L77" s="41" t="n"/>
    </row>
    <row r="78">
      <c r="A78" s="132" t="n"/>
      <c r="B78" s="41" t="n"/>
      <c r="C78" s="34" t="n"/>
      <c r="D78" s="34" t="n"/>
      <c r="E78" s="41" t="n"/>
      <c r="F78" s="34" t="n"/>
      <c r="G78" s="34" t="n"/>
      <c r="H78" s="41" t="n"/>
      <c r="I78" s="41" t="n"/>
      <c r="J78" s="34" t="n"/>
      <c r="K78" s="41" t="n"/>
      <c r="L78" s="41" t="n"/>
    </row>
    <row r="79">
      <c r="A79" s="132" t="n"/>
      <c r="B79" s="41" t="n"/>
      <c r="C79" s="34" t="n"/>
      <c r="D79" s="34" t="n"/>
      <c r="E79" s="41" t="n"/>
      <c r="F79" s="34" t="n"/>
      <c r="G79" s="34" t="n"/>
      <c r="H79" s="41" t="n"/>
      <c r="I79" s="41" t="n"/>
      <c r="J79" s="34" t="n"/>
      <c r="K79" s="41" t="n"/>
      <c r="L79" s="41" t="n"/>
    </row>
    <row r="80">
      <c r="A80" s="132" t="n"/>
      <c r="B80" s="41" t="n"/>
      <c r="C80" s="34" t="n"/>
      <c r="D80" s="34" t="n"/>
      <c r="E80" s="41" t="n"/>
      <c r="F80" s="34" t="n"/>
      <c r="G80" s="34" t="n"/>
      <c r="H80" s="41" t="n"/>
      <c r="I80" s="41" t="n"/>
      <c r="J80" s="34" t="n"/>
      <c r="K80" s="41" t="n"/>
      <c r="L80" s="41" t="n"/>
    </row>
    <row r="81">
      <c r="A81" s="132" t="n"/>
      <c r="B81" s="41" t="n"/>
      <c r="C81" s="34" t="n"/>
      <c r="D81" s="34" t="n"/>
      <c r="E81" s="41" t="n"/>
      <c r="F81" s="34" t="n"/>
      <c r="G81" s="34" t="n"/>
      <c r="H81" s="41" t="n"/>
      <c r="I81" s="41" t="n"/>
      <c r="J81" s="34" t="n"/>
      <c r="K81" s="41" t="n"/>
      <c r="L81" s="41" t="n"/>
    </row>
    <row r="82">
      <c r="A82" s="132" t="n"/>
      <c r="B82" s="41" t="n"/>
      <c r="C82" s="34" t="n"/>
      <c r="D82" s="34" t="n"/>
      <c r="E82" s="41" t="n"/>
      <c r="F82" s="34" t="n"/>
      <c r="G82" s="34" t="n"/>
      <c r="H82" s="41" t="n"/>
      <c r="I82" s="41" t="n"/>
      <c r="J82" s="34" t="n"/>
      <c r="K82" s="41" t="n"/>
      <c r="L82" s="41" t="n"/>
    </row>
    <row r="83">
      <c r="A83" s="132" t="n"/>
      <c r="B83" s="41" t="n"/>
      <c r="C83" s="34" t="n"/>
      <c r="D83" s="34" t="n"/>
      <c r="E83" s="41" t="n"/>
      <c r="F83" s="34" t="n"/>
      <c r="G83" s="34" t="n"/>
      <c r="H83" s="41" t="n"/>
      <c r="I83" s="41" t="n"/>
      <c r="J83" s="34" t="n"/>
      <c r="K83" s="41" t="n"/>
      <c r="L83" s="41" t="n"/>
    </row>
    <row r="84">
      <c r="A84" s="132" t="n"/>
      <c r="B84" s="41" t="n"/>
      <c r="C84" s="34" t="n"/>
      <c r="D84" s="34" t="n"/>
      <c r="E84" s="41" t="n"/>
      <c r="F84" s="34" t="n"/>
      <c r="G84" s="34" t="n"/>
      <c r="H84" s="41" t="n"/>
      <c r="I84" s="41" t="n"/>
      <c r="J84" s="34" t="n"/>
      <c r="K84" s="41" t="n"/>
      <c r="L84" s="41" t="n"/>
    </row>
    <row r="85">
      <c r="A85" s="132" t="n"/>
      <c r="B85" s="41" t="n"/>
      <c r="C85" s="34" t="n"/>
      <c r="D85" s="34" t="n"/>
      <c r="E85" s="41" t="n"/>
      <c r="F85" s="34" t="n"/>
      <c r="G85" s="34" t="n"/>
      <c r="H85" s="41" t="n"/>
      <c r="I85" s="41" t="n"/>
      <c r="J85" s="34" t="n"/>
      <c r="K85" s="41" t="n"/>
      <c r="L85" s="41" t="n"/>
    </row>
    <row r="86">
      <c r="A86" s="132" t="n"/>
      <c r="B86" s="41" t="n"/>
      <c r="C86" s="34" t="n"/>
      <c r="D86" s="34" t="n"/>
      <c r="E86" s="41" t="n"/>
      <c r="F86" s="34" t="n"/>
      <c r="G86" s="34" t="n"/>
      <c r="H86" s="41" t="n"/>
      <c r="I86" s="41" t="n"/>
      <c r="J86" s="34" t="n"/>
      <c r="K86" s="41" t="n"/>
      <c r="L86" s="41" t="n"/>
    </row>
    <row r="87">
      <c r="A87" s="132" t="n"/>
      <c r="B87" s="41" t="n"/>
      <c r="C87" s="34" t="n"/>
      <c r="D87" s="34" t="n"/>
      <c r="E87" s="41" t="n"/>
      <c r="F87" s="34" t="n"/>
      <c r="G87" s="34" t="n"/>
      <c r="H87" s="41" t="n"/>
      <c r="I87" s="41" t="n"/>
      <c r="J87" s="34" t="n"/>
      <c r="K87" s="41" t="n"/>
      <c r="L87" s="41" t="n"/>
    </row>
    <row r="88">
      <c r="A88" s="132" t="n"/>
      <c r="B88" s="41" t="n"/>
      <c r="C88" s="34" t="n"/>
      <c r="D88" s="34" t="n"/>
      <c r="E88" s="41" t="n"/>
      <c r="F88" s="34" t="n"/>
      <c r="G88" s="34" t="n"/>
      <c r="H88" s="41" t="n"/>
      <c r="I88" s="41" t="n"/>
      <c r="J88" s="34" t="n"/>
      <c r="K88" s="41" t="n"/>
      <c r="L88" s="41" t="n"/>
    </row>
    <row r="89">
      <c r="A89" s="132" t="n"/>
      <c r="B89" s="41" t="n"/>
      <c r="C89" s="34" t="n"/>
      <c r="D89" s="34" t="n"/>
      <c r="E89" s="41" t="n"/>
      <c r="F89" s="34" t="n"/>
      <c r="G89" s="34" t="n"/>
      <c r="H89" s="41" t="n"/>
      <c r="I89" s="41" t="n"/>
      <c r="J89" s="34" t="n"/>
      <c r="K89" s="41" t="n"/>
      <c r="L89" s="41" t="n"/>
    </row>
    <row r="90">
      <c r="A90" s="132" t="n"/>
      <c r="B90" s="41" t="n"/>
      <c r="C90" s="34" t="n"/>
      <c r="D90" s="34" t="n"/>
      <c r="E90" s="41" t="n"/>
      <c r="F90" s="34" t="n"/>
      <c r="G90" s="34" t="n"/>
      <c r="H90" s="41" t="n"/>
      <c r="I90" s="41" t="n"/>
      <c r="J90" s="34" t="n"/>
      <c r="K90" s="41" t="n"/>
      <c r="L90" s="41" t="n"/>
    </row>
    <row r="91">
      <c r="A91" s="132" t="n"/>
      <c r="B91" s="41" t="n"/>
      <c r="C91" s="34" t="n"/>
      <c r="D91" s="34" t="n"/>
      <c r="E91" s="41" t="n"/>
      <c r="F91" s="34" t="n"/>
      <c r="G91" s="34" t="n"/>
      <c r="H91" s="41" t="n"/>
      <c r="I91" s="41" t="n"/>
      <c r="J91" s="34" t="n"/>
      <c r="K91" s="41" t="n"/>
      <c r="L91" s="41" t="n"/>
    </row>
    <row r="92">
      <c r="A92" s="132" t="n"/>
      <c r="B92" s="41" t="n"/>
      <c r="C92" s="34" t="n"/>
      <c r="D92" s="34" t="n"/>
      <c r="E92" s="41" t="n"/>
      <c r="F92" s="34" t="n"/>
      <c r="G92" s="34" t="n"/>
      <c r="H92" s="41" t="n"/>
      <c r="I92" s="41" t="n"/>
      <c r="J92" s="34" t="n"/>
      <c r="K92" s="41" t="n"/>
      <c r="L92" s="41" t="n"/>
    </row>
    <row r="93">
      <c r="A93" s="132" t="n"/>
      <c r="B93" s="41" t="n"/>
      <c r="C93" s="34" t="n"/>
      <c r="D93" s="34" t="n"/>
      <c r="E93" s="41" t="n"/>
      <c r="F93" s="34" t="n"/>
      <c r="G93" s="34" t="n"/>
      <c r="H93" s="41" t="n"/>
      <c r="I93" s="41" t="n"/>
      <c r="J93" s="34" t="n"/>
      <c r="K93" s="41" t="n"/>
      <c r="L93" s="41" t="n"/>
    </row>
    <row r="94">
      <c r="A94" s="132" t="n"/>
      <c r="B94" s="41" t="n"/>
      <c r="C94" s="34" t="n"/>
      <c r="D94" s="34" t="n"/>
      <c r="E94" s="41" t="n"/>
      <c r="F94" s="34" t="n"/>
      <c r="G94" s="34" t="n"/>
      <c r="H94" s="41" t="n"/>
      <c r="I94" s="41" t="n"/>
      <c r="J94" s="34" t="n"/>
      <c r="K94" s="41" t="n"/>
      <c r="L94" s="41" t="n"/>
    </row>
    <row r="95">
      <c r="A95" s="132" t="n"/>
      <c r="B95" s="41" t="n"/>
      <c r="C95" s="34" t="n"/>
      <c r="D95" s="34" t="n"/>
      <c r="E95" s="41" t="n"/>
      <c r="F95" s="34" t="n"/>
      <c r="G95" s="34" t="n"/>
      <c r="H95" s="41" t="n"/>
      <c r="I95" s="41" t="n"/>
      <c r="J95" s="34" t="n"/>
      <c r="K95" s="41" t="n"/>
      <c r="L95" s="41" t="n"/>
    </row>
    <row r="96">
      <c r="A96" s="132" t="n"/>
      <c r="B96" s="41" t="n"/>
      <c r="C96" s="34" t="n"/>
      <c r="D96" s="34" t="n"/>
      <c r="E96" s="41" t="n"/>
      <c r="F96" s="34" t="n"/>
      <c r="G96" s="34" t="n"/>
      <c r="H96" s="41" t="n"/>
      <c r="I96" s="41" t="n"/>
      <c r="J96" s="34" t="n"/>
      <c r="K96" s="41" t="n"/>
      <c r="L96" s="41" t="n"/>
    </row>
    <row r="97">
      <c r="A97" s="132" t="n"/>
      <c r="B97" s="41" t="n"/>
      <c r="C97" s="34" t="n"/>
      <c r="D97" s="34" t="n"/>
      <c r="E97" s="41" t="n"/>
      <c r="F97" s="34" t="n"/>
      <c r="G97" s="34" t="n"/>
      <c r="H97" s="41" t="n"/>
      <c r="I97" s="41" t="n"/>
      <c r="J97" s="34" t="n"/>
      <c r="K97" s="41" t="n"/>
      <c r="L97" s="41" t="n"/>
    </row>
    <row r="98">
      <c r="A98" s="132" t="n"/>
      <c r="B98" s="41" t="n"/>
      <c r="C98" s="34" t="n"/>
      <c r="D98" s="34" t="n"/>
      <c r="E98" s="41" t="n"/>
      <c r="F98" s="34" t="n"/>
      <c r="G98" s="34" t="n"/>
      <c r="H98" s="41" t="n"/>
      <c r="I98" s="41" t="n"/>
      <c r="J98" s="34" t="n"/>
      <c r="K98" s="41" t="n"/>
      <c r="L98" s="41" t="n"/>
    </row>
    <row r="99">
      <c r="A99" s="132" t="n"/>
      <c r="B99" s="41" t="n"/>
      <c r="C99" s="34" t="n"/>
      <c r="D99" s="34" t="n"/>
      <c r="E99" s="41" t="n"/>
      <c r="F99" s="34" t="n"/>
      <c r="G99" s="34" t="n"/>
      <c r="H99" s="41" t="n"/>
      <c r="I99" s="41" t="n"/>
      <c r="J99" s="34" t="n"/>
      <c r="K99" s="41" t="n"/>
      <c r="L99" s="41" t="n"/>
    </row>
    <row r="100">
      <c r="A100" s="132" t="n"/>
      <c r="B100" s="41" t="n"/>
      <c r="C100" s="34" t="n"/>
      <c r="D100" s="34" t="n"/>
      <c r="E100" s="41" t="n"/>
      <c r="F100" s="34" t="n"/>
      <c r="G100" s="34" t="n"/>
      <c r="H100" s="41" t="n"/>
      <c r="I100" s="41" t="n"/>
      <c r="J100" s="34" t="n"/>
      <c r="K100" s="41" t="n"/>
      <c r="L100" s="41" t="n"/>
    </row>
    <row r="101">
      <c r="A101" s="132" t="n"/>
      <c r="B101" s="41" t="n"/>
      <c r="C101" s="34" t="n"/>
      <c r="D101" s="34" t="n"/>
      <c r="E101" s="41" t="n"/>
      <c r="F101" s="34" t="n"/>
      <c r="G101" s="34" t="n"/>
      <c r="H101" s="41" t="n"/>
      <c r="I101" s="41" t="n"/>
      <c r="J101" s="34" t="n"/>
      <c r="K101" s="41" t="n"/>
      <c r="L101" s="41" t="n"/>
    </row>
    <row r="102">
      <c r="A102" s="132" t="n"/>
      <c r="B102" s="41" t="n"/>
      <c r="C102" s="34" t="n"/>
      <c r="D102" s="34" t="n"/>
      <c r="E102" s="41" t="n"/>
      <c r="F102" s="34" t="n"/>
      <c r="G102" s="34" t="n"/>
      <c r="H102" s="41" t="n"/>
      <c r="I102" s="41" t="n"/>
      <c r="J102" s="34" t="n"/>
      <c r="K102" s="41" t="n"/>
      <c r="L102" s="41" t="n"/>
    </row>
    <row r="103">
      <c r="A103" s="132" t="n"/>
      <c r="B103" s="41" t="n"/>
      <c r="C103" s="34" t="n"/>
      <c r="D103" s="34" t="n"/>
      <c r="E103" s="41" t="n"/>
      <c r="F103" s="34" t="n"/>
      <c r="G103" s="34" t="n"/>
      <c r="H103" s="41" t="n"/>
      <c r="I103" s="41" t="n"/>
      <c r="J103" s="34" t="n"/>
      <c r="K103" s="41" t="n"/>
      <c r="L103" s="41" t="n"/>
    </row>
    <row r="104">
      <c r="A104" s="132" t="n"/>
      <c r="B104" s="41" t="n"/>
      <c r="C104" s="34" t="n"/>
      <c r="D104" s="34" t="n"/>
      <c r="E104" s="41" t="n"/>
      <c r="F104" s="34" t="n"/>
      <c r="G104" s="34" t="n"/>
      <c r="H104" s="41" t="n"/>
      <c r="I104" s="41" t="n"/>
      <c r="J104" s="34" t="n"/>
      <c r="K104" s="41" t="n"/>
      <c r="L104" s="41" t="n"/>
    </row>
    <row r="105">
      <c r="A105" s="132" t="n"/>
      <c r="B105" s="41" t="n"/>
      <c r="C105" s="34" t="n"/>
      <c r="D105" s="34" t="n"/>
      <c r="E105" s="41" t="n"/>
      <c r="F105" s="34" t="n"/>
      <c r="G105" s="34" t="n"/>
      <c r="H105" s="41" t="n"/>
      <c r="I105" s="41" t="n"/>
      <c r="J105" s="34" t="n"/>
      <c r="K105" s="41" t="n"/>
      <c r="L105" s="41" t="n"/>
    </row>
    <row r="106">
      <c r="A106" s="132" t="n"/>
      <c r="B106" s="41" t="n"/>
      <c r="C106" s="34" t="n"/>
      <c r="D106" s="34" t="n"/>
      <c r="E106" s="41" t="n"/>
      <c r="F106" s="34" t="n"/>
      <c r="G106" s="34" t="n"/>
      <c r="H106" s="41" t="n"/>
      <c r="I106" s="41" t="n"/>
      <c r="J106" s="34" t="n"/>
      <c r="K106" s="41" t="n"/>
      <c r="L106" s="41" t="n"/>
    </row>
    <row r="107">
      <c r="A107" s="132" t="n"/>
      <c r="B107" s="41" t="n"/>
      <c r="C107" s="34" t="n"/>
      <c r="D107" s="34" t="n"/>
      <c r="E107" s="41" t="n"/>
      <c r="F107" s="34" t="n"/>
      <c r="G107" s="34" t="n"/>
      <c r="H107" s="41" t="n"/>
      <c r="I107" s="41" t="n"/>
      <c r="J107" s="34" t="n"/>
      <c r="K107" s="41" t="n"/>
      <c r="L107" s="41" t="n"/>
    </row>
    <row r="108">
      <c r="A108" s="132" t="n"/>
      <c r="B108" s="41" t="n"/>
      <c r="C108" s="34" t="n"/>
      <c r="D108" s="34" t="n"/>
      <c r="E108" s="41" t="n"/>
      <c r="F108" s="34" t="n"/>
      <c r="G108" s="34" t="n"/>
      <c r="H108" s="41" t="n"/>
      <c r="I108" s="41" t="n"/>
      <c r="J108" s="34" t="n"/>
      <c r="K108" s="41" t="n"/>
      <c r="L108" s="41" t="n"/>
    </row>
    <row r="109">
      <c r="A109" s="132" t="n"/>
      <c r="B109" s="41" t="n"/>
      <c r="C109" s="34" t="n"/>
      <c r="D109" s="34" t="n"/>
      <c r="E109" s="41" t="n"/>
      <c r="F109" s="34" t="n"/>
      <c r="G109" s="34" t="n"/>
      <c r="H109" s="41" t="n"/>
      <c r="I109" s="41" t="n"/>
      <c r="J109" s="34" t="n"/>
      <c r="K109" s="41" t="n"/>
      <c r="L109" s="41" t="n"/>
    </row>
    <row r="110">
      <c r="A110" s="132" t="n"/>
      <c r="B110" s="41" t="n"/>
      <c r="C110" s="34" t="n"/>
      <c r="D110" s="34" t="n"/>
      <c r="E110" s="41" t="n"/>
      <c r="F110" s="34" t="n"/>
      <c r="G110" s="34" t="n"/>
      <c r="H110" s="41" t="n"/>
      <c r="I110" s="41" t="n"/>
      <c r="J110" s="34" t="n"/>
      <c r="K110" s="41" t="n"/>
      <c r="L110" s="41" t="n"/>
    </row>
    <row r="111">
      <c r="A111" s="132" t="n"/>
      <c r="B111" s="41" t="n"/>
      <c r="C111" s="34" t="n"/>
      <c r="D111" s="34" t="n"/>
      <c r="E111" s="41" t="n"/>
      <c r="F111" s="34" t="n"/>
      <c r="G111" s="34" t="n"/>
      <c r="H111" s="41" t="n"/>
      <c r="I111" s="41" t="n"/>
      <c r="J111" s="34" t="n"/>
      <c r="K111" s="41" t="n"/>
      <c r="L111" s="41" t="n"/>
    </row>
    <row r="112">
      <c r="A112" s="132" t="n"/>
      <c r="B112" s="41" t="n"/>
      <c r="C112" s="34" t="n"/>
      <c r="D112" s="34" t="n"/>
      <c r="E112" s="41" t="n"/>
      <c r="F112" s="34" t="n"/>
      <c r="G112" s="34" t="n"/>
      <c r="H112" s="41" t="n"/>
      <c r="I112" s="41" t="n"/>
      <c r="J112" s="34" t="n"/>
      <c r="K112" s="41" t="n"/>
      <c r="L112" s="41" t="n"/>
    </row>
    <row r="113">
      <c r="A113" s="132" t="n"/>
      <c r="B113" s="41" t="n"/>
      <c r="C113" s="34" t="n"/>
      <c r="D113" s="34" t="n"/>
      <c r="E113" s="41" t="n"/>
      <c r="F113" s="34" t="n"/>
      <c r="G113" s="34" t="n"/>
      <c r="H113" s="41" t="n"/>
      <c r="I113" s="41" t="n"/>
      <c r="J113" s="34" t="n"/>
      <c r="K113" s="41" t="n"/>
      <c r="L113" s="41" t="n"/>
    </row>
    <row r="114">
      <c r="A114" s="132" t="n"/>
      <c r="B114" s="41" t="n"/>
      <c r="C114" s="34" t="n"/>
      <c r="D114" s="34" t="n"/>
      <c r="E114" s="41" t="n"/>
      <c r="F114" s="34" t="n"/>
      <c r="G114" s="34" t="n"/>
      <c r="H114" s="41" t="n"/>
      <c r="I114" s="41" t="n"/>
      <c r="J114" s="34" t="n"/>
      <c r="K114" s="41" t="n"/>
      <c r="L114" s="41" t="n"/>
    </row>
    <row r="115">
      <c r="A115" s="132" t="n"/>
      <c r="B115" s="41" t="n"/>
      <c r="C115" s="34" t="n"/>
      <c r="D115" s="34" t="n"/>
      <c r="E115" s="41" t="n"/>
      <c r="F115" s="34" t="n"/>
      <c r="G115" s="34" t="n"/>
      <c r="H115" s="41" t="n"/>
      <c r="I115" s="41" t="n"/>
      <c r="J115" s="34" t="n"/>
      <c r="K115" s="41" t="n"/>
      <c r="L115" s="41" t="n"/>
    </row>
    <row r="116">
      <c r="A116" s="132" t="n"/>
      <c r="B116" s="41" t="n"/>
      <c r="C116" s="34" t="n"/>
      <c r="D116" s="34" t="n"/>
      <c r="E116" s="41" t="n"/>
      <c r="F116" s="34" t="n"/>
      <c r="G116" s="34" t="n"/>
      <c r="H116" s="41" t="n"/>
      <c r="I116" s="41" t="n"/>
      <c r="J116" s="34" t="n"/>
      <c r="K116" s="41" t="n"/>
      <c r="L116" s="41" t="n"/>
    </row>
    <row r="117">
      <c r="A117" s="132" t="n"/>
      <c r="B117" s="41" t="n"/>
      <c r="C117" s="34" t="n"/>
      <c r="D117" s="34" t="n"/>
      <c r="E117" s="41" t="n"/>
      <c r="F117" s="34" t="n"/>
      <c r="G117" s="34" t="n"/>
      <c r="H117" s="41" t="n"/>
      <c r="I117" s="41" t="n"/>
      <c r="J117" s="34" t="n"/>
      <c r="K117" s="41" t="n"/>
      <c r="L117" s="41" t="n"/>
    </row>
    <row r="118">
      <c r="A118" s="132" t="n"/>
      <c r="B118" s="41" t="n"/>
      <c r="C118" s="34" t="n"/>
      <c r="D118" s="34" t="n"/>
      <c r="E118" s="41" t="n"/>
      <c r="F118" s="34" t="n"/>
      <c r="G118" s="34" t="n"/>
      <c r="H118" s="41" t="n"/>
      <c r="I118" s="41" t="n"/>
      <c r="J118" s="34" t="n"/>
      <c r="K118" s="41" t="n"/>
      <c r="L118" s="41" t="n"/>
    </row>
    <row r="119">
      <c r="A119" s="132" t="n"/>
      <c r="B119" s="41" t="n"/>
      <c r="C119" s="34" t="n"/>
      <c r="D119" s="34" t="n"/>
      <c r="E119" s="41" t="n"/>
      <c r="F119" s="34" t="n"/>
      <c r="G119" s="34" t="n"/>
      <c r="H119" s="41" t="n"/>
      <c r="I119" s="41" t="n"/>
      <c r="J119" s="34" t="n"/>
      <c r="K119" s="41" t="n"/>
      <c r="L119" s="41" t="n"/>
    </row>
    <row r="120">
      <c r="A120" s="132" t="n"/>
      <c r="B120" s="41" t="n"/>
      <c r="C120" s="34" t="n"/>
      <c r="D120" s="34" t="n"/>
      <c r="E120" s="41" t="n"/>
      <c r="F120" s="34" t="n"/>
      <c r="G120" s="34" t="n"/>
      <c r="H120" s="41" t="n"/>
      <c r="I120" s="41" t="n"/>
      <c r="J120" s="34" t="n"/>
      <c r="K120" s="41" t="n"/>
      <c r="L120" s="41" t="n"/>
    </row>
    <row r="121">
      <c r="A121" s="132" t="n"/>
      <c r="B121" s="41" t="n"/>
      <c r="C121" s="34" t="n"/>
      <c r="D121" s="34" t="n"/>
      <c r="E121" s="41" t="n"/>
      <c r="F121" s="34" t="n"/>
      <c r="G121" s="34" t="n"/>
      <c r="H121" s="41" t="n"/>
      <c r="I121" s="41" t="n"/>
      <c r="J121" s="34" t="n"/>
      <c r="K121" s="41" t="n"/>
      <c r="L121" s="41" t="n"/>
    </row>
    <row r="122">
      <c r="A122" s="132" t="n"/>
      <c r="B122" s="41" t="n"/>
      <c r="C122" s="34" t="n"/>
      <c r="D122" s="34" t="n"/>
      <c r="E122" s="41" t="n"/>
      <c r="F122" s="34" t="n"/>
      <c r="G122" s="34" t="n"/>
      <c r="H122" s="41" t="n"/>
      <c r="I122" s="41" t="n"/>
      <c r="J122" s="34" t="n"/>
      <c r="K122" s="41" t="n"/>
      <c r="L122" s="41" t="n"/>
    </row>
    <row r="123">
      <c r="A123" s="132" t="n"/>
      <c r="B123" s="41" t="n"/>
      <c r="C123" s="34" t="n"/>
      <c r="D123" s="34" t="n"/>
      <c r="E123" s="41" t="n"/>
      <c r="F123" s="34" t="n"/>
      <c r="G123" s="34" t="n"/>
      <c r="H123" s="41" t="n"/>
      <c r="I123" s="41" t="n"/>
      <c r="J123" s="34" t="n"/>
      <c r="K123" s="41" t="n"/>
      <c r="L123" s="41" t="n"/>
    </row>
    <row r="124">
      <c r="A124" s="132" t="n"/>
      <c r="B124" s="41" t="n"/>
      <c r="C124" s="34" t="n"/>
      <c r="D124" s="34" t="n"/>
      <c r="E124" s="41" t="n"/>
      <c r="F124" s="34" t="n"/>
      <c r="G124" s="34" t="n"/>
      <c r="H124" s="41" t="n"/>
      <c r="I124" s="41" t="n"/>
      <c r="J124" s="34" t="n"/>
      <c r="K124" s="41" t="n"/>
      <c r="L124" s="41" t="n"/>
    </row>
    <row r="125">
      <c r="A125" s="132" t="n"/>
      <c r="B125" s="41" t="n"/>
      <c r="C125" s="34" t="n"/>
      <c r="D125" s="34" t="n"/>
      <c r="E125" s="41" t="n"/>
      <c r="F125" s="34" t="n"/>
      <c r="G125" s="34" t="n"/>
      <c r="H125" s="41" t="n"/>
      <c r="I125" s="41" t="n"/>
      <c r="J125" s="34" t="n"/>
      <c r="K125" s="41" t="n"/>
      <c r="L125" s="41" t="n"/>
    </row>
    <row r="126">
      <c r="A126" s="132" t="n"/>
      <c r="B126" s="41" t="n"/>
      <c r="C126" s="34" t="n"/>
      <c r="D126" s="34" t="n"/>
      <c r="E126" s="41" t="n"/>
      <c r="F126" s="34" t="n"/>
      <c r="G126" s="34" t="n"/>
      <c r="H126" s="41" t="n"/>
      <c r="I126" s="41" t="n"/>
      <c r="J126" s="34" t="n"/>
      <c r="K126" s="41" t="n"/>
      <c r="L126" s="41" t="n"/>
    </row>
    <row r="127">
      <c r="A127" s="132" t="n"/>
      <c r="B127" s="41" t="n"/>
      <c r="C127" s="34" t="n"/>
      <c r="D127" s="34" t="n"/>
      <c r="E127" s="41" t="n"/>
      <c r="F127" s="34" t="n"/>
      <c r="G127" s="34" t="n"/>
      <c r="H127" s="41" t="n"/>
      <c r="I127" s="41" t="n"/>
      <c r="J127" s="34" t="n"/>
      <c r="K127" s="41" t="n"/>
      <c r="L127" s="41" t="n"/>
    </row>
    <row r="128">
      <c r="A128" s="132" t="n"/>
      <c r="B128" s="41" t="n"/>
      <c r="C128" s="34" t="n"/>
      <c r="D128" s="34" t="n"/>
      <c r="E128" s="41" t="n"/>
      <c r="F128" s="34" t="n"/>
      <c r="G128" s="34" t="n"/>
      <c r="H128" s="41" t="n"/>
      <c r="I128" s="41" t="n"/>
      <c r="J128" s="34" t="n"/>
      <c r="K128" s="41" t="n"/>
      <c r="L128" s="41" t="n"/>
    </row>
    <row r="129">
      <c r="A129" s="132" t="n"/>
      <c r="B129" s="41" t="n"/>
      <c r="C129" s="34" t="n"/>
      <c r="D129" s="34" t="n"/>
      <c r="E129" s="41" t="n"/>
      <c r="F129" s="34" t="n"/>
      <c r="G129" s="34" t="n"/>
      <c r="H129" s="41" t="n"/>
      <c r="I129" s="41" t="n"/>
      <c r="J129" s="34" t="n"/>
      <c r="K129" s="41" t="n"/>
      <c r="L129" s="41" t="n"/>
    </row>
    <row r="130">
      <c r="A130" s="132" t="n"/>
      <c r="B130" s="41" t="n"/>
      <c r="C130" s="34" t="n"/>
      <c r="D130" s="34" t="n"/>
      <c r="E130" s="41" t="n"/>
      <c r="F130" s="34" t="n"/>
      <c r="G130" s="34" t="n"/>
      <c r="H130" s="41" t="n"/>
      <c r="I130" s="41" t="n"/>
      <c r="J130" s="34" t="n"/>
      <c r="K130" s="41" t="n"/>
      <c r="L130" s="41" t="n"/>
    </row>
    <row r="131">
      <c r="A131" s="132" t="n"/>
      <c r="B131" s="41" t="n"/>
      <c r="C131" s="34" t="n"/>
      <c r="D131" s="34" t="n"/>
      <c r="E131" s="41" t="n"/>
      <c r="F131" s="34" t="n"/>
      <c r="G131" s="34" t="n"/>
      <c r="H131" s="41" t="n"/>
      <c r="I131" s="41" t="n"/>
      <c r="J131" s="34" t="n"/>
      <c r="K131" s="41" t="n"/>
      <c r="L131" s="41" t="n"/>
    </row>
    <row r="132">
      <c r="A132" s="132" t="n"/>
      <c r="B132" s="41" t="n"/>
      <c r="C132" s="34" t="n"/>
      <c r="D132" s="34" t="n"/>
      <c r="E132" s="41" t="n"/>
      <c r="F132" s="34" t="n"/>
      <c r="G132" s="34" t="n"/>
      <c r="H132" s="41" t="n"/>
      <c r="I132" s="41" t="n"/>
      <c r="J132" s="34" t="n"/>
      <c r="K132" s="41" t="n"/>
      <c r="L132" s="41" t="n"/>
    </row>
    <row r="133">
      <c r="A133" s="132" t="n"/>
      <c r="B133" s="41" t="n"/>
      <c r="C133" s="34" t="n"/>
      <c r="D133" s="34" t="n"/>
      <c r="E133" s="41" t="n"/>
      <c r="F133" s="34" t="n"/>
      <c r="G133" s="34" t="n"/>
      <c r="H133" s="41" t="n"/>
      <c r="I133" s="41" t="n"/>
      <c r="J133" s="34" t="n"/>
      <c r="K133" s="41" t="n"/>
      <c r="L133" s="41" t="n"/>
    </row>
    <row r="134">
      <c r="A134" s="132" t="n"/>
      <c r="B134" s="41" t="n"/>
      <c r="C134" s="34" t="n"/>
      <c r="D134" s="34" t="n"/>
      <c r="E134" s="41" t="n"/>
      <c r="F134" s="34" t="n"/>
      <c r="G134" s="34" t="n"/>
      <c r="H134" s="41" t="n"/>
      <c r="I134" s="41" t="n"/>
      <c r="J134" s="34" t="n"/>
      <c r="K134" s="41" t="n"/>
      <c r="L134" s="41" t="n"/>
    </row>
    <row r="135">
      <c r="A135" s="132" t="n"/>
      <c r="B135" s="41" t="n"/>
      <c r="C135" s="34" t="n"/>
      <c r="D135" s="34" t="n"/>
      <c r="E135" s="41" t="n"/>
      <c r="F135" s="34" t="n"/>
      <c r="G135" s="34" t="n"/>
      <c r="H135" s="41" t="n"/>
      <c r="I135" s="41" t="n"/>
      <c r="J135" s="34" t="n"/>
      <c r="K135" s="41" t="n"/>
      <c r="L135" s="41" t="n"/>
    </row>
    <row r="136">
      <c r="A136" s="132" t="n"/>
      <c r="B136" s="41" t="n"/>
      <c r="C136" s="34" t="n"/>
      <c r="D136" s="34" t="n"/>
      <c r="E136" s="41" t="n"/>
      <c r="F136" s="34" t="n"/>
      <c r="G136" s="34" t="n"/>
      <c r="H136" s="41" t="n"/>
      <c r="I136" s="41" t="n"/>
      <c r="J136" s="34" t="n"/>
      <c r="K136" s="41" t="n"/>
      <c r="L136" s="41" t="n"/>
    </row>
    <row r="137">
      <c r="A137" s="132" t="n"/>
      <c r="B137" s="41" t="n"/>
      <c r="C137" s="34" t="n"/>
      <c r="D137" s="34" t="n"/>
      <c r="E137" s="41" t="n"/>
      <c r="F137" s="34" t="n"/>
      <c r="G137" s="34" t="n"/>
      <c r="H137" s="41" t="n"/>
      <c r="I137" s="41" t="n"/>
      <c r="J137" s="34" t="n"/>
      <c r="K137" s="41" t="n"/>
      <c r="L137" s="41" t="n"/>
    </row>
    <row r="138">
      <c r="A138" s="132" t="n"/>
      <c r="B138" s="41" t="n"/>
      <c r="C138" s="34" t="n"/>
      <c r="D138" s="34" t="n"/>
      <c r="E138" s="41" t="n"/>
      <c r="F138" s="34" t="n"/>
      <c r="G138" s="34" t="n"/>
      <c r="H138" s="41" t="n"/>
      <c r="I138" s="41" t="n"/>
      <c r="J138" s="34" t="n"/>
      <c r="K138" s="41" t="n"/>
      <c r="L138" s="41" t="n"/>
    </row>
    <row r="139">
      <c r="A139" s="132" t="n"/>
      <c r="B139" s="41" t="n"/>
      <c r="C139" s="34" t="n"/>
      <c r="D139" s="34" t="n"/>
      <c r="E139" s="41" t="n"/>
      <c r="F139" s="34" t="n"/>
      <c r="G139" s="34" t="n"/>
      <c r="H139" s="41" t="n"/>
      <c r="I139" s="41" t="n"/>
      <c r="J139" s="34" t="n"/>
      <c r="K139" s="41" t="n"/>
      <c r="L139" s="41" t="n"/>
    </row>
    <row r="140">
      <c r="A140" s="132" t="n"/>
      <c r="B140" s="41" t="n"/>
      <c r="C140" s="34" t="n"/>
      <c r="D140" s="34" t="n"/>
      <c r="E140" s="41" t="n"/>
      <c r="F140" s="34" t="n"/>
      <c r="G140" s="34" t="n"/>
      <c r="H140" s="41" t="n"/>
      <c r="I140" s="41" t="n"/>
      <c r="J140" s="34" t="n"/>
      <c r="K140" s="41" t="n"/>
      <c r="L140" s="41" t="n"/>
    </row>
    <row r="141">
      <c r="A141" s="132" t="n"/>
      <c r="B141" s="41" t="n"/>
      <c r="C141" s="34" t="n"/>
      <c r="D141" s="34" t="n"/>
      <c r="E141" s="41" t="n"/>
      <c r="F141" s="34" t="n"/>
      <c r="G141" s="34" t="n"/>
      <c r="H141" s="41" t="n"/>
      <c r="I141" s="41" t="n"/>
      <c r="J141" s="34" t="n"/>
      <c r="K141" s="41" t="n"/>
      <c r="L141" s="41" t="n"/>
    </row>
    <row r="142">
      <c r="A142" s="132" t="n"/>
      <c r="B142" s="41" t="n"/>
      <c r="C142" s="34" t="n"/>
      <c r="D142" s="34" t="n"/>
      <c r="E142" s="41" t="n"/>
      <c r="F142" s="34" t="n"/>
      <c r="G142" s="34" t="n"/>
      <c r="H142" s="41" t="n"/>
      <c r="I142" s="41" t="n"/>
      <c r="J142" s="34" t="n"/>
      <c r="K142" s="41" t="n"/>
      <c r="L142" s="41" t="n"/>
    </row>
    <row r="143">
      <c r="A143" s="132" t="n"/>
      <c r="B143" s="41" t="n"/>
      <c r="C143" s="34" t="n"/>
      <c r="D143" s="34" t="n"/>
      <c r="E143" s="41" t="n"/>
      <c r="F143" s="34" t="n"/>
      <c r="G143" s="34" t="n"/>
      <c r="H143" s="41" t="n"/>
      <c r="I143" s="41" t="n"/>
      <c r="J143" s="34" t="n"/>
      <c r="K143" s="41" t="n"/>
      <c r="L143" s="41" t="n"/>
    </row>
    <row r="144">
      <c r="A144" s="132" t="n"/>
      <c r="B144" s="41" t="n"/>
      <c r="C144" s="34" t="n"/>
      <c r="D144" s="34" t="n"/>
      <c r="E144" s="41" t="n"/>
      <c r="F144" s="34" t="n"/>
      <c r="G144" s="34" t="n"/>
      <c r="H144" s="41" t="n"/>
      <c r="I144" s="41" t="n"/>
      <c r="J144" s="34" t="n"/>
      <c r="K144" s="41" t="n"/>
      <c r="L144" s="41" t="n"/>
    </row>
    <row r="145">
      <c r="A145" s="132" t="n"/>
      <c r="B145" s="41" t="n"/>
      <c r="C145" s="34" t="n"/>
      <c r="D145" s="34" t="n"/>
      <c r="E145" s="41" t="n"/>
      <c r="F145" s="34" t="n"/>
      <c r="G145" s="34" t="n"/>
      <c r="H145" s="41" t="n"/>
      <c r="I145" s="41" t="n"/>
      <c r="J145" s="34" t="n"/>
      <c r="K145" s="41" t="n"/>
      <c r="L145" s="41" t="n"/>
    </row>
    <row r="146">
      <c r="A146" s="132" t="n"/>
      <c r="B146" s="41" t="n"/>
      <c r="C146" s="34" t="n"/>
      <c r="D146" s="34" t="n"/>
      <c r="E146" s="41" t="n"/>
      <c r="F146" s="34" t="n"/>
      <c r="G146" s="34" t="n"/>
      <c r="H146" s="41" t="n"/>
      <c r="I146" s="41" t="n"/>
      <c r="J146" s="34" t="n"/>
      <c r="K146" s="41" t="n"/>
      <c r="L146" s="41" t="n"/>
    </row>
    <row r="147">
      <c r="A147" s="132" t="n"/>
      <c r="B147" s="41" t="n"/>
      <c r="C147" s="34" t="n"/>
      <c r="D147" s="34" t="n"/>
      <c r="E147" s="41" t="n"/>
      <c r="F147" s="34" t="n"/>
      <c r="G147" s="34" t="n"/>
      <c r="H147" s="41" t="n"/>
      <c r="I147" s="41" t="n"/>
      <c r="J147" s="34" t="n"/>
      <c r="K147" s="41" t="n"/>
      <c r="L147" s="41" t="n"/>
    </row>
    <row r="148">
      <c r="A148" s="132" t="n"/>
      <c r="B148" s="41" t="n"/>
      <c r="C148" s="34" t="n"/>
      <c r="D148" s="34" t="n"/>
      <c r="E148" s="41" t="n"/>
      <c r="F148" s="34" t="n"/>
      <c r="G148" s="34" t="n"/>
      <c r="H148" s="41" t="n"/>
      <c r="I148" s="41" t="n"/>
      <c r="J148" s="34" t="n"/>
      <c r="K148" s="41" t="n"/>
      <c r="L148" s="41" t="n"/>
    </row>
    <row r="149">
      <c r="A149" s="132" t="n"/>
      <c r="B149" s="41" t="n"/>
      <c r="C149" s="34" t="n"/>
      <c r="D149" s="34" t="n"/>
      <c r="E149" s="41" t="n"/>
      <c r="F149" s="34" t="n"/>
      <c r="G149" s="34" t="n"/>
      <c r="H149" s="41" t="n"/>
      <c r="I149" s="41" t="n"/>
      <c r="J149" s="34" t="n"/>
      <c r="K149" s="41" t="n"/>
      <c r="L149" s="41" t="n"/>
    </row>
    <row r="150">
      <c r="A150" s="132" t="n"/>
      <c r="B150" s="41" t="n"/>
      <c r="C150" s="34" t="n"/>
      <c r="D150" s="34" t="n"/>
      <c r="E150" s="41" t="n"/>
      <c r="F150" s="34" t="n"/>
      <c r="G150" s="34" t="n"/>
      <c r="H150" s="41" t="n"/>
      <c r="I150" s="41" t="n"/>
      <c r="J150" s="34" t="n"/>
      <c r="K150" s="41" t="n"/>
      <c r="L150" s="41" t="n"/>
    </row>
    <row r="151">
      <c r="A151" s="132" t="n"/>
      <c r="B151" s="41" t="n"/>
      <c r="C151" s="34" t="n"/>
      <c r="D151" s="34" t="n"/>
      <c r="E151" s="41" t="n"/>
      <c r="F151" s="34" t="n"/>
      <c r="G151" s="34" t="n"/>
      <c r="H151" s="41" t="n"/>
      <c r="I151" s="41" t="n"/>
      <c r="J151" s="34" t="n"/>
      <c r="K151" s="41" t="n"/>
      <c r="L151" s="41" t="n"/>
    </row>
    <row r="152">
      <c r="A152" s="132" t="n"/>
      <c r="B152" s="41" t="n"/>
      <c r="C152" s="34" t="n"/>
      <c r="D152" s="34" t="n"/>
      <c r="E152" s="41" t="n"/>
      <c r="F152" s="34" t="n"/>
      <c r="G152" s="34" t="n"/>
      <c r="H152" s="41" t="n"/>
      <c r="I152" s="41" t="n"/>
      <c r="J152" s="34" t="n"/>
      <c r="K152" s="41" t="n"/>
      <c r="L152" s="41" t="n"/>
    </row>
    <row r="153">
      <c r="A153" s="132" t="n"/>
      <c r="B153" s="41" t="n"/>
      <c r="C153" s="34" t="n"/>
      <c r="D153" s="34" t="n"/>
      <c r="E153" s="41" t="n"/>
      <c r="F153" s="34" t="n"/>
      <c r="G153" s="34" t="n"/>
      <c r="H153" s="41" t="n"/>
      <c r="I153" s="41" t="n"/>
      <c r="J153" s="34" t="n"/>
      <c r="K153" s="41" t="n"/>
      <c r="L153" s="41" t="n"/>
    </row>
    <row r="154">
      <c r="A154" s="132" t="n"/>
      <c r="B154" s="41" t="n"/>
      <c r="C154" s="34" t="n"/>
      <c r="D154" s="34" t="n"/>
      <c r="E154" s="41" t="n"/>
      <c r="F154" s="34" t="n"/>
      <c r="G154" s="34" t="n"/>
      <c r="H154" s="41" t="n"/>
      <c r="I154" s="41" t="n"/>
      <c r="J154" s="34" t="n"/>
      <c r="K154" s="41" t="n"/>
      <c r="L154" s="41" t="n"/>
    </row>
    <row r="155">
      <c r="A155" s="132" t="n"/>
      <c r="B155" s="41" t="n"/>
      <c r="C155" s="34" t="n"/>
      <c r="D155" s="34" t="n"/>
      <c r="E155" s="41" t="n"/>
      <c r="F155" s="34" t="n"/>
      <c r="G155" s="34" t="n"/>
      <c r="H155" s="41" t="n"/>
      <c r="I155" s="41" t="n"/>
      <c r="J155" s="34" t="n"/>
      <c r="K155" s="41" t="n"/>
      <c r="L155" s="41" t="n"/>
    </row>
    <row r="156">
      <c r="A156" s="132" t="n"/>
      <c r="B156" s="41" t="n"/>
      <c r="C156" s="34" t="n"/>
      <c r="D156" s="34" t="n"/>
      <c r="E156" s="41" t="n"/>
      <c r="F156" s="34" t="n"/>
      <c r="G156" s="34" t="n"/>
      <c r="H156" s="41" t="n"/>
      <c r="I156" s="41" t="n"/>
      <c r="J156" s="34" t="n"/>
      <c r="K156" s="41" t="n"/>
      <c r="L156" s="41" t="n"/>
    </row>
    <row r="157">
      <c r="A157" s="132" t="n"/>
      <c r="B157" s="41" t="n"/>
      <c r="C157" s="34" t="n"/>
      <c r="D157" s="34" t="n"/>
      <c r="E157" s="41" t="n"/>
      <c r="F157" s="34" t="n"/>
      <c r="G157" s="34" t="n"/>
      <c r="H157" s="41" t="n"/>
      <c r="I157" s="41" t="n"/>
      <c r="J157" s="34" t="n"/>
      <c r="K157" s="41" t="n"/>
      <c r="L157" s="41" t="n"/>
    </row>
    <row r="158">
      <c r="A158" s="132" t="n"/>
      <c r="B158" s="41" t="n"/>
      <c r="C158" s="34" t="n"/>
      <c r="D158" s="34" t="n"/>
      <c r="E158" s="41" t="n"/>
      <c r="F158" s="34" t="n"/>
      <c r="G158" s="34" t="n"/>
      <c r="H158" s="41" t="n"/>
      <c r="I158" s="41" t="n"/>
      <c r="J158" s="34" t="n"/>
      <c r="K158" s="41" t="n"/>
      <c r="L158" s="41" t="n"/>
    </row>
    <row r="159">
      <c r="A159" s="132" t="n"/>
      <c r="B159" s="41" t="n"/>
      <c r="C159" s="34" t="n"/>
      <c r="D159" s="34" t="n"/>
      <c r="E159" s="41" t="n"/>
      <c r="F159" s="34" t="n"/>
      <c r="G159" s="34" t="n"/>
      <c r="H159" s="41" t="n"/>
      <c r="I159" s="41" t="n"/>
      <c r="J159" s="34" t="n"/>
      <c r="K159" s="41" t="n"/>
      <c r="L159" s="41" t="n"/>
    </row>
    <row r="160">
      <c r="A160" s="132" t="n"/>
      <c r="B160" s="41" t="n"/>
      <c r="C160" s="34" t="n"/>
      <c r="D160" s="34" t="n"/>
      <c r="E160" s="41" t="n"/>
      <c r="F160" s="34" t="n"/>
      <c r="G160" s="34" t="n"/>
      <c r="H160" s="41" t="n"/>
      <c r="I160" s="41" t="n"/>
      <c r="J160" s="34" t="n"/>
      <c r="K160" s="41" t="n"/>
      <c r="L160" s="41" t="n"/>
    </row>
    <row r="161">
      <c r="A161" s="132" t="n"/>
      <c r="B161" s="41" t="n"/>
      <c r="C161" s="34" t="n"/>
      <c r="D161" s="34" t="n"/>
      <c r="E161" s="41" t="n"/>
      <c r="F161" s="34" t="n"/>
      <c r="G161" s="34" t="n"/>
      <c r="H161" s="41" t="n"/>
      <c r="I161" s="41" t="n"/>
      <c r="J161" s="34" t="n"/>
      <c r="K161" s="41" t="n"/>
      <c r="L161" s="41" t="n"/>
    </row>
    <row r="162">
      <c r="A162" s="132" t="n"/>
      <c r="B162" s="41" t="n"/>
      <c r="C162" s="34" t="n"/>
      <c r="D162" s="34" t="n"/>
      <c r="E162" s="41" t="n"/>
      <c r="F162" s="34" t="n"/>
      <c r="G162" s="34" t="n"/>
      <c r="H162" s="41" t="n"/>
      <c r="I162" s="41" t="n"/>
      <c r="J162" s="34" t="n"/>
      <c r="K162" s="41" t="n"/>
      <c r="L162" s="41" t="n"/>
    </row>
    <row r="163">
      <c r="A163" s="132" t="n"/>
      <c r="B163" s="41" t="n"/>
      <c r="C163" s="34" t="n"/>
      <c r="D163" s="34" t="n"/>
      <c r="E163" s="41" t="n"/>
      <c r="F163" s="34" t="n"/>
      <c r="G163" s="34" t="n"/>
      <c r="H163" s="41" t="n"/>
      <c r="I163" s="41" t="n"/>
      <c r="J163" s="34" t="n"/>
      <c r="K163" s="41" t="n"/>
      <c r="L163" s="41" t="n"/>
    </row>
    <row r="164">
      <c r="A164" s="132" t="n"/>
      <c r="B164" s="41" t="n"/>
      <c r="C164" s="34" t="n"/>
      <c r="D164" s="34" t="n"/>
      <c r="E164" s="41" t="n"/>
      <c r="F164" s="34" t="n"/>
      <c r="G164" s="34" t="n"/>
      <c r="H164" s="41" t="n"/>
      <c r="I164" s="41" t="n"/>
      <c r="J164" s="34" t="n"/>
      <c r="K164" s="41" t="n"/>
      <c r="L164" s="41" t="n"/>
    </row>
    <row r="165">
      <c r="A165" s="132" t="n"/>
      <c r="B165" s="41" t="n"/>
      <c r="C165" s="34" t="n"/>
      <c r="D165" s="34" t="n"/>
      <c r="E165" s="41" t="n"/>
      <c r="F165" s="34" t="n"/>
      <c r="G165" s="34" t="n"/>
      <c r="H165" s="41" t="n"/>
      <c r="I165" s="41" t="n"/>
      <c r="J165" s="34" t="n"/>
      <c r="K165" s="41" t="n"/>
      <c r="L165" s="41" t="n"/>
    </row>
    <row r="166">
      <c r="A166" s="132" t="n"/>
      <c r="B166" s="41" t="n"/>
      <c r="C166" s="34" t="n"/>
      <c r="D166" s="34" t="n"/>
      <c r="E166" s="41" t="n"/>
      <c r="F166" s="34" t="n"/>
      <c r="G166" s="34" t="n"/>
      <c r="H166" s="41" t="n"/>
      <c r="I166" s="41" t="n"/>
      <c r="J166" s="34" t="n"/>
      <c r="K166" s="41" t="n"/>
      <c r="L166" s="41" t="n"/>
    </row>
    <row r="167">
      <c r="A167" s="132" t="n"/>
      <c r="B167" s="41" t="n"/>
      <c r="C167" s="34" t="n"/>
      <c r="D167" s="34" t="n"/>
      <c r="E167" s="41" t="n"/>
      <c r="F167" s="34" t="n"/>
      <c r="G167" s="34" t="n"/>
      <c r="H167" s="41" t="n"/>
      <c r="I167" s="41" t="n"/>
      <c r="J167" s="34" t="n"/>
      <c r="K167" s="41" t="n"/>
      <c r="L167" s="41" t="n"/>
    </row>
    <row r="168">
      <c r="A168" s="132" t="n"/>
      <c r="B168" s="41" t="n"/>
      <c r="C168" s="34" t="n"/>
      <c r="D168" s="34" t="n"/>
      <c r="E168" s="41" t="n"/>
      <c r="F168" s="34" t="n"/>
      <c r="G168" s="34" t="n"/>
      <c r="H168" s="41" t="n"/>
      <c r="I168" s="41" t="n"/>
      <c r="J168" s="34" t="n"/>
      <c r="K168" s="41" t="n"/>
      <c r="L168" s="41" t="n"/>
    </row>
    <row r="169">
      <c r="A169" s="132" t="n"/>
      <c r="B169" s="41" t="n"/>
      <c r="C169" s="34" t="n"/>
      <c r="D169" s="34" t="n"/>
      <c r="E169" s="41" t="n"/>
      <c r="F169" s="34" t="n"/>
      <c r="G169" s="34" t="n"/>
      <c r="H169" s="41" t="n"/>
      <c r="I169" s="41" t="n"/>
      <c r="J169" s="34" t="n"/>
      <c r="K169" s="41" t="n"/>
      <c r="L169" s="41" t="n"/>
    </row>
    <row r="170">
      <c r="A170" s="132" t="n"/>
      <c r="B170" s="41" t="n"/>
      <c r="C170" s="34" t="n"/>
      <c r="D170" s="34" t="n"/>
      <c r="E170" s="41" t="n"/>
      <c r="F170" s="34" t="n"/>
      <c r="G170" s="34" t="n"/>
      <c r="H170" s="41" t="n"/>
      <c r="I170" s="41" t="n"/>
      <c r="J170" s="34" t="n"/>
      <c r="K170" s="41" t="n"/>
      <c r="L170" s="41" t="n"/>
    </row>
    <row r="171">
      <c r="A171" s="132" t="n"/>
      <c r="B171" s="41" t="n"/>
      <c r="C171" s="34" t="n"/>
      <c r="D171" s="34" t="n"/>
      <c r="E171" s="41" t="n"/>
      <c r="F171" s="34" t="n"/>
      <c r="G171" s="34" t="n"/>
      <c r="H171" s="41" t="n"/>
      <c r="I171" s="41" t="n"/>
      <c r="J171" s="34" t="n"/>
      <c r="K171" s="41" t="n"/>
      <c r="L171" s="41" t="n"/>
    </row>
    <row r="172">
      <c r="A172" s="132" t="n"/>
      <c r="B172" s="41" t="n"/>
      <c r="C172" s="34" t="n"/>
      <c r="D172" s="34" t="n"/>
      <c r="E172" s="41" t="n"/>
      <c r="F172" s="34" t="n"/>
      <c r="G172" s="34" t="n"/>
      <c r="H172" s="41" t="n"/>
      <c r="I172" s="41" t="n"/>
      <c r="J172" s="34" t="n"/>
      <c r="K172" s="41" t="n"/>
      <c r="L172" s="41" t="n"/>
    </row>
    <row r="173">
      <c r="A173" s="132" t="n"/>
      <c r="B173" s="41" t="n"/>
      <c r="C173" s="34" t="n"/>
      <c r="D173" s="34" t="n"/>
      <c r="E173" s="41" t="n"/>
      <c r="F173" s="34" t="n"/>
      <c r="G173" s="34" t="n"/>
      <c r="H173" s="41" t="n"/>
      <c r="I173" s="41" t="n"/>
      <c r="J173" s="34" t="n"/>
      <c r="K173" s="41" t="n"/>
      <c r="L173" s="41" t="n"/>
    </row>
    <row r="174">
      <c r="A174" s="132" t="n"/>
      <c r="B174" s="41" t="n"/>
      <c r="C174" s="34" t="n"/>
      <c r="D174" s="34" t="n"/>
      <c r="E174" s="41" t="n"/>
      <c r="F174" s="34" t="n"/>
      <c r="G174" s="34" t="n"/>
      <c r="H174" s="41" t="n"/>
      <c r="I174" s="41" t="n"/>
      <c r="J174" s="34" t="n"/>
      <c r="K174" s="41" t="n"/>
      <c r="L174" s="41" t="n"/>
    </row>
    <row r="175">
      <c r="A175" s="132" t="n"/>
      <c r="B175" s="41" t="n"/>
      <c r="C175" s="34" t="n"/>
      <c r="D175" s="34" t="n"/>
      <c r="E175" s="41" t="n"/>
      <c r="F175" s="34" t="n"/>
      <c r="G175" s="34" t="n"/>
      <c r="H175" s="41" t="n"/>
      <c r="I175" s="41" t="n"/>
      <c r="J175" s="34" t="n"/>
      <c r="K175" s="41" t="n"/>
      <c r="L175" s="41" t="n"/>
    </row>
    <row r="176">
      <c r="A176" s="132" t="n"/>
      <c r="B176" s="41" t="n"/>
      <c r="C176" s="34" t="n"/>
      <c r="D176" s="34" t="n"/>
      <c r="E176" s="41" t="n"/>
      <c r="F176" s="34" t="n"/>
      <c r="G176" s="34" t="n"/>
      <c r="H176" s="41" t="n"/>
      <c r="I176" s="41" t="n"/>
      <c r="J176" s="34" t="n"/>
      <c r="K176" s="41" t="n"/>
      <c r="L176" s="41" t="n"/>
    </row>
    <row r="177">
      <c r="A177" s="132" t="n"/>
      <c r="B177" s="41" t="n"/>
      <c r="C177" s="34" t="n"/>
      <c r="D177" s="34" t="n"/>
      <c r="E177" s="41" t="n"/>
      <c r="F177" s="34" t="n"/>
      <c r="G177" s="34" t="n"/>
      <c r="H177" s="41" t="n"/>
      <c r="I177" s="41" t="n"/>
      <c r="J177" s="34" t="n"/>
      <c r="K177" s="41" t="n"/>
      <c r="L177" s="41" t="n"/>
    </row>
    <row r="178">
      <c r="A178" s="132" t="n"/>
      <c r="B178" s="41" t="n"/>
      <c r="C178" s="34" t="n"/>
      <c r="D178" s="34" t="n"/>
      <c r="E178" s="41" t="n"/>
      <c r="F178" s="34" t="n"/>
      <c r="G178" s="34" t="n"/>
      <c r="H178" s="41" t="n"/>
      <c r="I178" s="41" t="n"/>
      <c r="J178" s="34" t="n"/>
      <c r="K178" s="41" t="n"/>
      <c r="L178" s="41" t="n"/>
    </row>
    <row r="179">
      <c r="A179" s="132" t="n"/>
      <c r="B179" s="41" t="n"/>
      <c r="C179" s="34" t="n"/>
      <c r="D179" s="34" t="n"/>
      <c r="E179" s="41" t="n"/>
      <c r="F179" s="34" t="n"/>
      <c r="G179" s="34" t="n"/>
      <c r="H179" s="41" t="n"/>
      <c r="I179" s="41" t="n"/>
      <c r="J179" s="34" t="n"/>
      <c r="K179" s="41" t="n"/>
      <c r="L179" s="41" t="n"/>
    </row>
    <row r="180">
      <c r="A180" s="132" t="n"/>
      <c r="B180" s="41" t="n"/>
      <c r="C180" s="34" t="n"/>
      <c r="D180" s="34" t="n"/>
      <c r="E180" s="41" t="n"/>
      <c r="F180" s="34" t="n"/>
      <c r="G180" s="34" t="n"/>
      <c r="H180" s="41" t="n"/>
      <c r="I180" s="41" t="n"/>
      <c r="J180" s="34" t="n"/>
      <c r="K180" s="41" t="n"/>
      <c r="L180" s="41" t="n"/>
    </row>
    <row r="181">
      <c r="A181" s="132" t="n"/>
      <c r="B181" s="41" t="n"/>
      <c r="C181" s="34" t="n"/>
      <c r="D181" s="34" t="n"/>
      <c r="E181" s="41" t="n"/>
      <c r="F181" s="34" t="n"/>
      <c r="G181" s="34" t="n"/>
      <c r="H181" s="41" t="n"/>
      <c r="I181" s="41" t="n"/>
      <c r="J181" s="34" t="n"/>
      <c r="K181" s="41" t="n"/>
      <c r="L181" s="41" t="n"/>
    </row>
    <row r="182">
      <c r="A182" s="132" t="n"/>
      <c r="B182" s="41" t="n"/>
      <c r="C182" s="34" t="n"/>
      <c r="D182" s="34" t="n"/>
      <c r="E182" s="41" t="n"/>
      <c r="F182" s="34" t="n"/>
      <c r="G182" s="34" t="n"/>
      <c r="H182" s="41" t="n"/>
      <c r="I182" s="41" t="n"/>
      <c r="J182" s="34" t="n"/>
      <c r="K182" s="41" t="n"/>
      <c r="L182" s="41" t="n"/>
    </row>
    <row r="183">
      <c r="A183" s="132" t="n"/>
      <c r="B183" s="41" t="n"/>
      <c r="C183" s="34" t="n"/>
      <c r="D183" s="34" t="n"/>
      <c r="E183" s="41" t="n"/>
      <c r="F183" s="34" t="n"/>
      <c r="G183" s="34" t="n"/>
      <c r="H183" s="41" t="n"/>
      <c r="I183" s="41" t="n"/>
      <c r="J183" s="34" t="n"/>
      <c r="K183" s="41" t="n"/>
      <c r="L183" s="41" t="n"/>
    </row>
    <row r="184">
      <c r="A184" s="132" t="n"/>
      <c r="B184" s="41" t="n"/>
      <c r="C184" s="34" t="n"/>
      <c r="D184" s="34" t="n"/>
      <c r="E184" s="41" t="n"/>
      <c r="F184" s="34" t="n"/>
      <c r="G184" s="34" t="n"/>
      <c r="H184" s="41" t="n"/>
      <c r="I184" s="41" t="n"/>
      <c r="J184" s="34" t="n"/>
      <c r="K184" s="41" t="n"/>
      <c r="L184" s="41" t="n"/>
    </row>
    <row r="185">
      <c r="A185" s="132" t="n"/>
      <c r="B185" s="41" t="n"/>
      <c r="C185" s="34" t="n"/>
      <c r="D185" s="34" t="n"/>
      <c r="E185" s="41" t="n"/>
      <c r="F185" s="34" t="n"/>
      <c r="G185" s="34" t="n"/>
      <c r="H185" s="41" t="n"/>
      <c r="I185" s="41" t="n"/>
      <c r="J185" s="34" t="n"/>
      <c r="K185" s="41" t="n"/>
      <c r="L185" s="41" t="n"/>
    </row>
    <row r="186">
      <c r="A186" s="132" t="n"/>
      <c r="B186" s="41" t="n"/>
      <c r="C186" s="34" t="n"/>
      <c r="D186" s="34" t="n"/>
      <c r="E186" s="41" t="n"/>
      <c r="F186" s="34" t="n"/>
      <c r="G186" s="34" t="n"/>
      <c r="H186" s="41" t="n"/>
      <c r="I186" s="41" t="n"/>
      <c r="J186" s="34" t="n"/>
      <c r="K186" s="41" t="n"/>
      <c r="L186" s="41" t="n"/>
    </row>
    <row r="187">
      <c r="A187" s="132" t="n"/>
      <c r="B187" s="41" t="n"/>
      <c r="C187" s="34" t="n"/>
      <c r="D187" s="34" t="n"/>
      <c r="E187" s="41" t="n"/>
      <c r="F187" s="34" t="n"/>
      <c r="G187" s="34" t="n"/>
      <c r="H187" s="41" t="n"/>
      <c r="I187" s="41" t="n"/>
      <c r="J187" s="34" t="n"/>
      <c r="K187" s="41" t="n"/>
      <c r="L187" s="41" t="n"/>
    </row>
    <row r="188">
      <c r="A188" s="132" t="n"/>
      <c r="B188" s="41" t="n"/>
      <c r="C188" s="34" t="n"/>
      <c r="D188" s="34" t="n"/>
      <c r="E188" s="41" t="n"/>
      <c r="F188" s="34" t="n"/>
      <c r="G188" s="34" t="n"/>
      <c r="H188" s="41" t="n"/>
      <c r="I188" s="41" t="n"/>
      <c r="J188" s="34" t="n"/>
      <c r="K188" s="41" t="n"/>
      <c r="L188" s="41" t="n"/>
    </row>
    <row r="189">
      <c r="A189" s="132" t="n"/>
      <c r="B189" s="41" t="n"/>
      <c r="C189" s="34" t="n"/>
      <c r="D189" s="34" t="n"/>
      <c r="E189" s="41" t="n"/>
      <c r="F189" s="34" t="n"/>
      <c r="G189" s="34" t="n"/>
      <c r="H189" s="41" t="n"/>
      <c r="I189" s="41" t="n"/>
      <c r="J189" s="34" t="n"/>
      <c r="K189" s="41" t="n"/>
      <c r="L189" s="41" t="n"/>
    </row>
    <row r="190">
      <c r="A190" s="132" t="n"/>
      <c r="B190" s="41" t="n"/>
      <c r="C190" s="34" t="n"/>
      <c r="D190" s="34" t="n"/>
      <c r="E190" s="41" t="n"/>
      <c r="F190" s="34" t="n"/>
      <c r="G190" s="34" t="n"/>
      <c r="H190" s="41" t="n"/>
      <c r="I190" s="41" t="n"/>
      <c r="J190" s="34" t="n"/>
      <c r="K190" s="41" t="n"/>
      <c r="L190" s="41" t="n"/>
    </row>
    <row r="191">
      <c r="A191" s="132" t="n"/>
      <c r="B191" s="41" t="n"/>
      <c r="C191" s="34" t="n"/>
      <c r="D191" s="34" t="n"/>
      <c r="E191" s="41" t="n"/>
      <c r="F191" s="34" t="n"/>
      <c r="G191" s="34" t="n"/>
      <c r="H191" s="41" t="n"/>
      <c r="I191" s="41" t="n"/>
      <c r="J191" s="34" t="n"/>
      <c r="K191" s="41" t="n"/>
      <c r="L191" s="41" t="n"/>
    </row>
    <row r="192">
      <c r="A192" s="132" t="n"/>
      <c r="B192" s="41" t="n"/>
      <c r="C192" s="34" t="n"/>
      <c r="D192" s="34" t="n"/>
      <c r="E192" s="41" t="n"/>
      <c r="F192" s="34" t="n"/>
      <c r="G192" s="34" t="n"/>
      <c r="H192" s="41" t="n"/>
      <c r="I192" s="41" t="n"/>
      <c r="J192" s="34" t="n"/>
      <c r="K192" s="41" t="n"/>
      <c r="L192" s="41" t="n"/>
    </row>
    <row r="193">
      <c r="A193" s="132" t="n"/>
      <c r="B193" s="41" t="n"/>
      <c r="C193" s="34" t="n"/>
      <c r="D193" s="34" t="n"/>
      <c r="E193" s="41" t="n"/>
      <c r="F193" s="34" t="n"/>
      <c r="G193" s="34" t="n"/>
      <c r="H193" s="41" t="n"/>
      <c r="I193" s="41" t="n"/>
      <c r="J193" s="34" t="n"/>
      <c r="K193" s="41" t="n"/>
      <c r="L193" s="41" t="n"/>
    </row>
    <row r="194">
      <c r="A194" s="132" t="n"/>
      <c r="B194" s="41" t="n"/>
      <c r="C194" s="34" t="n"/>
      <c r="D194" s="34" t="n"/>
      <c r="E194" s="41" t="n"/>
      <c r="F194" s="34" t="n"/>
      <c r="G194" s="34" t="n"/>
      <c r="H194" s="41" t="n"/>
      <c r="I194" s="41" t="n"/>
      <c r="J194" s="34" t="n"/>
      <c r="K194" s="41" t="n"/>
      <c r="L194" s="41" t="n"/>
    </row>
    <row r="195">
      <c r="A195" s="132" t="n"/>
      <c r="B195" s="41" t="n"/>
      <c r="C195" s="34" t="n"/>
      <c r="D195" s="34" t="n"/>
      <c r="E195" s="41" t="n"/>
      <c r="F195" s="34" t="n"/>
      <c r="G195" s="34" t="n"/>
      <c r="H195" s="41" t="n"/>
      <c r="I195" s="41" t="n"/>
      <c r="J195" s="34" t="n"/>
      <c r="K195" s="41" t="n"/>
      <c r="L195" s="41" t="n"/>
    </row>
    <row r="196">
      <c r="A196" s="132" t="n"/>
      <c r="B196" s="41" t="n"/>
      <c r="C196" s="34" t="n"/>
      <c r="D196" s="34" t="n"/>
      <c r="E196" s="41" t="n"/>
      <c r="F196" s="34" t="n"/>
      <c r="G196" s="34" t="n"/>
      <c r="H196" s="41" t="n"/>
      <c r="I196" s="41" t="n"/>
      <c r="J196" s="34" t="n"/>
      <c r="K196" s="41" t="n"/>
      <c r="L196" s="41" t="n"/>
    </row>
    <row r="197">
      <c r="A197" s="132" t="n"/>
      <c r="B197" s="41" t="n"/>
      <c r="C197" s="34" t="n"/>
      <c r="D197" s="34" t="n"/>
      <c r="E197" s="41" t="n"/>
      <c r="F197" s="34" t="n"/>
      <c r="G197" s="34" t="n"/>
      <c r="H197" s="41" t="n"/>
      <c r="I197" s="41" t="n"/>
      <c r="J197" s="34" t="n"/>
      <c r="K197" s="41" t="n"/>
      <c r="L197" s="41" t="n"/>
    </row>
    <row r="198">
      <c r="A198" s="132" t="n"/>
      <c r="B198" s="41" t="n"/>
      <c r="C198" s="34" t="n"/>
      <c r="D198" s="34" t="n"/>
      <c r="E198" s="41" t="n"/>
      <c r="F198" s="34" t="n"/>
      <c r="G198" s="34" t="n"/>
      <c r="H198" s="41" t="n"/>
      <c r="I198" s="41" t="n"/>
      <c r="J198" s="34" t="n"/>
      <c r="K198" s="41" t="n"/>
      <c r="L198" s="41" t="n"/>
    </row>
    <row r="199">
      <c r="A199" s="132" t="n"/>
      <c r="B199" s="41" t="n"/>
      <c r="C199" s="34" t="n"/>
      <c r="D199" s="34" t="n"/>
      <c r="E199" s="41" t="n"/>
      <c r="F199" s="34" t="n"/>
      <c r="G199" s="34" t="n"/>
      <c r="H199" s="41" t="n"/>
      <c r="I199" s="41" t="n"/>
      <c r="J199" s="34" t="n"/>
      <c r="K199" s="41" t="n"/>
      <c r="L199" s="41" t="n"/>
    </row>
    <row r="200">
      <c r="A200" s="132" t="n"/>
      <c r="B200" s="41" t="n"/>
      <c r="C200" s="34" t="n"/>
      <c r="D200" s="34" t="n"/>
      <c r="E200" s="41" t="n"/>
      <c r="F200" s="34" t="n"/>
      <c r="G200" s="34" t="n"/>
      <c r="H200" s="41" t="n"/>
      <c r="I200" s="41" t="n"/>
      <c r="J200" s="34" t="n"/>
      <c r="K200" s="41" t="n"/>
      <c r="L200" s="41" t="n"/>
    </row>
    <row r="201">
      <c r="A201" s="132" t="n"/>
      <c r="B201" s="41" t="n"/>
      <c r="C201" s="34" t="n"/>
      <c r="D201" s="34" t="n"/>
      <c r="E201" s="41" t="n"/>
      <c r="F201" s="34" t="n"/>
      <c r="G201" s="34" t="n"/>
      <c r="H201" s="41" t="n"/>
      <c r="I201" s="41" t="n"/>
      <c r="J201" s="34" t="n"/>
      <c r="K201" s="41" t="n"/>
      <c r="L201" s="41" t="n"/>
    </row>
    <row r="202">
      <c r="A202" s="132" t="n"/>
      <c r="B202" s="41" t="n"/>
      <c r="C202" s="34" t="n"/>
      <c r="D202" s="34" t="n"/>
      <c r="E202" s="41" t="n"/>
      <c r="F202" s="34" t="n"/>
      <c r="G202" s="34" t="n"/>
      <c r="H202" s="41" t="n"/>
      <c r="I202" s="41" t="n"/>
      <c r="J202" s="34" t="n"/>
      <c r="K202" s="41" t="n"/>
      <c r="L202" s="41" t="n"/>
    </row>
    <row r="203">
      <c r="A203" s="132" t="n"/>
      <c r="B203" s="41" t="n"/>
      <c r="C203" s="34" t="n"/>
      <c r="D203" s="34" t="n"/>
      <c r="E203" s="41" t="n"/>
      <c r="F203" s="34" t="n"/>
      <c r="G203" s="34" t="n"/>
      <c r="H203" s="41" t="n"/>
      <c r="I203" s="41" t="n"/>
      <c r="J203" s="34" t="n"/>
      <c r="K203" s="41" t="n"/>
      <c r="L203" s="41" t="n"/>
    </row>
    <row r="204">
      <c r="A204" s="132" t="n"/>
      <c r="B204" s="41" t="n"/>
      <c r="C204" s="34" t="n"/>
      <c r="D204" s="34" t="n"/>
      <c r="E204" s="41" t="n"/>
      <c r="F204" s="34" t="n"/>
      <c r="G204" s="34" t="n"/>
      <c r="H204" s="41" t="n"/>
      <c r="I204" s="41" t="n"/>
      <c r="J204" s="34" t="n"/>
      <c r="K204" s="41" t="n"/>
      <c r="L204" s="41" t="n"/>
    </row>
    <row r="205">
      <c r="A205" s="132" t="n"/>
      <c r="B205" s="41" t="n"/>
      <c r="C205" s="34" t="n"/>
      <c r="D205" s="34" t="n"/>
      <c r="E205" s="41" t="n"/>
      <c r="F205" s="34" t="n"/>
      <c r="G205" s="34" t="n"/>
      <c r="H205" s="41" t="n"/>
      <c r="I205" s="41" t="n"/>
      <c r="J205" s="34" t="n"/>
      <c r="K205" s="41" t="n"/>
      <c r="L205" s="41" t="n"/>
    </row>
    <row r="206">
      <c r="A206" s="132" t="n"/>
      <c r="B206" s="41" t="n"/>
      <c r="C206" s="34" t="n"/>
      <c r="D206" s="34" t="n"/>
      <c r="E206" s="41" t="n"/>
      <c r="F206" s="34" t="n"/>
      <c r="G206" s="34" t="n"/>
      <c r="H206" s="41" t="n"/>
      <c r="I206" s="41" t="n"/>
      <c r="J206" s="34" t="n"/>
      <c r="K206" s="41" t="n"/>
      <c r="L206" s="41" t="n"/>
    </row>
    <row r="207">
      <c r="A207" s="132" t="n"/>
      <c r="B207" s="41" t="n"/>
      <c r="C207" s="34" t="n"/>
      <c r="D207" s="34" t="n"/>
      <c r="E207" s="41" t="n"/>
      <c r="F207" s="34" t="n"/>
      <c r="G207" s="34" t="n"/>
      <c r="H207" s="41" t="n"/>
      <c r="I207" s="41" t="n"/>
      <c r="J207" s="34" t="n"/>
      <c r="K207" s="41" t="n"/>
      <c r="L207" s="41" t="n"/>
    </row>
    <row r="208">
      <c r="A208" s="132" t="n"/>
      <c r="B208" s="41" t="n"/>
      <c r="C208" s="34" t="n"/>
      <c r="D208" s="34" t="n"/>
      <c r="E208" s="41" t="n"/>
      <c r="F208" s="34" t="n"/>
      <c r="G208" s="34" t="n"/>
      <c r="H208" s="41" t="n"/>
      <c r="I208" s="41" t="n"/>
      <c r="J208" s="34" t="n"/>
      <c r="K208" s="41" t="n"/>
      <c r="L208" s="41" t="n"/>
    </row>
    <row r="209">
      <c r="A209" s="132" t="n"/>
      <c r="B209" s="41" t="n"/>
      <c r="C209" s="34" t="n"/>
      <c r="D209" s="34" t="n"/>
      <c r="E209" s="41" t="n"/>
      <c r="F209" s="34" t="n"/>
      <c r="G209" s="34" t="n"/>
      <c r="H209" s="41" t="n"/>
      <c r="I209" s="41" t="n"/>
      <c r="J209" s="34" t="n"/>
      <c r="K209" s="41" t="n"/>
      <c r="L209" s="41" t="n"/>
    </row>
    <row r="210">
      <c r="A210" s="132" t="n"/>
      <c r="B210" s="41" t="n"/>
      <c r="C210" s="34" t="n"/>
      <c r="D210" s="34" t="n"/>
      <c r="E210" s="41" t="n"/>
      <c r="F210" s="34" t="n"/>
      <c r="G210" s="34" t="n"/>
      <c r="H210" s="41" t="n"/>
      <c r="I210" s="41" t="n"/>
      <c r="J210" s="34" t="n"/>
      <c r="K210" s="41" t="n"/>
      <c r="L210" s="41" t="n"/>
    </row>
    <row r="211">
      <c r="A211" s="132" t="n"/>
      <c r="B211" s="41" t="n"/>
      <c r="C211" s="34" t="n"/>
      <c r="D211" s="34" t="n"/>
      <c r="E211" s="41" t="n"/>
      <c r="F211" s="34" t="n"/>
      <c r="G211" s="34" t="n"/>
      <c r="H211" s="41" t="n"/>
      <c r="I211" s="41" t="n"/>
      <c r="J211" s="34" t="n"/>
      <c r="K211" s="41" t="n"/>
      <c r="L211" s="41" t="n"/>
    </row>
    <row r="212">
      <c r="A212" s="132" t="n"/>
      <c r="B212" s="41" t="n"/>
      <c r="C212" s="34" t="n"/>
      <c r="D212" s="34" t="n"/>
      <c r="E212" s="41" t="n"/>
      <c r="F212" s="34" t="n"/>
      <c r="G212" s="34" t="n"/>
      <c r="H212" s="41" t="n"/>
      <c r="I212" s="41" t="n"/>
      <c r="J212" s="34" t="n"/>
      <c r="K212" s="41" t="n"/>
      <c r="L212" s="41" t="n"/>
    </row>
    <row r="213">
      <c r="A213" s="132" t="n"/>
      <c r="B213" s="41" t="n"/>
      <c r="C213" s="34" t="n"/>
      <c r="D213" s="34" t="n"/>
      <c r="E213" s="41" t="n"/>
      <c r="F213" s="34" t="n"/>
      <c r="G213" s="34" t="n"/>
      <c r="H213" s="41" t="n"/>
      <c r="I213" s="41" t="n"/>
      <c r="J213" s="34" t="n"/>
      <c r="K213" s="41" t="n"/>
      <c r="L213" s="41" t="n"/>
    </row>
    <row r="214">
      <c r="A214" s="132" t="n"/>
      <c r="B214" s="41" t="n"/>
      <c r="C214" s="34" t="n"/>
      <c r="D214" s="34" t="n"/>
      <c r="E214" s="41" t="n"/>
      <c r="F214" s="34" t="n"/>
      <c r="G214" s="34" t="n"/>
      <c r="H214" s="41" t="n"/>
      <c r="I214" s="41" t="n"/>
      <c r="J214" s="34" t="n"/>
      <c r="K214" s="41" t="n"/>
      <c r="L214" s="41" t="n"/>
    </row>
    <row r="215">
      <c r="A215" s="132" t="n"/>
      <c r="B215" s="41" t="n"/>
      <c r="C215" s="34" t="n"/>
      <c r="D215" s="34" t="n"/>
      <c r="E215" s="41" t="n"/>
      <c r="F215" s="34" t="n"/>
      <c r="G215" s="34" t="n"/>
      <c r="H215" s="41" t="n"/>
      <c r="I215" s="41" t="n"/>
      <c r="J215" s="34" t="n"/>
      <c r="K215" s="41" t="n"/>
      <c r="L215" s="41" t="n"/>
    </row>
    <row r="216">
      <c r="A216" s="132" t="n"/>
      <c r="B216" s="41" t="n"/>
      <c r="C216" s="34" t="n"/>
      <c r="D216" s="34" t="n"/>
      <c r="E216" s="41" t="n"/>
      <c r="F216" s="34" t="n"/>
      <c r="G216" s="34" t="n"/>
      <c r="H216" s="41" t="n"/>
      <c r="I216" s="41" t="n"/>
      <c r="J216" s="34" t="n"/>
      <c r="K216" s="41" t="n"/>
      <c r="L216" s="41" t="n"/>
    </row>
    <row r="217">
      <c r="A217" s="132" t="n"/>
      <c r="B217" s="41" t="n"/>
      <c r="C217" s="34" t="n"/>
      <c r="D217" s="34" t="n"/>
      <c r="E217" s="41" t="n"/>
      <c r="F217" s="34" t="n"/>
      <c r="G217" s="34" t="n"/>
      <c r="H217" s="41" t="n"/>
      <c r="I217" s="41" t="n"/>
      <c r="J217" s="34" t="n"/>
      <c r="K217" s="41" t="n"/>
      <c r="L217" s="41" t="n"/>
    </row>
    <row r="218">
      <c r="A218" s="132" t="n"/>
      <c r="B218" s="41" t="n"/>
      <c r="C218" s="34" t="n"/>
      <c r="D218" s="34" t="n"/>
      <c r="E218" s="41" t="n"/>
      <c r="F218" s="34" t="n"/>
      <c r="G218" s="34" t="n"/>
      <c r="H218" s="41" t="n"/>
      <c r="I218" s="41" t="n"/>
      <c r="J218" s="34" t="n"/>
      <c r="K218" s="41" t="n"/>
      <c r="L218" s="41" t="n"/>
    </row>
    <row r="219">
      <c r="A219" s="132" t="n"/>
      <c r="B219" s="41" t="n"/>
      <c r="C219" s="34" t="n"/>
      <c r="D219" s="34" t="n"/>
      <c r="E219" s="41" t="n"/>
      <c r="F219" s="34" t="n"/>
      <c r="G219" s="34" t="n"/>
      <c r="H219" s="41" t="n"/>
      <c r="I219" s="41" t="n"/>
      <c r="J219" s="34" t="n"/>
      <c r="K219" s="41" t="n"/>
      <c r="L219" s="41" t="n"/>
    </row>
    <row r="220">
      <c r="A220" s="132" t="n"/>
      <c r="B220" s="41" t="n"/>
      <c r="C220" s="34" t="n"/>
      <c r="D220" s="34" t="n"/>
      <c r="E220" s="41" t="n"/>
      <c r="F220" s="34" t="n"/>
      <c r="G220" s="34" t="n"/>
      <c r="H220" s="41" t="n"/>
      <c r="I220" s="41" t="n"/>
      <c r="J220" s="34" t="n"/>
      <c r="K220" s="41" t="n"/>
      <c r="L220" s="41" t="n"/>
    </row>
    <row r="221">
      <c r="A221" s="132" t="n"/>
      <c r="B221" s="41" t="n"/>
      <c r="C221" s="34" t="n"/>
      <c r="D221" s="34" t="n"/>
      <c r="E221" s="41" t="n"/>
      <c r="F221" s="34" t="n"/>
      <c r="G221" s="34" t="n"/>
      <c r="H221" s="41" t="n"/>
      <c r="I221" s="41" t="n"/>
      <c r="J221" s="34" t="n"/>
      <c r="K221" s="41" t="n"/>
      <c r="L221" s="41" t="n"/>
    </row>
    <row r="222">
      <c r="A222" s="132" t="n"/>
      <c r="B222" s="41" t="n"/>
      <c r="C222" s="34" t="n"/>
      <c r="D222" s="34" t="n"/>
      <c r="E222" s="41" t="n"/>
      <c r="F222" s="34" t="n"/>
      <c r="G222" s="34" t="n"/>
      <c r="H222" s="41" t="n"/>
      <c r="I222" s="41" t="n"/>
      <c r="J222" s="34" t="n"/>
      <c r="K222" s="41" t="n"/>
      <c r="L222" s="41" t="n"/>
    </row>
    <row r="223">
      <c r="A223" s="132" t="n"/>
      <c r="B223" s="41" t="n"/>
      <c r="C223" s="34" t="n"/>
      <c r="D223" s="34" t="n"/>
      <c r="E223" s="41" t="n"/>
      <c r="F223" s="34" t="n"/>
      <c r="G223" s="34" t="n"/>
      <c r="H223" s="41" t="n"/>
      <c r="I223" s="41" t="n"/>
      <c r="J223" s="34" t="n"/>
      <c r="K223" s="41" t="n"/>
      <c r="L223" s="41" t="n"/>
    </row>
    <row r="224">
      <c r="A224" s="132" t="n"/>
      <c r="B224" s="41" t="n"/>
      <c r="C224" s="34" t="n"/>
      <c r="D224" s="34" t="n"/>
      <c r="E224" s="41" t="n"/>
      <c r="F224" s="34" t="n"/>
      <c r="G224" s="34" t="n"/>
      <c r="H224" s="41" t="n"/>
      <c r="I224" s="41" t="n"/>
      <c r="J224" s="34" t="n"/>
      <c r="K224" s="41" t="n"/>
      <c r="L224" s="41" t="n"/>
    </row>
    <row r="225">
      <c r="A225" s="132" t="n"/>
      <c r="B225" s="41" t="n"/>
      <c r="C225" s="34" t="n"/>
      <c r="D225" s="34" t="n"/>
      <c r="E225" s="41" t="n"/>
      <c r="F225" s="34" t="n"/>
      <c r="G225" s="34" t="n"/>
      <c r="H225" s="41" t="n"/>
      <c r="I225" s="41" t="n"/>
      <c r="J225" s="34" t="n"/>
      <c r="K225" s="41" t="n"/>
      <c r="L225" s="41" t="n"/>
    </row>
    <row r="226">
      <c r="A226" s="132" t="n"/>
      <c r="B226" s="41" t="n"/>
      <c r="C226" s="34" t="n"/>
      <c r="D226" s="34" t="n"/>
      <c r="E226" s="41" t="n"/>
      <c r="F226" s="34" t="n"/>
      <c r="G226" s="34" t="n"/>
      <c r="H226" s="41" t="n"/>
      <c r="I226" s="41" t="n"/>
      <c r="J226" s="34" t="n"/>
      <c r="K226" s="41" t="n"/>
      <c r="L226" s="41" t="n"/>
    </row>
    <row r="227">
      <c r="A227" s="132" t="n"/>
      <c r="B227" s="41" t="n"/>
      <c r="C227" s="34" t="n"/>
      <c r="D227" s="34" t="n"/>
      <c r="E227" s="41" t="n"/>
      <c r="F227" s="34" t="n"/>
      <c r="G227" s="34" t="n"/>
      <c r="H227" s="41" t="n"/>
      <c r="I227" s="41" t="n"/>
      <c r="J227" s="34" t="n"/>
      <c r="K227" s="41" t="n"/>
      <c r="L227" s="41" t="n"/>
    </row>
    <row r="228">
      <c r="A228" s="132" t="n"/>
      <c r="B228" s="41" t="n"/>
      <c r="C228" s="34" t="n"/>
      <c r="D228" s="34" t="n"/>
      <c r="E228" s="41" t="n"/>
      <c r="F228" s="34" t="n"/>
      <c r="G228" s="34" t="n"/>
      <c r="H228" s="41" t="n"/>
      <c r="I228" s="41" t="n"/>
      <c r="J228" s="34" t="n"/>
      <c r="K228" s="41" t="n"/>
      <c r="L228" s="41" t="n"/>
    </row>
    <row r="229">
      <c r="A229" s="132" t="n"/>
      <c r="B229" s="41" t="n"/>
      <c r="C229" s="34" t="n"/>
      <c r="D229" s="34" t="n"/>
      <c r="E229" s="41" t="n"/>
      <c r="F229" s="34" t="n"/>
      <c r="G229" s="34" t="n"/>
      <c r="H229" s="41" t="n"/>
      <c r="I229" s="41" t="n"/>
      <c r="J229" s="34" t="n"/>
      <c r="K229" s="41" t="n"/>
      <c r="L229" s="41" t="n"/>
    </row>
    <row r="230">
      <c r="A230" s="132" t="n"/>
      <c r="B230" s="41" t="n"/>
      <c r="C230" s="34" t="n"/>
      <c r="D230" s="34" t="n"/>
      <c r="E230" s="41" t="n"/>
      <c r="F230" s="34" t="n"/>
      <c r="G230" s="34" t="n"/>
      <c r="H230" s="41" t="n"/>
      <c r="I230" s="41" t="n"/>
      <c r="J230" s="34" t="n"/>
      <c r="K230" s="41" t="n"/>
      <c r="L230" s="41" t="n"/>
    </row>
    <row r="231">
      <c r="A231" s="132" t="n"/>
      <c r="B231" s="41" t="n"/>
      <c r="C231" s="34" t="n"/>
      <c r="D231" s="34" t="n"/>
      <c r="E231" s="41" t="n"/>
      <c r="F231" s="34" t="n"/>
      <c r="G231" s="34" t="n"/>
      <c r="H231" s="41" t="n"/>
      <c r="I231" s="41" t="n"/>
      <c r="J231" s="34" t="n"/>
      <c r="K231" s="41" t="n"/>
      <c r="L231" s="41" t="n"/>
    </row>
    <row r="232">
      <c r="A232" s="132" t="n"/>
      <c r="B232" s="41" t="n"/>
      <c r="C232" s="34" t="n"/>
      <c r="D232" s="34" t="n"/>
      <c r="E232" s="41" t="n"/>
      <c r="F232" s="34" t="n"/>
      <c r="G232" s="34" t="n"/>
      <c r="H232" s="41" t="n"/>
      <c r="I232" s="41" t="n"/>
      <c r="J232" s="34" t="n"/>
      <c r="K232" s="41" t="n"/>
      <c r="L232" s="41" t="n"/>
    </row>
    <row r="233">
      <c r="A233" s="132" t="n"/>
      <c r="B233" s="41" t="n"/>
      <c r="C233" s="34" t="n"/>
      <c r="D233" s="34" t="n"/>
      <c r="E233" s="41" t="n"/>
      <c r="F233" s="34" t="n"/>
      <c r="G233" s="34" t="n"/>
      <c r="H233" s="41" t="n"/>
      <c r="I233" s="41" t="n"/>
      <c r="J233" s="34" t="n"/>
      <c r="K233" s="41" t="n"/>
      <c r="L233" s="41" t="n"/>
    </row>
    <row r="234">
      <c r="A234" s="132" t="n"/>
      <c r="B234" s="41" t="n"/>
      <c r="C234" s="34" t="n"/>
      <c r="D234" s="34" t="n"/>
      <c r="E234" s="41" t="n"/>
      <c r="F234" s="34" t="n"/>
      <c r="G234" s="34" t="n"/>
      <c r="H234" s="41" t="n"/>
      <c r="I234" s="41" t="n"/>
      <c r="J234" s="34" t="n"/>
      <c r="K234" s="41" t="n"/>
      <c r="L234" s="41" t="n"/>
    </row>
    <row r="235">
      <c r="A235" s="132" t="n"/>
      <c r="B235" s="41" t="n"/>
      <c r="C235" s="34" t="n"/>
      <c r="D235" s="34" t="n"/>
      <c r="E235" s="41" t="n"/>
      <c r="F235" s="34" t="n"/>
      <c r="G235" s="34" t="n"/>
      <c r="H235" s="41" t="n"/>
      <c r="I235" s="41" t="n"/>
      <c r="J235" s="34" t="n"/>
      <c r="K235" s="41" t="n"/>
      <c r="L235" s="41" t="n"/>
    </row>
    <row r="236">
      <c r="A236" s="132" t="n"/>
      <c r="B236" s="41" t="n"/>
      <c r="C236" s="34" t="n"/>
      <c r="D236" s="34" t="n"/>
      <c r="E236" s="41" t="n"/>
      <c r="F236" s="34" t="n"/>
      <c r="G236" s="34" t="n"/>
      <c r="H236" s="41" t="n"/>
      <c r="I236" s="41" t="n"/>
      <c r="J236" s="34" t="n"/>
      <c r="K236" s="41" t="n"/>
      <c r="L236" s="41" t="n"/>
    </row>
    <row r="237">
      <c r="A237" s="132" t="n"/>
      <c r="B237" s="41" t="n"/>
      <c r="C237" s="34" t="n"/>
      <c r="D237" s="34" t="n"/>
      <c r="E237" s="41" t="n"/>
      <c r="F237" s="34" t="n"/>
      <c r="G237" s="34" t="n"/>
      <c r="H237" s="41" t="n"/>
      <c r="I237" s="41" t="n"/>
      <c r="J237" s="34" t="n"/>
      <c r="K237" s="41" t="n"/>
      <c r="L237" s="41" t="n"/>
    </row>
    <row r="238">
      <c r="A238" s="132" t="n"/>
      <c r="B238" s="41" t="n"/>
      <c r="C238" s="34" t="n"/>
      <c r="D238" s="34" t="n"/>
      <c r="E238" s="41" t="n"/>
      <c r="F238" s="34" t="n"/>
      <c r="G238" s="34" t="n"/>
      <c r="H238" s="41" t="n"/>
      <c r="I238" s="41" t="n"/>
      <c r="J238" s="34" t="n"/>
      <c r="K238" s="41" t="n"/>
      <c r="L238" s="41" t="n"/>
    </row>
    <row r="239">
      <c r="A239" s="132" t="n"/>
      <c r="B239" s="41" t="n"/>
      <c r="C239" s="34" t="n"/>
      <c r="D239" s="34" t="n"/>
      <c r="E239" s="41" t="n"/>
      <c r="F239" s="34" t="n"/>
      <c r="G239" s="34" t="n"/>
      <c r="H239" s="41" t="n"/>
      <c r="I239" s="41" t="n"/>
      <c r="J239" s="34" t="n"/>
      <c r="K239" s="41" t="n"/>
      <c r="L239" s="41" t="n"/>
    </row>
    <row r="240">
      <c r="A240" s="132" t="n"/>
      <c r="B240" s="41" t="n"/>
      <c r="C240" s="34" t="n"/>
      <c r="D240" s="34" t="n"/>
      <c r="E240" s="41" t="n"/>
      <c r="F240" s="34" t="n"/>
      <c r="G240" s="34" t="n"/>
      <c r="H240" s="41" t="n"/>
      <c r="I240" s="41" t="n"/>
      <c r="J240" s="34" t="n"/>
      <c r="K240" s="41" t="n"/>
      <c r="L240" s="41" t="n"/>
    </row>
    <row r="241">
      <c r="A241" s="132" t="n"/>
      <c r="B241" s="41" t="n"/>
      <c r="C241" s="34" t="n"/>
      <c r="D241" s="34" t="n"/>
      <c r="E241" s="41" t="n"/>
      <c r="F241" s="34" t="n"/>
      <c r="G241" s="34" t="n"/>
      <c r="H241" s="41" t="n"/>
      <c r="I241" s="41" t="n"/>
      <c r="J241" s="34" t="n"/>
      <c r="K241" s="41" t="n"/>
      <c r="L241" s="41" t="n"/>
    </row>
    <row r="242">
      <c r="A242" s="132" t="n"/>
      <c r="B242" s="41" t="n"/>
      <c r="C242" s="34" t="n"/>
      <c r="D242" s="34" t="n"/>
      <c r="E242" s="41" t="n"/>
      <c r="F242" s="34" t="n"/>
      <c r="G242" s="34" t="n"/>
      <c r="H242" s="41" t="n"/>
      <c r="I242" s="41" t="n"/>
      <c r="J242" s="34" t="n"/>
      <c r="K242" s="41" t="n"/>
      <c r="L242" s="41" t="n"/>
    </row>
    <row r="243">
      <c r="A243" s="132" t="n"/>
      <c r="B243" s="41" t="n"/>
      <c r="C243" s="34" t="n"/>
      <c r="D243" s="34" t="n"/>
      <c r="E243" s="41" t="n"/>
      <c r="F243" s="34" t="n"/>
      <c r="G243" s="34" t="n"/>
      <c r="H243" s="41" t="n"/>
      <c r="I243" s="41" t="n"/>
      <c r="J243" s="34" t="n"/>
      <c r="K243" s="41" t="n"/>
      <c r="L243" s="41" t="n"/>
    </row>
    <row r="244">
      <c r="A244" s="132" t="n"/>
      <c r="B244" s="41" t="n"/>
      <c r="C244" s="34" t="n"/>
      <c r="D244" s="34" t="n"/>
      <c r="E244" s="41" t="n"/>
      <c r="F244" s="34" t="n"/>
      <c r="G244" s="34" t="n"/>
      <c r="H244" s="41" t="n"/>
      <c r="I244" s="41" t="n"/>
      <c r="J244" s="34" t="n"/>
      <c r="K244" s="41" t="n"/>
      <c r="L244" s="41" t="n"/>
    </row>
    <row r="245">
      <c r="A245" s="132" t="n"/>
      <c r="B245" s="41" t="n"/>
      <c r="C245" s="34" t="n"/>
      <c r="D245" s="34" t="n"/>
      <c r="E245" s="41" t="n"/>
      <c r="F245" s="34" t="n"/>
      <c r="G245" s="34" t="n"/>
      <c r="H245" s="41" t="n"/>
      <c r="I245" s="41" t="n"/>
      <c r="J245" s="34" t="n"/>
      <c r="K245" s="41" t="n"/>
      <c r="L245" s="41" t="n"/>
    </row>
    <row r="246">
      <c r="A246" s="132" t="n"/>
      <c r="B246" s="41" t="n"/>
      <c r="C246" s="34" t="n"/>
      <c r="D246" s="34" t="n"/>
      <c r="E246" s="41" t="n"/>
      <c r="F246" s="34" t="n"/>
      <c r="G246" s="34" t="n"/>
      <c r="H246" s="41" t="n"/>
      <c r="I246" s="41" t="n"/>
      <c r="J246" s="34" t="n"/>
      <c r="K246" s="41" t="n"/>
      <c r="L246" s="41" t="n"/>
    </row>
    <row r="247">
      <c r="A247" s="132" t="n"/>
      <c r="B247" s="41" t="n"/>
      <c r="C247" s="34" t="n"/>
      <c r="D247" s="34" t="n"/>
      <c r="E247" s="41" t="n"/>
      <c r="F247" s="34" t="n"/>
      <c r="G247" s="34" t="n"/>
      <c r="H247" s="41" t="n"/>
      <c r="I247" s="41" t="n"/>
      <c r="J247" s="34" t="n"/>
      <c r="K247" s="41" t="n"/>
      <c r="L247" s="41" t="n"/>
    </row>
    <row r="248">
      <c r="A248" s="132" t="n"/>
      <c r="B248" s="41" t="n"/>
      <c r="C248" s="34" t="n"/>
      <c r="D248" s="34" t="n"/>
      <c r="E248" s="41" t="n"/>
      <c r="F248" s="34" t="n"/>
      <c r="G248" s="34" t="n"/>
      <c r="H248" s="41" t="n"/>
      <c r="I248" s="41" t="n"/>
      <c r="J248" s="34" t="n"/>
      <c r="K248" s="41" t="n"/>
      <c r="L248" s="41" t="n"/>
    </row>
    <row r="249">
      <c r="A249" s="132" t="n"/>
      <c r="B249" s="41" t="n"/>
      <c r="C249" s="34" t="n"/>
      <c r="D249" s="34" t="n"/>
      <c r="E249" s="41" t="n"/>
      <c r="F249" s="34" t="n"/>
      <c r="G249" s="34" t="n"/>
      <c r="H249" s="41" t="n"/>
      <c r="I249" s="41" t="n"/>
      <c r="J249" s="34" t="n"/>
      <c r="K249" s="41" t="n"/>
      <c r="L249" s="41" t="n"/>
    </row>
    <row r="250">
      <c r="A250" s="132" t="n"/>
      <c r="B250" s="41" t="n"/>
      <c r="C250" s="34" t="n"/>
      <c r="D250" s="34" t="n"/>
      <c r="E250" s="41" t="n"/>
      <c r="F250" s="34" t="n"/>
      <c r="G250" s="34" t="n"/>
      <c r="H250" s="41" t="n"/>
      <c r="I250" s="41" t="n"/>
      <c r="J250" s="34" t="n"/>
      <c r="K250" s="41" t="n"/>
      <c r="L250" s="41" t="n"/>
    </row>
    <row r="251">
      <c r="A251" s="132" t="n"/>
      <c r="B251" s="41" t="n"/>
      <c r="C251" s="34" t="n"/>
      <c r="D251" s="34" t="n"/>
      <c r="E251" s="41" t="n"/>
      <c r="F251" s="34" t="n"/>
      <c r="G251" s="34" t="n"/>
      <c r="H251" s="41" t="n"/>
      <c r="I251" s="41" t="n"/>
      <c r="J251" s="34" t="n"/>
      <c r="K251" s="41" t="n"/>
      <c r="L251" s="41" t="n"/>
    </row>
    <row r="252">
      <c r="A252" s="132" t="n"/>
      <c r="B252" s="41" t="n"/>
      <c r="C252" s="34" t="n"/>
      <c r="D252" s="34" t="n"/>
      <c r="E252" s="41" t="n"/>
      <c r="F252" s="34" t="n"/>
      <c r="G252" s="34" t="n"/>
      <c r="H252" s="41" t="n"/>
      <c r="I252" s="41" t="n"/>
      <c r="J252" s="34" t="n"/>
      <c r="K252" s="41" t="n"/>
      <c r="L252" s="41" t="n"/>
    </row>
    <row r="253">
      <c r="A253" s="132" t="n"/>
      <c r="B253" s="41" t="n"/>
      <c r="C253" s="34" t="n"/>
      <c r="D253" s="34" t="n"/>
      <c r="E253" s="41" t="n"/>
      <c r="F253" s="34" t="n"/>
      <c r="G253" s="34" t="n"/>
      <c r="H253" s="41" t="n"/>
      <c r="I253" s="41" t="n"/>
      <c r="J253" s="34" t="n"/>
      <c r="K253" s="41" t="n"/>
      <c r="L253" s="41" t="n"/>
    </row>
    <row r="254">
      <c r="A254" s="132" t="n"/>
      <c r="B254" s="41" t="n"/>
      <c r="C254" s="34" t="n"/>
      <c r="D254" s="34" t="n"/>
      <c r="E254" s="41" t="n"/>
      <c r="F254" s="34" t="n"/>
      <c r="G254" s="34" t="n"/>
      <c r="H254" s="41" t="n"/>
      <c r="I254" s="41" t="n"/>
      <c r="J254" s="34" t="n"/>
      <c r="K254" s="41" t="n"/>
      <c r="L254" s="41" t="n"/>
    </row>
    <row r="255">
      <c r="A255" s="132" t="n"/>
      <c r="B255" s="41" t="n"/>
      <c r="C255" s="34" t="n"/>
      <c r="D255" s="34" t="n"/>
      <c r="E255" s="41" t="n"/>
      <c r="F255" s="34" t="n"/>
      <c r="G255" s="34" t="n"/>
      <c r="H255" s="41" t="n"/>
      <c r="I255" s="41" t="n"/>
      <c r="J255" s="34" t="n"/>
      <c r="K255" s="41" t="n"/>
      <c r="L255" s="41" t="n"/>
    </row>
    <row r="256">
      <c r="A256" s="132" t="n"/>
      <c r="B256" s="41" t="n"/>
      <c r="C256" s="34" t="n"/>
      <c r="D256" s="34" t="n"/>
      <c r="E256" s="41" t="n"/>
      <c r="F256" s="34" t="n"/>
      <c r="G256" s="34" t="n"/>
      <c r="H256" s="41" t="n"/>
      <c r="I256" s="41" t="n"/>
      <c r="J256" s="34" t="n"/>
      <c r="K256" s="41" t="n"/>
      <c r="L256" s="41" t="n"/>
    </row>
    <row r="257">
      <c r="A257" s="132" t="n"/>
      <c r="B257" s="41" t="n"/>
      <c r="C257" s="34" t="n"/>
      <c r="D257" s="34" t="n"/>
      <c r="E257" s="41" t="n"/>
      <c r="F257" s="34" t="n"/>
      <c r="G257" s="34" t="n"/>
      <c r="H257" s="41" t="n"/>
      <c r="I257" s="41" t="n"/>
      <c r="J257" s="34" t="n"/>
      <c r="K257" s="41" t="n"/>
      <c r="L257" s="41" t="n"/>
    </row>
    <row r="258">
      <c r="A258" s="132" t="n"/>
      <c r="B258" s="41" t="n"/>
      <c r="C258" s="34" t="n"/>
      <c r="D258" s="34" t="n"/>
      <c r="E258" s="41" t="n"/>
      <c r="F258" s="34" t="n"/>
      <c r="G258" s="34" t="n"/>
      <c r="H258" s="41" t="n"/>
      <c r="I258" s="41" t="n"/>
      <c r="J258" s="34" t="n"/>
      <c r="K258" s="41" t="n"/>
      <c r="L258" s="41" t="n"/>
    </row>
    <row r="259">
      <c r="A259" s="132" t="n"/>
      <c r="B259" s="41" t="n"/>
      <c r="C259" s="34" t="n"/>
      <c r="D259" s="34" t="n"/>
      <c r="E259" s="41" t="n"/>
      <c r="F259" s="34" t="n"/>
      <c r="G259" s="34" t="n"/>
      <c r="H259" s="41" t="n"/>
      <c r="I259" s="41" t="n"/>
      <c r="J259" s="34" t="n"/>
      <c r="K259" s="41" t="n"/>
      <c r="L259" s="41" t="n"/>
    </row>
    <row r="260">
      <c r="A260" s="132" t="n"/>
      <c r="B260" s="41" t="n"/>
      <c r="C260" s="34" t="n"/>
      <c r="D260" s="34" t="n"/>
      <c r="E260" s="41" t="n"/>
      <c r="F260" s="34" t="n"/>
      <c r="G260" s="34" t="n"/>
      <c r="H260" s="41" t="n"/>
      <c r="I260" s="41" t="n"/>
      <c r="J260" s="34" t="n"/>
      <c r="K260" s="41" t="n"/>
      <c r="L260" s="41" t="n"/>
    </row>
    <row r="261">
      <c r="A261" s="132" t="n"/>
      <c r="B261" s="41" t="n"/>
      <c r="C261" s="34" t="n"/>
      <c r="D261" s="34" t="n"/>
      <c r="E261" s="41" t="n"/>
      <c r="F261" s="34" t="n"/>
      <c r="G261" s="34" t="n"/>
      <c r="H261" s="41" t="n"/>
      <c r="I261" s="41" t="n"/>
      <c r="J261" s="34" t="n"/>
      <c r="K261" s="41" t="n"/>
      <c r="L261" s="41" t="n"/>
    </row>
    <row r="262">
      <c r="A262" s="132" t="n"/>
      <c r="B262" s="41" t="n"/>
      <c r="C262" s="34" t="n"/>
      <c r="D262" s="34" t="n"/>
      <c r="E262" s="41" t="n"/>
      <c r="F262" s="34" t="n"/>
      <c r="G262" s="34" t="n"/>
      <c r="H262" s="41" t="n"/>
      <c r="I262" s="41" t="n"/>
      <c r="J262" s="34" t="n"/>
      <c r="K262" s="41" t="n"/>
      <c r="L262" s="41" t="n"/>
    </row>
    <row r="263">
      <c r="A263" s="132" t="n"/>
      <c r="B263" s="41" t="n"/>
      <c r="C263" s="34" t="n"/>
      <c r="D263" s="34" t="n"/>
      <c r="E263" s="41" t="n"/>
      <c r="F263" s="34" t="n"/>
      <c r="G263" s="34" t="n"/>
      <c r="H263" s="41" t="n"/>
      <c r="I263" s="41" t="n"/>
      <c r="J263" s="34" t="n"/>
      <c r="K263" s="41" t="n"/>
      <c r="L263" s="41" t="n"/>
    </row>
    <row r="264">
      <c r="A264" s="132" t="n"/>
      <c r="B264" s="41" t="n"/>
      <c r="C264" s="34" t="n"/>
      <c r="D264" s="34" t="n"/>
      <c r="E264" s="41" t="n"/>
      <c r="F264" s="34" t="n"/>
      <c r="G264" s="34" t="n"/>
      <c r="H264" s="41" t="n"/>
      <c r="I264" s="41" t="n"/>
      <c r="J264" s="34" t="n"/>
      <c r="K264" s="41" t="n"/>
      <c r="L264" s="41" t="n"/>
    </row>
    <row r="265">
      <c r="A265" s="132" t="n"/>
      <c r="B265" s="41" t="n"/>
      <c r="C265" s="34" t="n"/>
      <c r="D265" s="34" t="n"/>
      <c r="E265" s="41" t="n"/>
      <c r="F265" s="34" t="n"/>
      <c r="G265" s="34" t="n"/>
      <c r="H265" s="41" t="n"/>
      <c r="I265" s="41" t="n"/>
      <c r="J265" s="34" t="n"/>
      <c r="K265" s="41" t="n"/>
      <c r="L265" s="41" t="n"/>
    </row>
    <row r="266">
      <c r="A266" s="132" t="n"/>
      <c r="B266" s="41" t="n"/>
      <c r="C266" s="34" t="n"/>
      <c r="D266" s="34" t="n"/>
      <c r="E266" s="41" t="n"/>
      <c r="F266" s="34" t="n"/>
      <c r="G266" s="34" t="n"/>
      <c r="H266" s="41" t="n"/>
      <c r="I266" s="41" t="n"/>
      <c r="J266" s="34" t="n"/>
      <c r="K266" s="41" t="n"/>
      <c r="L266" s="41" t="n"/>
    </row>
    <row r="267">
      <c r="A267" s="132" t="n"/>
      <c r="B267" s="41" t="n"/>
      <c r="C267" s="34" t="n"/>
      <c r="D267" s="34" t="n"/>
      <c r="E267" s="41" t="n"/>
      <c r="F267" s="34" t="n"/>
      <c r="G267" s="34" t="n"/>
      <c r="H267" s="41" t="n"/>
      <c r="I267" s="41" t="n"/>
      <c r="J267" s="34" t="n"/>
      <c r="K267" s="41" t="n"/>
      <c r="L267" s="41" t="n"/>
    </row>
    <row r="268">
      <c r="A268" s="132" t="n"/>
      <c r="B268" s="41" t="n"/>
      <c r="C268" s="34" t="n"/>
      <c r="D268" s="34" t="n"/>
      <c r="E268" s="41" t="n"/>
      <c r="F268" s="34" t="n"/>
      <c r="G268" s="34" t="n"/>
      <c r="H268" s="41" t="n"/>
      <c r="I268" s="41" t="n"/>
      <c r="J268" s="34" t="n"/>
      <c r="K268" s="41" t="n"/>
      <c r="L268" s="41" t="n"/>
    </row>
    <row r="269">
      <c r="A269" s="132" t="n"/>
      <c r="B269" s="41" t="n"/>
      <c r="C269" s="34" t="n"/>
      <c r="D269" s="34" t="n"/>
      <c r="E269" s="41" t="n"/>
      <c r="F269" s="34" t="n"/>
      <c r="G269" s="34" t="n"/>
      <c r="H269" s="41" t="n"/>
      <c r="I269" s="41" t="n"/>
      <c r="J269" s="34" t="n"/>
      <c r="K269" s="41" t="n"/>
      <c r="L269" s="41" t="n"/>
    </row>
    <row r="270">
      <c r="A270" s="132" t="n"/>
      <c r="B270" s="41" t="n"/>
      <c r="C270" s="34" t="n"/>
      <c r="D270" s="34" t="n"/>
      <c r="E270" s="41" t="n"/>
      <c r="F270" s="34" t="n"/>
      <c r="G270" s="34" t="n"/>
      <c r="H270" s="41" t="n"/>
      <c r="I270" s="41" t="n"/>
      <c r="J270" s="34" t="n"/>
      <c r="K270" s="41" t="n"/>
      <c r="L270" s="41" t="n"/>
    </row>
    <row r="271">
      <c r="A271" s="132" t="n"/>
      <c r="B271" s="41" t="n"/>
      <c r="C271" s="34" t="n"/>
      <c r="D271" s="34" t="n"/>
      <c r="E271" s="41" t="n"/>
      <c r="F271" s="34" t="n"/>
      <c r="G271" s="34" t="n"/>
      <c r="H271" s="41" t="n"/>
      <c r="I271" s="41" t="n"/>
      <c r="J271" s="34" t="n"/>
      <c r="K271" s="41" t="n"/>
      <c r="L271" s="41" t="n"/>
    </row>
    <row r="272">
      <c r="A272" s="132" t="n"/>
      <c r="B272" s="41" t="n"/>
      <c r="C272" s="34" t="n"/>
      <c r="D272" s="34" t="n"/>
      <c r="E272" s="41" t="n"/>
      <c r="F272" s="34" t="n"/>
      <c r="G272" s="34" t="n"/>
      <c r="H272" s="41" t="n"/>
      <c r="I272" s="41" t="n"/>
      <c r="J272" s="34" t="n"/>
      <c r="K272" s="41" t="n"/>
      <c r="L272" s="41" t="n"/>
    </row>
    <row r="273">
      <c r="A273" s="132" t="n"/>
      <c r="B273" s="41" t="n"/>
      <c r="C273" s="34" t="n"/>
      <c r="D273" s="34" t="n"/>
      <c r="E273" s="41" t="n"/>
      <c r="F273" s="34" t="n"/>
      <c r="G273" s="34" t="n"/>
      <c r="H273" s="41" t="n"/>
      <c r="I273" s="41" t="n"/>
      <c r="J273" s="34" t="n"/>
      <c r="K273" s="41" t="n"/>
      <c r="L273" s="41" t="n"/>
    </row>
    <row r="274">
      <c r="A274" s="132" t="n"/>
      <c r="B274" s="41" t="n"/>
      <c r="C274" s="34" t="n"/>
      <c r="D274" s="34" t="n"/>
      <c r="E274" s="41" t="n"/>
      <c r="F274" s="34" t="n"/>
      <c r="G274" s="34" t="n"/>
      <c r="H274" s="41" t="n"/>
      <c r="I274" s="41" t="n"/>
      <c r="J274" s="34" t="n"/>
      <c r="K274" s="41" t="n"/>
      <c r="L274" s="41" t="n"/>
    </row>
    <row r="275">
      <c r="A275" s="132" t="n"/>
      <c r="B275" s="41" t="n"/>
      <c r="C275" s="34" t="n"/>
      <c r="D275" s="34" t="n"/>
      <c r="E275" s="41" t="n"/>
      <c r="F275" s="34" t="n"/>
      <c r="G275" s="34" t="n"/>
      <c r="H275" s="41" t="n"/>
      <c r="I275" s="41" t="n"/>
      <c r="J275" s="34" t="n"/>
      <c r="K275" s="41" t="n"/>
      <c r="L275" s="41" t="n"/>
    </row>
    <row r="276">
      <c r="A276" s="132" t="n"/>
      <c r="B276" s="41" t="n"/>
      <c r="C276" s="34" t="n"/>
      <c r="D276" s="34" t="n"/>
      <c r="E276" s="41" t="n"/>
      <c r="F276" s="34" t="n"/>
      <c r="G276" s="34" t="n"/>
      <c r="H276" s="41" t="n"/>
      <c r="I276" s="41" t="n"/>
      <c r="J276" s="34" t="n"/>
      <c r="K276" s="41" t="n"/>
      <c r="L276" s="41" t="n"/>
    </row>
    <row r="277">
      <c r="A277" s="132" t="n"/>
      <c r="B277" s="41" t="n"/>
      <c r="C277" s="34" t="n"/>
      <c r="D277" s="34" t="n"/>
      <c r="E277" s="41" t="n"/>
      <c r="F277" s="34" t="n"/>
      <c r="G277" s="34" t="n"/>
      <c r="H277" s="41" t="n"/>
      <c r="I277" s="41" t="n"/>
      <c r="J277" s="34" t="n"/>
      <c r="K277" s="41" t="n"/>
      <c r="L277" s="41" t="n"/>
    </row>
    <row r="278">
      <c r="A278" s="132" t="n"/>
      <c r="B278" s="41" t="n"/>
      <c r="C278" s="34" t="n"/>
      <c r="D278" s="34" t="n"/>
      <c r="E278" s="41" t="n"/>
      <c r="F278" s="34" t="n"/>
      <c r="G278" s="34" t="n"/>
      <c r="H278" s="41" t="n"/>
      <c r="I278" s="41" t="n"/>
      <c r="J278" s="34" t="n"/>
      <c r="K278" s="41" t="n"/>
      <c r="L278" s="41" t="n"/>
    </row>
    <row r="279">
      <c r="A279" s="132" t="n"/>
      <c r="B279" s="41" t="n"/>
      <c r="C279" s="34" t="n"/>
      <c r="D279" s="34" t="n"/>
      <c r="E279" s="41" t="n"/>
      <c r="F279" s="34" t="n"/>
      <c r="G279" s="34" t="n"/>
      <c r="H279" s="41" t="n"/>
      <c r="I279" s="41" t="n"/>
      <c r="J279" s="34" t="n"/>
      <c r="K279" s="41" t="n"/>
      <c r="L279" s="41" t="n"/>
    </row>
    <row r="280">
      <c r="A280" s="132" t="n"/>
      <c r="B280" s="41" t="n"/>
      <c r="C280" s="34" t="n"/>
      <c r="D280" s="34" t="n"/>
      <c r="E280" s="41" t="n"/>
      <c r="F280" s="34" t="n"/>
      <c r="G280" s="34" t="n"/>
      <c r="H280" s="41" t="n"/>
      <c r="I280" s="41" t="n"/>
      <c r="J280" s="34" t="n"/>
      <c r="K280" s="41" t="n"/>
      <c r="L280" s="41" t="n"/>
    </row>
    <row r="281">
      <c r="A281" s="132" t="n"/>
      <c r="B281" s="41" t="n"/>
      <c r="C281" s="34" t="n"/>
      <c r="D281" s="34" t="n"/>
      <c r="E281" s="41" t="n"/>
      <c r="F281" s="34" t="n"/>
      <c r="G281" s="34" t="n"/>
      <c r="H281" s="41" t="n"/>
      <c r="I281" s="41" t="n"/>
      <c r="J281" s="34" t="n"/>
      <c r="K281" s="41" t="n"/>
      <c r="L281" s="41" t="n"/>
    </row>
    <row r="282">
      <c r="A282" s="132" t="n"/>
      <c r="B282" s="41" t="n"/>
      <c r="C282" s="34" t="n"/>
      <c r="D282" s="34" t="n"/>
      <c r="E282" s="41" t="n"/>
      <c r="F282" s="34" t="n"/>
      <c r="G282" s="34" t="n"/>
      <c r="H282" s="41" t="n"/>
      <c r="I282" s="41" t="n"/>
      <c r="J282" s="34" t="n"/>
      <c r="K282" s="41" t="n"/>
      <c r="L282" s="41" t="n"/>
    </row>
    <row r="283">
      <c r="A283" s="132" t="n"/>
      <c r="B283" s="41" t="n"/>
      <c r="C283" s="34" t="n"/>
      <c r="D283" s="34" t="n"/>
      <c r="E283" s="41" t="n"/>
      <c r="F283" s="34" t="n"/>
      <c r="G283" s="34" t="n"/>
      <c r="H283" s="41" t="n"/>
      <c r="I283" s="41" t="n"/>
      <c r="J283" s="34" t="n"/>
      <c r="K283" s="41" t="n"/>
      <c r="L283" s="41" t="n"/>
    </row>
    <row r="284">
      <c r="A284" s="132" t="n"/>
      <c r="B284" s="41" t="n"/>
      <c r="C284" s="34" t="n"/>
      <c r="D284" s="34" t="n"/>
      <c r="E284" s="41" t="n"/>
      <c r="F284" s="34" t="n"/>
      <c r="G284" s="34" t="n"/>
      <c r="H284" s="41" t="n"/>
      <c r="I284" s="41" t="n"/>
      <c r="J284" s="34" t="n"/>
      <c r="K284" s="41" t="n"/>
      <c r="L284" s="41" t="n"/>
    </row>
    <row r="285">
      <c r="A285" s="132" t="n"/>
      <c r="B285" s="41" t="n"/>
      <c r="C285" s="34" t="n"/>
      <c r="D285" s="34" t="n"/>
      <c r="E285" s="41" t="n"/>
      <c r="F285" s="34" t="n"/>
      <c r="G285" s="34" t="n"/>
      <c r="H285" s="41" t="n"/>
      <c r="I285" s="41" t="n"/>
      <c r="J285" s="34" t="n"/>
      <c r="K285" s="41" t="n"/>
      <c r="L285" s="41" t="n"/>
    </row>
    <row r="286">
      <c r="A286" s="132" t="n"/>
      <c r="B286" s="41" t="n"/>
      <c r="C286" s="34" t="n"/>
      <c r="D286" s="34" t="n"/>
      <c r="E286" s="41" t="n"/>
      <c r="F286" s="34" t="n"/>
      <c r="G286" s="34" t="n"/>
      <c r="H286" s="41" t="n"/>
      <c r="I286" s="41" t="n"/>
      <c r="J286" s="34" t="n"/>
      <c r="K286" s="41" t="n"/>
      <c r="L286" s="41" t="n"/>
    </row>
    <row r="287">
      <c r="A287" s="132" t="n"/>
      <c r="B287" s="41" t="n"/>
      <c r="C287" s="34" t="n"/>
      <c r="D287" s="34" t="n"/>
      <c r="E287" s="41" t="n"/>
      <c r="F287" s="34" t="n"/>
      <c r="G287" s="34" t="n"/>
      <c r="H287" s="41" t="n"/>
      <c r="I287" s="41" t="n"/>
      <c r="J287" s="34" t="n"/>
      <c r="K287" s="41" t="n"/>
      <c r="L287" s="41" t="n"/>
    </row>
    <row r="288">
      <c r="A288" s="132" t="n"/>
      <c r="B288" s="41" t="n"/>
      <c r="C288" s="34" t="n"/>
      <c r="D288" s="34" t="n"/>
      <c r="E288" s="41" t="n"/>
      <c r="F288" s="34" t="n"/>
      <c r="G288" s="34" t="n"/>
      <c r="H288" s="41" t="n"/>
      <c r="I288" s="41" t="n"/>
      <c r="J288" s="34" t="n"/>
      <c r="K288" s="41" t="n"/>
      <c r="L288" s="41" t="n"/>
    </row>
    <row r="289">
      <c r="A289" s="132" t="n"/>
      <c r="B289" s="41" t="n"/>
      <c r="C289" s="34" t="n"/>
      <c r="D289" s="34" t="n"/>
      <c r="E289" s="41" t="n"/>
      <c r="F289" s="34" t="n"/>
      <c r="G289" s="34" t="n"/>
      <c r="H289" s="41" t="n"/>
      <c r="I289" s="41" t="n"/>
      <c r="J289" s="34" t="n"/>
      <c r="K289" s="41" t="n"/>
      <c r="L289" s="41" t="n"/>
    </row>
    <row r="290">
      <c r="A290" s="132" t="n"/>
      <c r="B290" s="41" t="n"/>
      <c r="C290" s="34" t="n"/>
      <c r="D290" s="34" t="n"/>
      <c r="E290" s="41" t="n"/>
      <c r="F290" s="34" t="n"/>
      <c r="G290" s="34" t="n"/>
      <c r="H290" s="41" t="n"/>
      <c r="I290" s="41" t="n"/>
      <c r="J290" s="34" t="n"/>
      <c r="K290" s="41" t="n"/>
      <c r="L290" s="41" t="n"/>
    </row>
    <row r="291">
      <c r="A291" s="132" t="n"/>
      <c r="B291" s="41" t="n"/>
      <c r="C291" s="34" t="n"/>
      <c r="D291" s="34" t="n"/>
      <c r="E291" s="41" t="n"/>
      <c r="F291" s="34" t="n"/>
      <c r="G291" s="34" t="n"/>
      <c r="H291" s="41" t="n"/>
      <c r="I291" s="41" t="n"/>
      <c r="J291" s="34" t="n"/>
      <c r="K291" s="41" t="n"/>
      <c r="L291" s="41" t="n"/>
    </row>
    <row r="292">
      <c r="A292" s="132" t="n"/>
      <c r="B292" s="41" t="n"/>
      <c r="C292" s="34" t="n"/>
      <c r="D292" s="34" t="n"/>
      <c r="E292" s="41" t="n"/>
      <c r="F292" s="34" t="n"/>
      <c r="G292" s="34" t="n"/>
      <c r="H292" s="41" t="n"/>
      <c r="I292" s="41" t="n"/>
      <c r="J292" s="34" t="n"/>
      <c r="K292" s="41" t="n"/>
      <c r="L292" s="41" t="n"/>
    </row>
    <row r="293">
      <c r="A293" s="132" t="n"/>
      <c r="B293" s="41" t="n"/>
      <c r="C293" s="34" t="n"/>
      <c r="D293" s="34" t="n"/>
      <c r="E293" s="41" t="n"/>
      <c r="F293" s="34" t="n"/>
      <c r="G293" s="34" t="n"/>
      <c r="H293" s="41" t="n"/>
      <c r="I293" s="41" t="n"/>
      <c r="J293" s="34" t="n"/>
      <c r="K293" s="41" t="n"/>
      <c r="L293" s="41" t="n"/>
    </row>
    <row r="294">
      <c r="A294" s="132" t="n"/>
      <c r="B294" s="41" t="n"/>
      <c r="C294" s="34" t="n"/>
      <c r="D294" s="34" t="n"/>
      <c r="E294" s="41" t="n"/>
      <c r="F294" s="34" t="n"/>
      <c r="G294" s="34" t="n"/>
      <c r="H294" s="41" t="n"/>
      <c r="I294" s="41" t="n"/>
      <c r="J294" s="34" t="n"/>
      <c r="K294" s="41" t="n"/>
      <c r="L294" s="41" t="n"/>
    </row>
    <row r="295">
      <c r="A295" s="132" t="n"/>
      <c r="B295" s="41" t="n"/>
      <c r="C295" s="34" t="n"/>
      <c r="D295" s="34" t="n"/>
      <c r="E295" s="41" t="n"/>
      <c r="F295" s="34" t="n"/>
      <c r="G295" s="34" t="n"/>
      <c r="H295" s="41" t="n"/>
      <c r="I295" s="41" t="n"/>
      <c r="J295" s="34" t="n"/>
      <c r="K295" s="41" t="n"/>
      <c r="L295" s="41" t="n"/>
    </row>
    <row r="296">
      <c r="A296" s="132" t="n"/>
      <c r="B296" s="41" t="n"/>
      <c r="C296" s="34" t="n"/>
      <c r="D296" s="34" t="n"/>
      <c r="E296" s="41" t="n"/>
      <c r="F296" s="34" t="n"/>
      <c r="G296" s="34" t="n"/>
      <c r="H296" s="41" t="n"/>
      <c r="I296" s="41" t="n"/>
      <c r="J296" s="34" t="n"/>
      <c r="K296" s="41" t="n"/>
      <c r="L296" s="41" t="n"/>
    </row>
    <row r="297">
      <c r="A297" s="132" t="n"/>
      <c r="B297" s="41" t="n"/>
      <c r="C297" s="34" t="n"/>
      <c r="D297" s="34" t="n"/>
      <c r="E297" s="41" t="n"/>
      <c r="F297" s="34" t="n"/>
      <c r="G297" s="34" t="n"/>
      <c r="H297" s="41" t="n"/>
      <c r="I297" s="41" t="n"/>
      <c r="J297" s="34" t="n"/>
      <c r="K297" s="41" t="n"/>
      <c r="L297" s="41" t="n"/>
    </row>
    <row r="298">
      <c r="A298" s="132" t="n"/>
      <c r="B298" s="41" t="n"/>
      <c r="C298" s="34" t="n"/>
      <c r="D298" s="34" t="n"/>
      <c r="E298" s="41" t="n"/>
      <c r="F298" s="34" t="n"/>
      <c r="G298" s="34" t="n"/>
      <c r="H298" s="41" t="n"/>
      <c r="I298" s="41" t="n"/>
      <c r="J298" s="34" t="n"/>
      <c r="K298" s="41" t="n"/>
      <c r="L298" s="41" t="n"/>
    </row>
    <row r="299">
      <c r="A299" s="132" t="n"/>
      <c r="B299" s="41" t="n"/>
      <c r="C299" s="34" t="n"/>
      <c r="D299" s="34" t="n"/>
      <c r="E299" s="41" t="n"/>
      <c r="F299" s="34" t="n"/>
      <c r="G299" s="34" t="n"/>
      <c r="H299" s="41" t="n"/>
      <c r="I299" s="41" t="n"/>
      <c r="J299" s="34" t="n"/>
      <c r="K299" s="41" t="n"/>
      <c r="L299" s="41" t="n"/>
    </row>
    <row r="300">
      <c r="A300" s="132" t="n"/>
      <c r="B300" s="41" t="n"/>
      <c r="C300" s="34" t="n"/>
      <c r="D300" s="34" t="n"/>
      <c r="E300" s="41" t="n"/>
      <c r="F300" s="34" t="n"/>
      <c r="G300" s="34" t="n"/>
      <c r="H300" s="41" t="n"/>
      <c r="I300" s="41" t="n"/>
      <c r="J300" s="34" t="n"/>
      <c r="K300" s="41" t="n"/>
      <c r="L300" s="41" t="n"/>
    </row>
    <row r="301">
      <c r="A301" s="132" t="n"/>
      <c r="B301" s="41" t="n"/>
      <c r="C301" s="34" t="n"/>
      <c r="D301" s="34" t="n"/>
      <c r="E301" s="41" t="n"/>
      <c r="F301" s="34" t="n"/>
      <c r="G301" s="34" t="n"/>
      <c r="H301" s="41" t="n"/>
      <c r="I301" s="41" t="n"/>
      <c r="J301" s="34" t="n"/>
      <c r="K301" s="41" t="n"/>
      <c r="L301" s="41" t="n"/>
    </row>
    <row r="302">
      <c r="A302" s="132" t="n"/>
      <c r="B302" s="41" t="n"/>
      <c r="C302" s="34" t="n"/>
      <c r="D302" s="34" t="n"/>
      <c r="E302" s="41" t="n"/>
      <c r="F302" s="34" t="n"/>
      <c r="G302" s="34" t="n"/>
      <c r="H302" s="41" t="n"/>
      <c r="I302" s="41" t="n"/>
      <c r="J302" s="34" t="n"/>
      <c r="K302" s="41" t="n"/>
      <c r="L302" s="41" t="n"/>
    </row>
    <row r="303">
      <c r="A303" s="132" t="n"/>
      <c r="B303" s="41" t="n"/>
      <c r="C303" s="34" t="n"/>
      <c r="D303" s="34" t="n"/>
      <c r="E303" s="41" t="n"/>
      <c r="F303" s="34" t="n"/>
      <c r="G303" s="34" t="n"/>
      <c r="H303" s="41" t="n"/>
      <c r="I303" s="41" t="n"/>
      <c r="J303" s="34" t="n"/>
      <c r="K303" s="41" t="n"/>
      <c r="L303" s="41" t="n"/>
    </row>
    <row r="304">
      <c r="A304" s="132" t="n"/>
      <c r="B304" s="41" t="n"/>
      <c r="C304" s="34" t="n"/>
      <c r="D304" s="34" t="n"/>
      <c r="E304" s="41" t="n"/>
      <c r="F304" s="34" t="n"/>
      <c r="G304" s="34" t="n"/>
      <c r="H304" s="41" t="n"/>
      <c r="I304" s="41" t="n"/>
      <c r="J304" s="34" t="n"/>
      <c r="K304" s="41" t="n"/>
      <c r="L304" s="41" t="n"/>
    </row>
    <row r="305">
      <c r="A305" s="132" t="n"/>
      <c r="B305" s="41" t="n"/>
      <c r="C305" s="34" t="n"/>
      <c r="D305" s="34" t="n"/>
      <c r="E305" s="41" t="n"/>
      <c r="F305" s="34" t="n"/>
      <c r="G305" s="34" t="n"/>
      <c r="H305" s="41" t="n"/>
      <c r="I305" s="41" t="n"/>
      <c r="J305" s="34" t="n"/>
      <c r="K305" s="41" t="n"/>
      <c r="L305" s="41" t="n"/>
    </row>
    <row r="306">
      <c r="A306" s="132" t="n"/>
      <c r="B306" s="41" t="n"/>
      <c r="C306" s="34" t="n"/>
      <c r="D306" s="34" t="n"/>
      <c r="E306" s="41" t="n"/>
      <c r="F306" s="34" t="n"/>
      <c r="G306" s="34" t="n"/>
      <c r="H306" s="41" t="n"/>
      <c r="I306" s="41" t="n"/>
      <c r="J306" s="34" t="n"/>
      <c r="K306" s="41" t="n"/>
      <c r="L306" s="41" t="n"/>
    </row>
  </sheetData>
  <mergeCells count="2">
    <mergeCell ref="A2:L2"/>
    <mergeCell ref="A1:L1"/>
  </mergeCells>
  <conditionalFormatting sqref="H7:H306">
    <cfRule type="cellIs" priority="1" operator="equal" dxfId="0">
      <formula>"Fail"</formula>
    </cfRule>
    <cfRule type="cellIs" priority="2" operator="equal" dxfId="5">
      <formula>"Pass"</formula>
    </cfRule>
    <cfRule type="cellIs" priority="3" operator="equal" dxfId="3">
      <formula>"Blocked"</formula>
    </cfRule>
  </conditionalFormatting>
  <dataValidations count="5">
    <dataValidation sqref="E7:E306" showDropDown="0" showInputMessage="0" showErrorMessage="0" allowBlank="1" error="Pick a value from the list." promptTitle="Test type" type="list">
      <formula1>=LISTS!$L$5:$L$12</formula1>
    </dataValidation>
    <dataValidation sqref="H7:H306" showDropDown="0" showInputMessage="0" showErrorMessage="0" allowBlank="1" error="Pick a value from the list." promptTitle="Status" type="list">
      <formula1>"Pass,Fail,Blocked,Not run"</formula1>
    </dataValidation>
    <dataValidation sqref="I7:I306" showDropDown="0" showInputMessage="0" showErrorMessage="0" allowBlank="1" error="Pick a value from the list." promptTitle="Milestone" type="list">
      <formula1>=LISTS!$D$5:$D$8</formula1>
    </dataValidation>
    <dataValidation sqref="J7:J306" showDropDown="0" showInputMessage="0" showErrorMessage="0" allowBlank="1" error="Pick a value from the list." promptTitle="Tester" type="list">
      <formula1>=LISTS!$H$5:$H$10</formula1>
    </dataValidation>
    <dataValidation sqref="L7:L306" showDropDown="0" showInputMessage="0" showErrorMessage="0" allowBlank="1" error="Pick a value from the list." promptTitle="Automated?" type="list">
      <formula1>=LISTS!$I$5:$I$6</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15.xml><?xml version="1.0" encoding="utf-8"?>
<worksheet xmlns="http://schemas.openxmlformats.org/spreadsheetml/2006/main">
  <sheetPr>
    <tabColor rgb="00B4531A"/>
    <outlinePr summaryBelow="1" summaryRight="1"/>
    <pageSetUpPr fitToPage="1"/>
  </sheetPr>
  <dimension ref="A1:P256"/>
  <sheetViews>
    <sheetView showGridLines="0" workbookViewId="0">
      <pane ySplit="6" topLeftCell="A7" activePane="bottomLeft" state="frozen"/>
      <selection pane="bottomLeft" activeCell="A1" sqref="A1"/>
    </sheetView>
  </sheetViews>
  <sheetFormatPr baseColWidth="8" defaultRowHeight="15" outlineLevelCol="0"/>
  <cols>
    <col width="11" customWidth="1" min="1" max="1"/>
    <col width="19" customWidth="1" min="2" max="2"/>
    <col width="9" customWidth="1" min="3" max="3"/>
    <col width="26" customWidth="1" min="4" max="4"/>
    <col width="26" customWidth="1" min="5" max="5"/>
    <col width="16" customWidth="1" min="6" max="6"/>
    <col width="40" customWidth="1" min="7" max="7"/>
    <col width="9" customWidth="1" min="8" max="8"/>
    <col width="9" customWidth="1" min="9" max="9"/>
    <col width="9" customWidth="1" min="10" max="10"/>
    <col width="19" customWidth="1" min="11" max="11"/>
    <col width="18" customWidth="1" min="12" max="12"/>
    <col width="9" customWidth="1" min="13" max="13"/>
    <col width="11" customWidth="1" min="14" max="14"/>
    <col width="18" customWidth="1" min="15" max="15"/>
    <col width="10" customWidth="1" min="16" max="16"/>
  </cols>
  <sheetData>
    <row r="1" ht="30" customHeight="1">
      <c r="A1" s="1" t="inlineStr">
        <is>
          <t>Form LOGAI  -  AI-Assisted Development Log</t>
        </is>
      </c>
    </row>
    <row r="2" ht="16" customHeight="1">
      <c r="A2" s="2" t="inlineStr">
        <is>
          <t>Every change where a generator wrote code that reached the repository. No entry, no merge.</t>
        </is>
      </c>
    </row>
    <row r="4">
      <c r="A4" s="23" t="inlineStr">
        <is>
          <t>Team</t>
        </is>
      </c>
      <c r="B4" s="24">
        <f>SETUP!$C$10</f>
        <v/>
      </c>
      <c r="D4" s="23" t="inlineStr">
        <is>
          <t>Entries</t>
        </is>
      </c>
      <c r="E4" s="67">
        <f>COUNTA(LOGAI!$A$7:$A$256)</f>
        <v/>
      </c>
      <c r="F4" s="23" t="inlineStr">
        <is>
          <t>Approved</t>
        </is>
      </c>
      <c r="G4" s="67">
        <f>COUNTIF(LOGAI!$P$7:$P$256,"Yes")</f>
        <v/>
      </c>
      <c r="H4" s="23" t="inlineStr">
        <is>
          <t>Lines generated</t>
        </is>
      </c>
      <c r="I4" s="67">
        <f>SUM(LOGAI!$H$7:$H$256)</f>
        <v/>
      </c>
      <c r="K4" s="23" t="inlineStr">
        <is>
          <t>Lines kept after review</t>
        </is>
      </c>
      <c r="M4" s="67">
        <f>SUM(LOGAI!$I$7:$I$256)</f>
        <v/>
      </c>
      <c r="N4" s="23" t="inlineStr">
        <is>
          <t>Keep rate</t>
        </is>
      </c>
      <c r="P4" s="131">
        <f>IF(SUM(LOGAI!$H$7:$H$256)=0,"",SUM(LOGAI!$I$7:$I$256)/SUM(LOGAI!$H$7:$H$256))</f>
        <v/>
      </c>
    </row>
    <row r="6" ht="34" customHeight="1">
      <c r="A6" s="6" t="inlineStr">
        <is>
          <t>Date</t>
        </is>
      </c>
      <c r="B6" s="6" t="inlineStr">
        <is>
          <t>Member</t>
        </is>
      </c>
      <c r="C6" s="6" t="inlineStr">
        <is>
          <t>Milestone</t>
        </is>
      </c>
      <c r="D6" s="6" t="inlineStr">
        <is>
          <t>File / module</t>
        </is>
      </c>
      <c r="E6" s="6" t="inlineStr">
        <is>
          <t>Feature or behaviour</t>
        </is>
      </c>
      <c r="F6" s="6" t="inlineStr">
        <is>
          <t>AI tool</t>
        </is>
      </c>
      <c r="G6" s="6" t="inlineStr">
        <is>
          <t>Prompt (summarised)</t>
        </is>
      </c>
      <c r="H6" s="6" t="inlineStr">
        <is>
          <t>Lines gen.</t>
        </is>
      </c>
      <c r="I6" s="6" t="inlineStr">
        <is>
          <t>Lines kept</t>
        </is>
      </c>
      <c r="J6" s="6" t="inlineStr">
        <is>
          <t>Keep %</t>
        </is>
      </c>
      <c r="K6" s="6" t="inlineStr">
        <is>
          <t>Reviewer</t>
        </is>
      </c>
      <c r="L6" s="6" t="inlineStr">
        <is>
          <t>Review verdict</t>
        </is>
      </c>
      <c r="M6" s="6" t="inlineStr">
        <is>
          <t>Tests written?</t>
        </is>
      </c>
      <c r="N6" s="6" t="inlineStr">
        <is>
          <t>Test status</t>
        </is>
      </c>
      <c r="O6" s="6" t="inlineStr">
        <is>
          <t>Commit / PR ref</t>
        </is>
      </c>
      <c r="P6" s="6" t="inlineStr">
        <is>
          <t>Approved?</t>
        </is>
      </c>
    </row>
    <row r="7">
      <c r="A7" s="132" t="n">
        <v>46322</v>
      </c>
      <c r="B7" s="34" t="inlineStr">
        <is>
          <t>Priya Nair</t>
        </is>
      </c>
      <c r="C7" s="41" t="inlineStr">
        <is>
          <t>M2</t>
        </is>
      </c>
      <c r="D7" s="34" t="inlineStr">
        <is>
          <t>order_form.dart</t>
        </is>
      </c>
      <c r="E7" s="34" t="inlineStr">
        <is>
          <t>Form validation for quantity and item fields</t>
        </is>
      </c>
      <c r="F7" s="34" t="inlineStr">
        <is>
          <t>GitHub Copilot</t>
        </is>
      </c>
      <c r="G7" s="34" t="inlineStr">
        <is>
          <t>Validate quantity is a positive integer and item is selected; return a message per field</t>
        </is>
      </c>
      <c r="H7" s="44" t="n">
        <v>60</v>
      </c>
      <c r="I7" s="44" t="n">
        <v>45</v>
      </c>
      <c r="J7" s="76">
        <f>IF(N($H7)=0,"",$I7/$H7)</f>
        <v/>
      </c>
      <c r="K7" s="34" t="inlineStr">
        <is>
          <t>Daniel Wong Jun Hao</t>
        </is>
      </c>
      <c r="L7" s="34" t="inlineStr">
        <is>
          <t>Approved with changes</t>
        </is>
      </c>
      <c r="M7" s="41" t="inlineStr">
        <is>
          <t>Yes</t>
        </is>
      </c>
      <c r="N7" s="41" t="inlineStr">
        <is>
          <t>Pass</t>
        </is>
      </c>
      <c r="O7" s="34" t="inlineStr">
        <is>
          <t>PR#21</t>
        </is>
      </c>
      <c r="P7" s="41" t="inlineStr">
        <is>
          <t>Yes</t>
        </is>
      </c>
    </row>
    <row r="8">
      <c r="A8" s="132" t="n">
        <v>46323</v>
      </c>
      <c r="B8" s="34" t="inlineStr">
        <is>
          <t>Priya Nair</t>
        </is>
      </c>
      <c r="C8" s="41" t="inlineStr">
        <is>
          <t>M2</t>
        </is>
      </c>
      <c r="D8" s="34" t="inlineStr">
        <is>
          <t>catalogue_list.dart</t>
        </is>
      </c>
      <c r="E8" s="34" t="inlineStr">
        <is>
          <t>ListView.builder with lazy loading</t>
        </is>
      </c>
      <c r="F8" s="34" t="inlineStr">
        <is>
          <t>GitHub Copilot</t>
        </is>
      </c>
      <c r="G8" s="34" t="inlineStr">
        <is>
          <t>Build a lazy list of catalogue items with a low-stock badge</t>
        </is>
      </c>
      <c r="H8" s="44" t="n">
        <v>40</v>
      </c>
      <c r="I8" s="44" t="n">
        <v>34</v>
      </c>
      <c r="J8" s="76">
        <f>IF(N($H8)=0,"",$I8/$H8)</f>
        <v/>
      </c>
      <c r="K8" s="34" t="inlineStr">
        <is>
          <t>Mei Ling Chong</t>
        </is>
      </c>
      <c r="L8" s="34" t="inlineStr">
        <is>
          <t>Approved</t>
        </is>
      </c>
      <c r="M8" s="41" t="inlineStr">
        <is>
          <t>Yes</t>
        </is>
      </c>
      <c r="N8" s="41" t="inlineStr">
        <is>
          <t>Pass</t>
        </is>
      </c>
      <c r="O8" s="34" t="inlineStr">
        <is>
          <t>PR#22</t>
        </is>
      </c>
      <c r="P8" s="41" t="inlineStr">
        <is>
          <t>Yes</t>
        </is>
      </c>
    </row>
    <row r="9">
      <c r="A9" s="132" t="n">
        <v>46331</v>
      </c>
      <c r="B9" s="34" t="inlineStr">
        <is>
          <t>Aisyah Binti Rahman</t>
        </is>
      </c>
      <c r="C9" s="41" t="inlineStr">
        <is>
          <t>M2</t>
        </is>
      </c>
      <c r="D9" s="34" t="inlineStr">
        <is>
          <t>.github/workflows/ci.yml</t>
        </is>
      </c>
      <c r="E9" s="34" t="inlineStr">
        <is>
          <t>GitHub Actions workflow</t>
        </is>
      </c>
      <c r="F9" s="34" t="inlineStr">
        <is>
          <t>Claude</t>
        </is>
      </c>
      <c r="G9" s="34" t="inlineStr">
        <is>
          <t>Workflow that runs flutter analyze, flutter test and uploads a coverage report</t>
        </is>
      </c>
      <c r="H9" s="44" t="n">
        <v>55</v>
      </c>
      <c r="I9" s="44" t="n">
        <v>50</v>
      </c>
      <c r="J9" s="76">
        <f>IF(N($H9)=0,"",$I9/$H9)</f>
        <v/>
      </c>
      <c r="K9" s="34" t="inlineStr">
        <is>
          <t>Mei Ling Chong</t>
        </is>
      </c>
      <c r="L9" s="34" t="inlineStr">
        <is>
          <t>Approved with changes</t>
        </is>
      </c>
      <c r="M9" s="41" t="inlineStr">
        <is>
          <t>No</t>
        </is>
      </c>
      <c r="N9" s="41" t="inlineStr">
        <is>
          <t>Not run</t>
        </is>
      </c>
      <c r="O9" s="34" t="inlineStr">
        <is>
          <t>PR#23</t>
        </is>
      </c>
      <c r="P9" s="41" t="inlineStr">
        <is>
          <t>Yes</t>
        </is>
      </c>
    </row>
    <row r="10">
      <c r="A10" s="132" t="n">
        <v>46332</v>
      </c>
      <c r="B10" s="34" t="inlineStr">
        <is>
          <t>Daniel Wong Jun Hao</t>
        </is>
      </c>
      <c r="C10" s="41" t="inlineStr">
        <is>
          <t>M2</t>
        </is>
      </c>
      <c r="D10" s="34" t="inlineStr">
        <is>
          <t>price_repository.dart</t>
        </is>
      </c>
      <c r="E10" s="34" t="inlineStr">
        <is>
          <t>Dated price lookup</t>
        </is>
      </c>
      <c r="F10" s="34" t="inlineStr">
        <is>
          <t>GitHub Copilot</t>
        </is>
      </c>
      <c r="G10" s="34" t="inlineStr">
        <is>
          <t>Return the price effective on a given date from a list of dated price records</t>
        </is>
      </c>
      <c r="H10" s="44" t="n">
        <v>45</v>
      </c>
      <c r="I10" s="44" t="n">
        <v>28</v>
      </c>
      <c r="J10" s="76">
        <f>IF(N($H10)=0,"",$I10/$H10)</f>
        <v/>
      </c>
      <c r="K10" s="34" t="inlineStr">
        <is>
          <t>Harith Bin Ismail</t>
        </is>
      </c>
      <c r="L10" s="34" t="inlineStr">
        <is>
          <t>Changes requested</t>
        </is>
      </c>
      <c r="M10" s="41" t="inlineStr">
        <is>
          <t>Yes</t>
        </is>
      </c>
      <c r="N10" s="41" t="inlineStr">
        <is>
          <t>Pass</t>
        </is>
      </c>
      <c r="O10" s="34" t="inlineStr">
        <is>
          <t>PR#24</t>
        </is>
      </c>
      <c r="P10" s="41" t="inlineStr">
        <is>
          <t>Yes</t>
        </is>
      </c>
    </row>
    <row r="11">
      <c r="A11" s="132" t="n">
        <v>46333</v>
      </c>
      <c r="B11" s="34" t="inlineStr">
        <is>
          <t>Daniel Wong Jun Hao</t>
        </is>
      </c>
      <c r="C11" s="41" t="inlineStr">
        <is>
          <t>M2</t>
        </is>
      </c>
      <c r="D11" s="34" t="inlineStr">
        <is>
          <t>note_parser.dart</t>
        </is>
      </c>
      <c r="E11" s="34" t="inlineStr">
        <is>
          <t>Gemini order-note parser wrapper</t>
        </is>
      </c>
      <c r="F11" s="34" t="inlineStr">
        <is>
          <t>Google Gemini</t>
        </is>
      </c>
      <c r="G11" s="34" t="inlineStr">
        <is>
          <t>Parse a free-text order note into item and quantity pairs; handle Malay and English</t>
        </is>
      </c>
      <c r="H11" s="44" t="n">
        <v>90</v>
      </c>
      <c r="I11" s="44" t="n">
        <v>62</v>
      </c>
      <c r="J11" s="76">
        <f>IF(N($H11)=0,"",$I11/$H11)</f>
        <v/>
      </c>
      <c r="K11" s="34" t="inlineStr">
        <is>
          <t>Priya Nair</t>
        </is>
      </c>
      <c r="L11" s="34" t="inlineStr">
        <is>
          <t>Approved with changes</t>
        </is>
      </c>
      <c r="M11" s="41" t="inlineStr">
        <is>
          <t>Yes</t>
        </is>
      </c>
      <c r="N11" s="41" t="inlineStr">
        <is>
          <t>Pass</t>
        </is>
      </c>
      <c r="O11" s="34" t="inlineStr">
        <is>
          <t>PR#25</t>
        </is>
      </c>
      <c r="P11" s="41" t="inlineStr">
        <is>
          <t>Yes</t>
        </is>
      </c>
    </row>
    <row r="12">
      <c r="A12" s="132" t="n">
        <v>46342</v>
      </c>
      <c r="B12" s="34" t="inlineStr">
        <is>
          <t>Priya Nair</t>
        </is>
      </c>
      <c r="C12" s="41" t="inlineStr">
        <is>
          <t>M2</t>
        </is>
      </c>
      <c r="D12" s="34" t="inlineStr">
        <is>
          <t>invoice_view.dart</t>
        </is>
      </c>
      <c r="E12" s="34" t="inlineStr">
        <is>
          <t>Invoice layout widget</t>
        </is>
      </c>
      <c r="F12" s="34" t="inlineStr">
        <is>
          <t>GitHub Copilot</t>
        </is>
      </c>
      <c r="G12" s="34" t="inlineStr">
        <is>
          <t>Lay out order lines, subtotal, tax and total in a printable column</t>
        </is>
      </c>
      <c r="H12" s="44" t="n">
        <v>50</v>
      </c>
      <c r="I12" s="44" t="n">
        <v>41</v>
      </c>
      <c r="J12" s="76">
        <f>IF(N($H12)=0,"",$I12/$H12)</f>
        <v/>
      </c>
      <c r="K12" s="34" t="inlineStr">
        <is>
          <t>Mei Ling Chong</t>
        </is>
      </c>
      <c r="L12" s="34" t="inlineStr">
        <is>
          <t>Approved</t>
        </is>
      </c>
      <c r="M12" s="41" t="inlineStr">
        <is>
          <t>Yes</t>
        </is>
      </c>
      <c r="N12" s="41" t="inlineStr">
        <is>
          <t>Pass</t>
        </is>
      </c>
      <c r="O12" s="34" t="inlineStr">
        <is>
          <t>PR#26</t>
        </is>
      </c>
      <c r="P12" s="41" t="inlineStr">
        <is>
          <t>Yes</t>
        </is>
      </c>
    </row>
    <row r="13">
      <c r="A13" s="132" t="n">
        <v>46343</v>
      </c>
      <c r="B13" s="34" t="inlineStr">
        <is>
          <t>Mei Ling Chong</t>
        </is>
      </c>
      <c r="C13" s="41" t="inlineStr">
        <is>
          <t>M2</t>
        </is>
      </c>
      <c r="D13" s="34" t="inlineStr">
        <is>
          <t>write_queue.dart</t>
        </is>
      </c>
      <c r="E13" s="34" t="inlineStr">
        <is>
          <t>Offline write-queue scaffolding</t>
        </is>
      </c>
      <c r="F13" s="34" t="inlineStr">
        <is>
          <t>Claude</t>
        </is>
      </c>
      <c r="G13" s="34" t="inlineStr">
        <is>
          <t>A queue that persists pending writes and drains them once when connectivity returns</t>
        </is>
      </c>
      <c r="H13" s="44" t="n">
        <v>75</v>
      </c>
      <c r="I13" s="44" t="n">
        <v>58</v>
      </c>
      <c r="J13" s="76">
        <f>IF(N($H13)=0,"",$I13/$H13)</f>
        <v/>
      </c>
      <c r="K13" s="34" t="inlineStr">
        <is>
          <t>Daniel Wong Jun Hao</t>
        </is>
      </c>
      <c r="L13" s="34" t="inlineStr">
        <is>
          <t>Approved with changes</t>
        </is>
      </c>
      <c r="M13" s="41" t="inlineStr">
        <is>
          <t>Yes</t>
        </is>
      </c>
      <c r="N13" s="41" t="inlineStr">
        <is>
          <t>Pass</t>
        </is>
      </c>
      <c r="O13" s="34" t="inlineStr">
        <is>
          <t>PR#27</t>
        </is>
      </c>
      <c r="P13" s="41" t="inlineStr">
        <is>
          <t>Yes</t>
        </is>
      </c>
    </row>
    <row r="14">
      <c r="A14" s="132" t="n">
        <v>46344</v>
      </c>
      <c r="B14" s="34" t="inlineStr">
        <is>
          <t>Mei Ling Chong</t>
        </is>
      </c>
      <c r="C14" s="41" t="inlineStr">
        <is>
          <t>M2</t>
        </is>
      </c>
      <c r="D14" s="34" t="inlineStr">
        <is>
          <t>app_theme.dart</t>
        </is>
      </c>
      <c r="E14" s="34" t="inlineStr">
        <is>
          <t>Material 3 theme from the brand colours</t>
        </is>
      </c>
      <c r="F14" s="34" t="inlineStr">
        <is>
          <t>GitHub Copilot</t>
        </is>
      </c>
      <c r="G14" s="34" t="inlineStr">
        <is>
          <t>Build a Material 3 ColorScheme from a seed colour and define text styles</t>
        </is>
      </c>
      <c r="H14" s="44" t="n">
        <v>35</v>
      </c>
      <c r="I14" s="44" t="n">
        <v>33</v>
      </c>
      <c r="J14" s="76">
        <f>IF(N($H14)=0,"",$I14/$H14)</f>
        <v/>
      </c>
      <c r="K14" s="34" t="inlineStr">
        <is>
          <t>Priya Nair</t>
        </is>
      </c>
      <c r="L14" s="34" t="inlineStr">
        <is>
          <t>Approved</t>
        </is>
      </c>
      <c r="M14" s="41" t="inlineStr">
        <is>
          <t>No</t>
        </is>
      </c>
      <c r="N14" s="41" t="inlineStr">
        <is>
          <t>Not run</t>
        </is>
      </c>
      <c r="O14" s="34" t="inlineStr">
        <is>
          <t>PR#28</t>
        </is>
      </c>
      <c r="P14" s="41" t="inlineStr">
        <is>
          <t>Yes</t>
        </is>
      </c>
    </row>
    <row r="15">
      <c r="A15" s="132" t="n">
        <v>46345</v>
      </c>
      <c r="B15" s="34" t="inlineStr">
        <is>
          <t>Harith Bin Ismail</t>
        </is>
      </c>
      <c r="C15" s="41" t="inlineStr">
        <is>
          <t>M2</t>
        </is>
      </c>
      <c r="D15" s="34" t="inlineStr">
        <is>
          <t>invoice_number.dart</t>
        </is>
      </c>
      <c r="E15" s="34" t="inlineStr">
        <is>
          <t>Device-safe invoice numbering</t>
        </is>
      </c>
      <c r="F15" s="34" t="inlineStr">
        <is>
          <t>Claude</t>
        </is>
      </c>
      <c r="G15" s="34" t="inlineStr">
        <is>
          <t>Generate invoice numbers unique across devices without a central server</t>
        </is>
      </c>
      <c r="H15" s="44" t="n">
        <v>40</v>
      </c>
      <c r="I15" s="44" t="n">
        <v>30</v>
      </c>
      <c r="J15" s="76">
        <f>IF(N($H15)=0,"",$I15/$H15)</f>
        <v/>
      </c>
      <c r="K15" s="34" t="inlineStr">
        <is>
          <t>Aisyah Binti Rahman</t>
        </is>
      </c>
      <c r="L15" s="34" t="inlineStr">
        <is>
          <t>Approved with changes</t>
        </is>
      </c>
      <c r="M15" s="41" t="inlineStr">
        <is>
          <t>Yes</t>
        </is>
      </c>
      <c r="N15" s="41" t="inlineStr">
        <is>
          <t>Pass</t>
        </is>
      </c>
      <c r="O15" s="34" t="inlineStr">
        <is>
          <t>PR#29</t>
        </is>
      </c>
      <c r="P15" s="41" t="inlineStr">
        <is>
          <t>Yes</t>
        </is>
      </c>
    </row>
    <row r="16">
      <c r="A16" s="132" t="n">
        <v>46346</v>
      </c>
      <c r="B16" s="34" t="inlineStr">
        <is>
          <t>Priya Nair</t>
        </is>
      </c>
      <c r="C16" s="41" t="inlineStr">
        <is>
          <t>M2</t>
        </is>
      </c>
      <c r="D16" s="34" t="inlineStr">
        <is>
          <t>order_form.dart</t>
        </is>
      </c>
      <c r="E16" s="34" t="inlineStr">
        <is>
          <t>Double-submit guard</t>
        </is>
      </c>
      <c r="F16" s="34" t="inlineStr">
        <is>
          <t>GitHub Copilot</t>
        </is>
      </c>
      <c r="G16" s="34" t="inlineStr">
        <is>
          <t>Prevent a second submit while the first is still in flight</t>
        </is>
      </c>
      <c r="H16" s="44" t="n">
        <v>20</v>
      </c>
      <c r="I16" s="44" t="n">
        <v>18</v>
      </c>
      <c r="J16" s="76">
        <f>IF(N($H16)=0,"",$I16/$H16)</f>
        <v/>
      </c>
      <c r="K16" s="34" t="inlineStr">
        <is>
          <t>Mei Ling Chong</t>
        </is>
      </c>
      <c r="L16" s="34" t="inlineStr">
        <is>
          <t>Approved</t>
        </is>
      </c>
      <c r="M16" s="41" t="inlineStr">
        <is>
          <t>Yes</t>
        </is>
      </c>
      <c r="N16" s="41" t="inlineStr">
        <is>
          <t>Pass</t>
        </is>
      </c>
      <c r="O16" s="34" t="inlineStr">
        <is>
          <t>PR#30</t>
        </is>
      </c>
      <c r="P16" s="41" t="inlineStr">
        <is>
          <t>Yes</t>
        </is>
      </c>
    </row>
    <row r="17">
      <c r="A17" s="132" t="n">
        <v>46354</v>
      </c>
      <c r="B17" s="34" t="inlineStr">
        <is>
          <t>Mei Ling Chong</t>
        </is>
      </c>
      <c r="C17" s="41" t="inlineStr">
        <is>
          <t>M3</t>
        </is>
      </c>
      <c r="D17" s="34" t="inlineStr">
        <is>
          <t>sync_service.dart</t>
        </is>
      </c>
      <c r="E17" s="34" t="inlineStr">
        <is>
          <t>Retry with exponential backoff</t>
        </is>
      </c>
      <c r="F17" s="34" t="inlineStr">
        <is>
          <t>GitHub Copilot</t>
        </is>
      </c>
      <c r="G17" s="34" t="inlineStr">
        <is>
          <t>Retry a failed sync with exponential backoff and a maximum attempt count</t>
        </is>
      </c>
      <c r="H17" s="44" t="n">
        <v>45</v>
      </c>
      <c r="I17" s="44" t="n">
        <v>36</v>
      </c>
      <c r="J17" s="76">
        <f>IF(N($H17)=0,"",$I17/$H17)</f>
        <v/>
      </c>
      <c r="K17" s="34" t="inlineStr">
        <is>
          <t>Daniel Wong Jun Hao</t>
        </is>
      </c>
      <c r="L17" s="34" t="inlineStr">
        <is>
          <t>Approved</t>
        </is>
      </c>
      <c r="M17" s="41" t="inlineStr">
        <is>
          <t>Yes</t>
        </is>
      </c>
      <c r="N17" s="41" t="inlineStr">
        <is>
          <t>Pass</t>
        </is>
      </c>
      <c r="O17" s="34" t="inlineStr">
        <is>
          <t>PR#31</t>
        </is>
      </c>
      <c r="P17" s="41" t="inlineStr">
        <is>
          <t>Yes</t>
        </is>
      </c>
    </row>
    <row r="18">
      <c r="A18" s="132" t="n">
        <v>46356</v>
      </c>
      <c r="B18" s="34" t="inlineStr">
        <is>
          <t>Daniel Wong Jun Hao</t>
        </is>
      </c>
      <c r="C18" s="41" t="inlineStr">
        <is>
          <t>M3</t>
        </is>
      </c>
      <c r="D18" s="34" t="inlineStr">
        <is>
          <t>stock_rules.dart</t>
        </is>
      </c>
      <c r="E18" s="34" t="inlineStr">
        <is>
          <t>Low-stock threshold rules</t>
        </is>
      </c>
      <c r="F18" s="34" t="inlineStr">
        <is>
          <t>GitHub Copilot</t>
        </is>
      </c>
      <c r="G18" s="34" t="inlineStr">
        <is>
          <t>Flag an item as low stock based on a per-item threshold</t>
        </is>
      </c>
      <c r="H18" s="44" t="n">
        <v>25</v>
      </c>
      <c r="I18" s="44" t="n">
        <v>22</v>
      </c>
      <c r="J18" s="76">
        <f>IF(N($H18)=0,"",$I18/$H18)</f>
        <v/>
      </c>
      <c r="K18" s="34" t="inlineStr">
        <is>
          <t>Harith Bin Ismail</t>
        </is>
      </c>
      <c r="L18" s="34" t="inlineStr">
        <is>
          <t>Approved</t>
        </is>
      </c>
      <c r="M18" s="41" t="inlineStr">
        <is>
          <t>Yes</t>
        </is>
      </c>
      <c r="N18" s="41" t="inlineStr">
        <is>
          <t>Pass</t>
        </is>
      </c>
      <c r="O18" s="34" t="inlineStr">
        <is>
          <t>PR#32</t>
        </is>
      </c>
      <c r="P18" s="41" t="inlineStr">
        <is>
          <t>Yes</t>
        </is>
      </c>
    </row>
    <row r="19">
      <c r="A19" s="132" t="n">
        <v>46357</v>
      </c>
      <c r="B19" s="34" t="inlineStr">
        <is>
          <t>Mei Ling Chong</t>
        </is>
      </c>
      <c r="C19" s="41" t="inlineStr">
        <is>
          <t>M3</t>
        </is>
      </c>
      <c r="D19" s="34" t="inlineStr">
        <is>
          <t>order_form_test.dart</t>
        </is>
      </c>
      <c r="E19" s="34" t="inlineStr">
        <is>
          <t>Widget tests for the order form</t>
        </is>
      </c>
      <c r="F19" s="34" t="inlineStr">
        <is>
          <t>Claude</t>
        </is>
      </c>
      <c r="G19" s="34" t="inlineStr">
        <is>
          <t>Widget tests covering empty cart, quantity validation and the disabled submit state</t>
        </is>
      </c>
      <c r="H19" s="44" t="n">
        <v>80</v>
      </c>
      <c r="I19" s="44" t="n">
        <v>64</v>
      </c>
      <c r="J19" s="76">
        <f>IF(N($H19)=0,"",$I19/$H19)</f>
        <v/>
      </c>
      <c r="K19" s="34" t="inlineStr">
        <is>
          <t>Priya Nair</t>
        </is>
      </c>
      <c r="L19" s="34" t="inlineStr">
        <is>
          <t>Approved with changes</t>
        </is>
      </c>
      <c r="M19" s="41" t="inlineStr">
        <is>
          <t>Yes</t>
        </is>
      </c>
      <c r="N19" s="41" t="inlineStr">
        <is>
          <t>Pass</t>
        </is>
      </c>
      <c r="O19" s="34" t="inlineStr">
        <is>
          <t>PR#33</t>
        </is>
      </c>
      <c r="P19" s="41" t="inlineStr">
        <is>
          <t>Yes</t>
        </is>
      </c>
    </row>
    <row r="20">
      <c r="A20" s="132" t="n">
        <v>46358</v>
      </c>
      <c r="B20" s="34" t="inlineStr">
        <is>
          <t>Aisyah Binti Rahman</t>
        </is>
      </c>
      <c r="C20" s="41" t="inlineStr">
        <is>
          <t>M3</t>
        </is>
      </c>
      <c r="D20" s="34" t="inlineStr">
        <is>
          <t>.github/workflows/release.yml</t>
        </is>
      </c>
      <c r="E20" s="34" t="inlineStr">
        <is>
          <t>Signed release build job</t>
        </is>
      </c>
      <c r="F20" s="34" t="inlineStr">
        <is>
          <t>Claude</t>
        </is>
      </c>
      <c r="G20" s="34" t="inlineStr">
        <is>
          <t>Build a signed release APK and attach it to a GitHub release</t>
        </is>
      </c>
      <c r="H20" s="44" t="n">
        <v>50</v>
      </c>
      <c r="I20" s="44" t="n">
        <v>38</v>
      </c>
      <c r="J20" s="76">
        <f>IF(N($H20)=0,"",$I20/$H20)</f>
        <v/>
      </c>
      <c r="K20" s="34" t="inlineStr">
        <is>
          <t>Harith Bin Ismail</t>
        </is>
      </c>
      <c r="L20" s="34" t="inlineStr">
        <is>
          <t>Approved with changes</t>
        </is>
      </c>
      <c r="M20" s="41" t="inlineStr">
        <is>
          <t>No</t>
        </is>
      </c>
      <c r="N20" s="41" t="inlineStr">
        <is>
          <t>Pass</t>
        </is>
      </c>
      <c r="O20" s="34" t="inlineStr">
        <is>
          <t>PR#34</t>
        </is>
      </c>
      <c r="P20" s="41" t="inlineStr">
        <is>
          <t>Yes</t>
        </is>
      </c>
    </row>
    <row r="21">
      <c r="A21" s="132" t="n">
        <v>46366</v>
      </c>
      <c r="B21" s="34" t="inlineStr">
        <is>
          <t>Harith Bin Ismail</t>
        </is>
      </c>
      <c r="C21" s="41" t="inlineStr">
        <is>
          <t>M3</t>
        </is>
      </c>
      <c r="D21" s="34" t="inlineStr">
        <is>
          <t>docs/user_manual.md</t>
        </is>
      </c>
      <c r="E21" s="34" t="inlineStr">
        <is>
          <t>First draft of the user manual</t>
        </is>
      </c>
      <c r="F21" s="34" t="inlineStr">
        <is>
          <t>ChatGPT / GPT-4</t>
        </is>
      </c>
      <c r="G21" s="34" t="inlineStr">
        <is>
          <t>Draft a user manual for counter staff covering sign-in, ordering and finding past orders</t>
        </is>
      </c>
      <c r="H21" s="44" t="n">
        <v>120</v>
      </c>
      <c r="I21" s="44" t="n">
        <v>70</v>
      </c>
      <c r="J21" s="76">
        <f>IF(N($H21)=0,"",$I21/$H21)</f>
        <v/>
      </c>
      <c r="K21" s="34" t="inlineStr">
        <is>
          <t>Aisyah Binti Rahman</t>
        </is>
      </c>
      <c r="L21" s="34" t="inlineStr">
        <is>
          <t>Changes requested</t>
        </is>
      </c>
      <c r="M21" s="41" t="inlineStr">
        <is>
          <t>No</t>
        </is>
      </c>
      <c r="N21" s="41" t="inlineStr">
        <is>
          <t>Not run</t>
        </is>
      </c>
      <c r="O21" s="34" t="inlineStr">
        <is>
          <t>PR#35</t>
        </is>
      </c>
      <c r="P21" s="41" t="inlineStr">
        <is>
          <t>Yes</t>
        </is>
      </c>
    </row>
    <row r="22">
      <c r="A22" s="132" t="n">
        <v>46367</v>
      </c>
      <c r="B22" s="34" t="inlineStr">
        <is>
          <t>Priya Nair</t>
        </is>
      </c>
      <c r="C22" s="41" t="inlineStr">
        <is>
          <t>M3</t>
        </is>
      </c>
      <c r="D22" s="34" t="inlineStr">
        <is>
          <t>catalogue_list.dart</t>
        </is>
      </c>
      <c r="E22" s="34" t="inlineStr">
        <is>
          <t>Performance fix for long lists</t>
        </is>
      </c>
      <c r="F22" s="34" t="inlineStr">
        <is>
          <t>GitHub Copilot</t>
        </is>
      </c>
      <c r="G22" s="34" t="inlineStr">
        <is>
          <t>Reduce rebuilds in a long list by adding keys and a const item widget</t>
        </is>
      </c>
      <c r="H22" s="44" t="n">
        <v>30</v>
      </c>
      <c r="I22" s="44" t="n">
        <v>26</v>
      </c>
      <c r="J22" s="76">
        <f>IF(N($H22)=0,"",$I22/$H22)</f>
        <v/>
      </c>
      <c r="K22" s="34" t="inlineStr">
        <is>
          <t>Daniel Wong Jun Hao</t>
        </is>
      </c>
      <c r="L22" s="34" t="inlineStr">
        <is>
          <t>Approved</t>
        </is>
      </c>
      <c r="M22" s="41" t="inlineStr">
        <is>
          <t>Yes</t>
        </is>
      </c>
      <c r="N22" s="41" t="inlineStr">
        <is>
          <t>Pass</t>
        </is>
      </c>
      <c r="O22" s="34" t="inlineStr">
        <is>
          <t>PR#36</t>
        </is>
      </c>
      <c r="P22" s="41" t="inlineStr">
        <is>
          <t>Yes</t>
        </is>
      </c>
    </row>
    <row r="23">
      <c r="A23" s="132" t="n"/>
      <c r="B23" s="34" t="n"/>
      <c r="C23" s="41" t="n"/>
      <c r="D23" s="34" t="n"/>
      <c r="E23" s="34" t="n"/>
      <c r="F23" s="34" t="n"/>
      <c r="G23" s="34" t="n"/>
      <c r="H23" s="44" t="n"/>
      <c r="I23" s="44" t="n"/>
      <c r="J23" s="76">
        <f>IF(N($H23)=0,"",$I23/$H23)</f>
        <v/>
      </c>
      <c r="K23" s="34" t="n"/>
      <c r="L23" s="34" t="n"/>
      <c r="M23" s="41" t="n"/>
      <c r="N23" s="41" t="n"/>
      <c r="O23" s="34" t="n"/>
      <c r="P23" s="41" t="n"/>
    </row>
    <row r="24">
      <c r="A24" s="132" t="n"/>
      <c r="B24" s="34" t="n"/>
      <c r="C24" s="41" t="n"/>
      <c r="D24" s="34" t="n"/>
      <c r="E24" s="34" t="n"/>
      <c r="F24" s="34" t="n"/>
      <c r="G24" s="34" t="n"/>
      <c r="H24" s="44" t="n"/>
      <c r="I24" s="44" t="n"/>
      <c r="J24" s="76">
        <f>IF(N($H24)=0,"",$I24/$H24)</f>
        <v/>
      </c>
      <c r="K24" s="34" t="n"/>
      <c r="L24" s="34" t="n"/>
      <c r="M24" s="41" t="n"/>
      <c r="N24" s="41" t="n"/>
      <c r="O24" s="34" t="n"/>
      <c r="P24" s="41" t="n"/>
    </row>
    <row r="25">
      <c r="A25" s="132" t="n"/>
      <c r="B25" s="34" t="n"/>
      <c r="C25" s="41" t="n"/>
      <c r="D25" s="34" t="n"/>
      <c r="E25" s="34" t="n"/>
      <c r="F25" s="34" t="n"/>
      <c r="G25" s="34" t="n"/>
      <c r="H25" s="44" t="n"/>
      <c r="I25" s="44" t="n"/>
      <c r="J25" s="76">
        <f>IF(N($H25)=0,"",$I25/$H25)</f>
        <v/>
      </c>
      <c r="K25" s="34" t="n"/>
      <c r="L25" s="34" t="n"/>
      <c r="M25" s="41" t="n"/>
      <c r="N25" s="41" t="n"/>
      <c r="O25" s="34" t="n"/>
      <c r="P25" s="41" t="n"/>
    </row>
    <row r="26">
      <c r="A26" s="132" t="n"/>
      <c r="B26" s="34" t="n"/>
      <c r="C26" s="41" t="n"/>
      <c r="D26" s="34" t="n"/>
      <c r="E26" s="34" t="n"/>
      <c r="F26" s="34" t="n"/>
      <c r="G26" s="34" t="n"/>
      <c r="H26" s="44" t="n"/>
      <c r="I26" s="44" t="n"/>
      <c r="J26" s="76">
        <f>IF(N($H26)=0,"",$I26/$H26)</f>
        <v/>
      </c>
      <c r="K26" s="34" t="n"/>
      <c r="L26" s="34" t="n"/>
      <c r="M26" s="41" t="n"/>
      <c r="N26" s="41" t="n"/>
      <c r="O26" s="34" t="n"/>
      <c r="P26" s="41" t="n"/>
    </row>
    <row r="27">
      <c r="A27" s="132" t="n"/>
      <c r="B27" s="34" t="n"/>
      <c r="C27" s="41" t="n"/>
      <c r="D27" s="34" t="n"/>
      <c r="E27" s="34" t="n"/>
      <c r="F27" s="34" t="n"/>
      <c r="G27" s="34" t="n"/>
      <c r="H27" s="44" t="n"/>
      <c r="I27" s="44" t="n"/>
      <c r="J27" s="76">
        <f>IF(N($H27)=0,"",$I27/$H27)</f>
        <v/>
      </c>
      <c r="K27" s="34" t="n"/>
      <c r="L27" s="34" t="n"/>
      <c r="M27" s="41" t="n"/>
      <c r="N27" s="41" t="n"/>
      <c r="O27" s="34" t="n"/>
      <c r="P27" s="41" t="n"/>
    </row>
    <row r="28">
      <c r="A28" s="132" t="n"/>
      <c r="B28" s="34" t="n"/>
      <c r="C28" s="41" t="n"/>
      <c r="D28" s="34" t="n"/>
      <c r="E28" s="34" t="n"/>
      <c r="F28" s="34" t="n"/>
      <c r="G28" s="34" t="n"/>
      <c r="H28" s="44" t="n"/>
      <c r="I28" s="44" t="n"/>
      <c r="J28" s="76">
        <f>IF(N($H28)=0,"",$I28/$H28)</f>
        <v/>
      </c>
      <c r="K28" s="34" t="n"/>
      <c r="L28" s="34" t="n"/>
      <c r="M28" s="41" t="n"/>
      <c r="N28" s="41" t="n"/>
      <c r="O28" s="34" t="n"/>
      <c r="P28" s="41" t="n"/>
    </row>
    <row r="29">
      <c r="A29" s="132" t="n"/>
      <c r="B29" s="34" t="n"/>
      <c r="C29" s="41" t="n"/>
      <c r="D29" s="34" t="n"/>
      <c r="E29" s="34" t="n"/>
      <c r="F29" s="34" t="n"/>
      <c r="G29" s="34" t="n"/>
      <c r="H29" s="44" t="n"/>
      <c r="I29" s="44" t="n"/>
      <c r="J29" s="76">
        <f>IF(N($H29)=0,"",$I29/$H29)</f>
        <v/>
      </c>
      <c r="K29" s="34" t="n"/>
      <c r="L29" s="34" t="n"/>
      <c r="M29" s="41" t="n"/>
      <c r="N29" s="41" t="n"/>
      <c r="O29" s="34" t="n"/>
      <c r="P29" s="41" t="n"/>
    </row>
    <row r="30">
      <c r="A30" s="132" t="n"/>
      <c r="B30" s="34" t="n"/>
      <c r="C30" s="41" t="n"/>
      <c r="D30" s="34" t="n"/>
      <c r="E30" s="34" t="n"/>
      <c r="F30" s="34" t="n"/>
      <c r="G30" s="34" t="n"/>
      <c r="H30" s="44" t="n"/>
      <c r="I30" s="44" t="n"/>
      <c r="J30" s="76">
        <f>IF(N($H30)=0,"",$I30/$H30)</f>
        <v/>
      </c>
      <c r="K30" s="34" t="n"/>
      <c r="L30" s="34" t="n"/>
      <c r="M30" s="41" t="n"/>
      <c r="N30" s="41" t="n"/>
      <c r="O30" s="34" t="n"/>
      <c r="P30" s="41" t="n"/>
    </row>
    <row r="31">
      <c r="A31" s="132" t="n"/>
      <c r="B31" s="34" t="n"/>
      <c r="C31" s="41" t="n"/>
      <c r="D31" s="34" t="n"/>
      <c r="E31" s="34" t="n"/>
      <c r="F31" s="34" t="n"/>
      <c r="G31" s="34" t="n"/>
      <c r="H31" s="44" t="n"/>
      <c r="I31" s="44" t="n"/>
      <c r="J31" s="76">
        <f>IF(N($H31)=0,"",$I31/$H31)</f>
        <v/>
      </c>
      <c r="K31" s="34" t="n"/>
      <c r="L31" s="34" t="n"/>
      <c r="M31" s="41" t="n"/>
      <c r="N31" s="41" t="n"/>
      <c r="O31" s="34" t="n"/>
      <c r="P31" s="41" t="n"/>
    </row>
    <row r="32">
      <c r="A32" s="132" t="n"/>
      <c r="B32" s="34" t="n"/>
      <c r="C32" s="41" t="n"/>
      <c r="D32" s="34" t="n"/>
      <c r="E32" s="34" t="n"/>
      <c r="F32" s="34" t="n"/>
      <c r="G32" s="34" t="n"/>
      <c r="H32" s="44" t="n"/>
      <c r="I32" s="44" t="n"/>
      <c r="J32" s="76">
        <f>IF(N($H32)=0,"",$I32/$H32)</f>
        <v/>
      </c>
      <c r="K32" s="34" t="n"/>
      <c r="L32" s="34" t="n"/>
      <c r="M32" s="41" t="n"/>
      <c r="N32" s="41" t="n"/>
      <c r="O32" s="34" t="n"/>
      <c r="P32" s="41" t="n"/>
    </row>
    <row r="33">
      <c r="A33" s="132" t="n"/>
      <c r="B33" s="34" t="n"/>
      <c r="C33" s="41" t="n"/>
      <c r="D33" s="34" t="n"/>
      <c r="E33" s="34" t="n"/>
      <c r="F33" s="34" t="n"/>
      <c r="G33" s="34" t="n"/>
      <c r="H33" s="44" t="n"/>
      <c r="I33" s="44" t="n"/>
      <c r="J33" s="76">
        <f>IF(N($H33)=0,"",$I33/$H33)</f>
        <v/>
      </c>
      <c r="K33" s="34" t="n"/>
      <c r="L33" s="34" t="n"/>
      <c r="M33" s="41" t="n"/>
      <c r="N33" s="41" t="n"/>
      <c r="O33" s="34" t="n"/>
      <c r="P33" s="41" t="n"/>
    </row>
    <row r="34">
      <c r="A34" s="132" t="n"/>
      <c r="B34" s="34" t="n"/>
      <c r="C34" s="41" t="n"/>
      <c r="D34" s="34" t="n"/>
      <c r="E34" s="34" t="n"/>
      <c r="F34" s="34" t="n"/>
      <c r="G34" s="34" t="n"/>
      <c r="H34" s="44" t="n"/>
      <c r="I34" s="44" t="n"/>
      <c r="J34" s="76">
        <f>IF(N($H34)=0,"",$I34/$H34)</f>
        <v/>
      </c>
      <c r="K34" s="34" t="n"/>
      <c r="L34" s="34" t="n"/>
      <c r="M34" s="41" t="n"/>
      <c r="N34" s="41" t="n"/>
      <c r="O34" s="34" t="n"/>
      <c r="P34" s="41" t="n"/>
    </row>
    <row r="35">
      <c r="A35" s="132" t="n"/>
      <c r="B35" s="34" t="n"/>
      <c r="C35" s="41" t="n"/>
      <c r="D35" s="34" t="n"/>
      <c r="E35" s="34" t="n"/>
      <c r="F35" s="34" t="n"/>
      <c r="G35" s="34" t="n"/>
      <c r="H35" s="44" t="n"/>
      <c r="I35" s="44" t="n"/>
      <c r="J35" s="76">
        <f>IF(N($H35)=0,"",$I35/$H35)</f>
        <v/>
      </c>
      <c r="K35" s="34" t="n"/>
      <c r="L35" s="34" t="n"/>
      <c r="M35" s="41" t="n"/>
      <c r="N35" s="41" t="n"/>
      <c r="O35" s="34" t="n"/>
      <c r="P35" s="41" t="n"/>
    </row>
    <row r="36">
      <c r="A36" s="132" t="n"/>
      <c r="B36" s="34" t="n"/>
      <c r="C36" s="41" t="n"/>
      <c r="D36" s="34" t="n"/>
      <c r="E36" s="34" t="n"/>
      <c r="F36" s="34" t="n"/>
      <c r="G36" s="34" t="n"/>
      <c r="H36" s="44" t="n"/>
      <c r="I36" s="44" t="n"/>
      <c r="J36" s="76">
        <f>IF(N($H36)=0,"",$I36/$H36)</f>
        <v/>
      </c>
      <c r="K36" s="34" t="n"/>
      <c r="L36" s="34" t="n"/>
      <c r="M36" s="41" t="n"/>
      <c r="N36" s="41" t="n"/>
      <c r="O36" s="34" t="n"/>
      <c r="P36" s="41" t="n"/>
    </row>
    <row r="37">
      <c r="A37" s="132" t="n"/>
      <c r="B37" s="34" t="n"/>
      <c r="C37" s="41" t="n"/>
      <c r="D37" s="34" t="n"/>
      <c r="E37" s="34" t="n"/>
      <c r="F37" s="34" t="n"/>
      <c r="G37" s="34" t="n"/>
      <c r="H37" s="44" t="n"/>
      <c r="I37" s="44" t="n"/>
      <c r="J37" s="76">
        <f>IF(N($H37)=0,"",$I37/$H37)</f>
        <v/>
      </c>
      <c r="K37" s="34" t="n"/>
      <c r="L37" s="34" t="n"/>
      <c r="M37" s="41" t="n"/>
      <c r="N37" s="41" t="n"/>
      <c r="O37" s="34" t="n"/>
      <c r="P37" s="41" t="n"/>
    </row>
    <row r="38">
      <c r="A38" s="132" t="n"/>
      <c r="B38" s="34" t="n"/>
      <c r="C38" s="41" t="n"/>
      <c r="D38" s="34" t="n"/>
      <c r="E38" s="34" t="n"/>
      <c r="F38" s="34" t="n"/>
      <c r="G38" s="34" t="n"/>
      <c r="H38" s="44" t="n"/>
      <c r="I38" s="44" t="n"/>
      <c r="J38" s="76">
        <f>IF(N($H38)=0,"",$I38/$H38)</f>
        <v/>
      </c>
      <c r="K38" s="34" t="n"/>
      <c r="L38" s="34" t="n"/>
      <c r="M38" s="41" t="n"/>
      <c r="N38" s="41" t="n"/>
      <c r="O38" s="34" t="n"/>
      <c r="P38" s="41" t="n"/>
    </row>
    <row r="39">
      <c r="A39" s="132" t="n"/>
      <c r="B39" s="34" t="n"/>
      <c r="C39" s="41" t="n"/>
      <c r="D39" s="34" t="n"/>
      <c r="E39" s="34" t="n"/>
      <c r="F39" s="34" t="n"/>
      <c r="G39" s="34" t="n"/>
      <c r="H39" s="44" t="n"/>
      <c r="I39" s="44" t="n"/>
      <c r="J39" s="76">
        <f>IF(N($H39)=0,"",$I39/$H39)</f>
        <v/>
      </c>
      <c r="K39" s="34" t="n"/>
      <c r="L39" s="34" t="n"/>
      <c r="M39" s="41" t="n"/>
      <c r="N39" s="41" t="n"/>
      <c r="O39" s="34" t="n"/>
      <c r="P39" s="41" t="n"/>
    </row>
    <row r="40">
      <c r="A40" s="132" t="n"/>
      <c r="B40" s="34" t="n"/>
      <c r="C40" s="41" t="n"/>
      <c r="D40" s="34" t="n"/>
      <c r="E40" s="34" t="n"/>
      <c r="F40" s="34" t="n"/>
      <c r="G40" s="34" t="n"/>
      <c r="H40" s="44" t="n"/>
      <c r="I40" s="44" t="n"/>
      <c r="J40" s="76">
        <f>IF(N($H40)=0,"",$I40/$H40)</f>
        <v/>
      </c>
      <c r="K40" s="34" t="n"/>
      <c r="L40" s="34" t="n"/>
      <c r="M40" s="41" t="n"/>
      <c r="N40" s="41" t="n"/>
      <c r="O40" s="34" t="n"/>
      <c r="P40" s="41" t="n"/>
    </row>
    <row r="41">
      <c r="A41" s="132" t="n"/>
      <c r="B41" s="34" t="n"/>
      <c r="C41" s="41" t="n"/>
      <c r="D41" s="34" t="n"/>
      <c r="E41" s="34" t="n"/>
      <c r="F41" s="34" t="n"/>
      <c r="G41" s="34" t="n"/>
      <c r="H41" s="44" t="n"/>
      <c r="I41" s="44" t="n"/>
      <c r="J41" s="76">
        <f>IF(N($H41)=0,"",$I41/$H41)</f>
        <v/>
      </c>
      <c r="K41" s="34" t="n"/>
      <c r="L41" s="34" t="n"/>
      <c r="M41" s="41" t="n"/>
      <c r="N41" s="41" t="n"/>
      <c r="O41" s="34" t="n"/>
      <c r="P41" s="41" t="n"/>
    </row>
    <row r="42">
      <c r="A42" s="132" t="n"/>
      <c r="B42" s="34" t="n"/>
      <c r="C42" s="41" t="n"/>
      <c r="D42" s="34" t="n"/>
      <c r="E42" s="34" t="n"/>
      <c r="F42" s="34" t="n"/>
      <c r="G42" s="34" t="n"/>
      <c r="H42" s="44" t="n"/>
      <c r="I42" s="44" t="n"/>
      <c r="J42" s="76">
        <f>IF(N($H42)=0,"",$I42/$H42)</f>
        <v/>
      </c>
      <c r="K42" s="34" t="n"/>
      <c r="L42" s="34" t="n"/>
      <c r="M42" s="41" t="n"/>
      <c r="N42" s="41" t="n"/>
      <c r="O42" s="34" t="n"/>
      <c r="P42" s="41" t="n"/>
    </row>
    <row r="43">
      <c r="A43" s="132" t="n"/>
      <c r="B43" s="34" t="n"/>
      <c r="C43" s="41" t="n"/>
      <c r="D43" s="34" t="n"/>
      <c r="E43" s="34" t="n"/>
      <c r="F43" s="34" t="n"/>
      <c r="G43" s="34" t="n"/>
      <c r="H43" s="44" t="n"/>
      <c r="I43" s="44" t="n"/>
      <c r="J43" s="76">
        <f>IF(N($H43)=0,"",$I43/$H43)</f>
        <v/>
      </c>
      <c r="K43" s="34" t="n"/>
      <c r="L43" s="34" t="n"/>
      <c r="M43" s="41" t="n"/>
      <c r="N43" s="41" t="n"/>
      <c r="O43" s="34" t="n"/>
      <c r="P43" s="41" t="n"/>
    </row>
    <row r="44">
      <c r="A44" s="132" t="n"/>
      <c r="B44" s="34" t="n"/>
      <c r="C44" s="41" t="n"/>
      <c r="D44" s="34" t="n"/>
      <c r="E44" s="34" t="n"/>
      <c r="F44" s="34" t="n"/>
      <c r="G44" s="34" t="n"/>
      <c r="H44" s="44" t="n"/>
      <c r="I44" s="44" t="n"/>
      <c r="J44" s="76">
        <f>IF(N($H44)=0,"",$I44/$H44)</f>
        <v/>
      </c>
      <c r="K44" s="34" t="n"/>
      <c r="L44" s="34" t="n"/>
      <c r="M44" s="41" t="n"/>
      <c r="N44" s="41" t="n"/>
      <c r="O44" s="34" t="n"/>
      <c r="P44" s="41" t="n"/>
    </row>
    <row r="45">
      <c r="A45" s="132" t="n"/>
      <c r="B45" s="34" t="n"/>
      <c r="C45" s="41" t="n"/>
      <c r="D45" s="34" t="n"/>
      <c r="E45" s="34" t="n"/>
      <c r="F45" s="34" t="n"/>
      <c r="G45" s="34" t="n"/>
      <c r="H45" s="44" t="n"/>
      <c r="I45" s="44" t="n"/>
      <c r="J45" s="76">
        <f>IF(N($H45)=0,"",$I45/$H45)</f>
        <v/>
      </c>
      <c r="K45" s="34" t="n"/>
      <c r="L45" s="34" t="n"/>
      <c r="M45" s="41" t="n"/>
      <c r="N45" s="41" t="n"/>
      <c r="O45" s="34" t="n"/>
      <c r="P45" s="41" t="n"/>
    </row>
    <row r="46">
      <c r="A46" s="132" t="n"/>
      <c r="B46" s="34" t="n"/>
      <c r="C46" s="41" t="n"/>
      <c r="D46" s="34" t="n"/>
      <c r="E46" s="34" t="n"/>
      <c r="F46" s="34" t="n"/>
      <c r="G46" s="34" t="n"/>
      <c r="H46" s="44" t="n"/>
      <c r="I46" s="44" t="n"/>
      <c r="J46" s="76">
        <f>IF(N($H46)=0,"",$I46/$H46)</f>
        <v/>
      </c>
      <c r="K46" s="34" t="n"/>
      <c r="L46" s="34" t="n"/>
      <c r="M46" s="41" t="n"/>
      <c r="N46" s="41" t="n"/>
      <c r="O46" s="34" t="n"/>
      <c r="P46" s="41" t="n"/>
    </row>
    <row r="47">
      <c r="A47" s="132" t="n"/>
      <c r="B47" s="34" t="n"/>
      <c r="C47" s="41" t="n"/>
      <c r="D47" s="34" t="n"/>
      <c r="E47" s="34" t="n"/>
      <c r="F47" s="34" t="n"/>
      <c r="G47" s="34" t="n"/>
      <c r="H47" s="44" t="n"/>
      <c r="I47" s="44" t="n"/>
      <c r="J47" s="76">
        <f>IF(N($H47)=0,"",$I47/$H47)</f>
        <v/>
      </c>
      <c r="K47" s="34" t="n"/>
      <c r="L47" s="34" t="n"/>
      <c r="M47" s="41" t="n"/>
      <c r="N47" s="41" t="n"/>
      <c r="O47" s="34" t="n"/>
      <c r="P47" s="41" t="n"/>
    </row>
    <row r="48">
      <c r="A48" s="132" t="n"/>
      <c r="B48" s="34" t="n"/>
      <c r="C48" s="41" t="n"/>
      <c r="D48" s="34" t="n"/>
      <c r="E48" s="34" t="n"/>
      <c r="F48" s="34" t="n"/>
      <c r="G48" s="34" t="n"/>
      <c r="H48" s="44" t="n"/>
      <c r="I48" s="44" t="n"/>
      <c r="J48" s="76">
        <f>IF(N($H48)=0,"",$I48/$H48)</f>
        <v/>
      </c>
      <c r="K48" s="34" t="n"/>
      <c r="L48" s="34" t="n"/>
      <c r="M48" s="41" t="n"/>
      <c r="N48" s="41" t="n"/>
      <c r="O48" s="34" t="n"/>
      <c r="P48" s="41" t="n"/>
    </row>
    <row r="49">
      <c r="A49" s="132" t="n"/>
      <c r="B49" s="34" t="n"/>
      <c r="C49" s="41" t="n"/>
      <c r="D49" s="34" t="n"/>
      <c r="E49" s="34" t="n"/>
      <c r="F49" s="34" t="n"/>
      <c r="G49" s="34" t="n"/>
      <c r="H49" s="44" t="n"/>
      <c r="I49" s="44" t="n"/>
      <c r="J49" s="76">
        <f>IF(N($H49)=0,"",$I49/$H49)</f>
        <v/>
      </c>
      <c r="K49" s="34" t="n"/>
      <c r="L49" s="34" t="n"/>
      <c r="M49" s="41" t="n"/>
      <c r="N49" s="41" t="n"/>
      <c r="O49" s="34" t="n"/>
      <c r="P49" s="41" t="n"/>
    </row>
    <row r="50">
      <c r="A50" s="132" t="n"/>
      <c r="B50" s="34" t="n"/>
      <c r="C50" s="41" t="n"/>
      <c r="D50" s="34" t="n"/>
      <c r="E50" s="34" t="n"/>
      <c r="F50" s="34" t="n"/>
      <c r="G50" s="34" t="n"/>
      <c r="H50" s="44" t="n"/>
      <c r="I50" s="44" t="n"/>
      <c r="J50" s="76">
        <f>IF(N($H50)=0,"",$I50/$H50)</f>
        <v/>
      </c>
      <c r="K50" s="34" t="n"/>
      <c r="L50" s="34" t="n"/>
      <c r="M50" s="41" t="n"/>
      <c r="N50" s="41" t="n"/>
      <c r="O50" s="34" t="n"/>
      <c r="P50" s="41" t="n"/>
    </row>
    <row r="51">
      <c r="A51" s="132" t="n"/>
      <c r="B51" s="34" t="n"/>
      <c r="C51" s="41" t="n"/>
      <c r="D51" s="34" t="n"/>
      <c r="E51" s="34" t="n"/>
      <c r="F51" s="34" t="n"/>
      <c r="G51" s="34" t="n"/>
      <c r="H51" s="44" t="n"/>
      <c r="I51" s="44" t="n"/>
      <c r="J51" s="76">
        <f>IF(N($H51)=0,"",$I51/$H51)</f>
        <v/>
      </c>
      <c r="K51" s="34" t="n"/>
      <c r="L51" s="34" t="n"/>
      <c r="M51" s="41" t="n"/>
      <c r="N51" s="41" t="n"/>
      <c r="O51" s="34" t="n"/>
      <c r="P51" s="41" t="n"/>
    </row>
    <row r="52">
      <c r="A52" s="132" t="n"/>
      <c r="B52" s="34" t="n"/>
      <c r="C52" s="41" t="n"/>
      <c r="D52" s="34" t="n"/>
      <c r="E52" s="34" t="n"/>
      <c r="F52" s="34" t="n"/>
      <c r="G52" s="34" t="n"/>
      <c r="H52" s="44" t="n"/>
      <c r="I52" s="44" t="n"/>
      <c r="J52" s="76">
        <f>IF(N($H52)=0,"",$I52/$H52)</f>
        <v/>
      </c>
      <c r="K52" s="34" t="n"/>
      <c r="L52" s="34" t="n"/>
      <c r="M52" s="41" t="n"/>
      <c r="N52" s="41" t="n"/>
      <c r="O52" s="34" t="n"/>
      <c r="P52" s="41" t="n"/>
    </row>
    <row r="53">
      <c r="A53" s="132" t="n"/>
      <c r="B53" s="34" t="n"/>
      <c r="C53" s="41" t="n"/>
      <c r="D53" s="34" t="n"/>
      <c r="E53" s="34" t="n"/>
      <c r="F53" s="34" t="n"/>
      <c r="G53" s="34" t="n"/>
      <c r="H53" s="44" t="n"/>
      <c r="I53" s="44" t="n"/>
      <c r="J53" s="76">
        <f>IF(N($H53)=0,"",$I53/$H53)</f>
        <v/>
      </c>
      <c r="K53" s="34" t="n"/>
      <c r="L53" s="34" t="n"/>
      <c r="M53" s="41" t="n"/>
      <c r="N53" s="41" t="n"/>
      <c r="O53" s="34" t="n"/>
      <c r="P53" s="41" t="n"/>
    </row>
    <row r="54">
      <c r="A54" s="132" t="n"/>
      <c r="B54" s="34" t="n"/>
      <c r="C54" s="41" t="n"/>
      <c r="D54" s="34" t="n"/>
      <c r="E54" s="34" t="n"/>
      <c r="F54" s="34" t="n"/>
      <c r="G54" s="34" t="n"/>
      <c r="H54" s="44" t="n"/>
      <c r="I54" s="44" t="n"/>
      <c r="J54" s="76">
        <f>IF(N($H54)=0,"",$I54/$H54)</f>
        <v/>
      </c>
      <c r="K54" s="34" t="n"/>
      <c r="L54" s="34" t="n"/>
      <c r="M54" s="41" t="n"/>
      <c r="N54" s="41" t="n"/>
      <c r="O54" s="34" t="n"/>
      <c r="P54" s="41" t="n"/>
    </row>
    <row r="55">
      <c r="A55" s="132" t="n"/>
      <c r="B55" s="34" t="n"/>
      <c r="C55" s="41" t="n"/>
      <c r="D55" s="34" t="n"/>
      <c r="E55" s="34" t="n"/>
      <c r="F55" s="34" t="n"/>
      <c r="G55" s="34" t="n"/>
      <c r="H55" s="44" t="n"/>
      <c r="I55" s="44" t="n"/>
      <c r="J55" s="76">
        <f>IF(N($H55)=0,"",$I55/$H55)</f>
        <v/>
      </c>
      <c r="K55" s="34" t="n"/>
      <c r="L55" s="34" t="n"/>
      <c r="M55" s="41" t="n"/>
      <c r="N55" s="41" t="n"/>
      <c r="O55" s="34" t="n"/>
      <c r="P55" s="41" t="n"/>
    </row>
    <row r="56">
      <c r="A56" s="132" t="n"/>
      <c r="B56" s="34" t="n"/>
      <c r="C56" s="41" t="n"/>
      <c r="D56" s="34" t="n"/>
      <c r="E56" s="34" t="n"/>
      <c r="F56" s="34" t="n"/>
      <c r="G56" s="34" t="n"/>
      <c r="H56" s="44" t="n"/>
      <c r="I56" s="44" t="n"/>
      <c r="J56" s="76">
        <f>IF(N($H56)=0,"",$I56/$H56)</f>
        <v/>
      </c>
      <c r="K56" s="34" t="n"/>
      <c r="L56" s="34" t="n"/>
      <c r="M56" s="41" t="n"/>
      <c r="N56" s="41" t="n"/>
      <c r="O56" s="34" t="n"/>
      <c r="P56" s="41" t="n"/>
    </row>
    <row r="57">
      <c r="A57" s="132" t="n"/>
      <c r="B57" s="34" t="n"/>
      <c r="C57" s="41" t="n"/>
      <c r="D57" s="34" t="n"/>
      <c r="E57" s="34" t="n"/>
      <c r="F57" s="34" t="n"/>
      <c r="G57" s="34" t="n"/>
      <c r="H57" s="44" t="n"/>
      <c r="I57" s="44" t="n"/>
      <c r="J57" s="76">
        <f>IF(N($H57)=0,"",$I57/$H57)</f>
        <v/>
      </c>
      <c r="K57" s="34" t="n"/>
      <c r="L57" s="34" t="n"/>
      <c r="M57" s="41" t="n"/>
      <c r="N57" s="41" t="n"/>
      <c r="O57" s="34" t="n"/>
      <c r="P57" s="41" t="n"/>
    </row>
    <row r="58">
      <c r="A58" s="132" t="n"/>
      <c r="B58" s="34" t="n"/>
      <c r="C58" s="41" t="n"/>
      <c r="D58" s="34" t="n"/>
      <c r="E58" s="34" t="n"/>
      <c r="F58" s="34" t="n"/>
      <c r="G58" s="34" t="n"/>
      <c r="H58" s="44" t="n"/>
      <c r="I58" s="44" t="n"/>
      <c r="J58" s="76">
        <f>IF(N($H58)=0,"",$I58/$H58)</f>
        <v/>
      </c>
      <c r="K58" s="34" t="n"/>
      <c r="L58" s="34" t="n"/>
      <c r="M58" s="41" t="n"/>
      <c r="N58" s="41" t="n"/>
      <c r="O58" s="34" t="n"/>
      <c r="P58" s="41" t="n"/>
    </row>
    <row r="59">
      <c r="A59" s="132" t="n"/>
      <c r="B59" s="34" t="n"/>
      <c r="C59" s="41" t="n"/>
      <c r="D59" s="34" t="n"/>
      <c r="E59" s="34" t="n"/>
      <c r="F59" s="34" t="n"/>
      <c r="G59" s="34" t="n"/>
      <c r="H59" s="44" t="n"/>
      <c r="I59" s="44" t="n"/>
      <c r="J59" s="76">
        <f>IF(N($H59)=0,"",$I59/$H59)</f>
        <v/>
      </c>
      <c r="K59" s="34" t="n"/>
      <c r="L59" s="34" t="n"/>
      <c r="M59" s="41" t="n"/>
      <c r="N59" s="41" t="n"/>
      <c r="O59" s="34" t="n"/>
      <c r="P59" s="41" t="n"/>
    </row>
    <row r="60">
      <c r="A60" s="132" t="n"/>
      <c r="B60" s="34" t="n"/>
      <c r="C60" s="41" t="n"/>
      <c r="D60" s="34" t="n"/>
      <c r="E60" s="34" t="n"/>
      <c r="F60" s="34" t="n"/>
      <c r="G60" s="34" t="n"/>
      <c r="H60" s="44" t="n"/>
      <c r="I60" s="44" t="n"/>
      <c r="J60" s="76">
        <f>IF(N($H60)=0,"",$I60/$H60)</f>
        <v/>
      </c>
      <c r="K60" s="34" t="n"/>
      <c r="L60" s="34" t="n"/>
      <c r="M60" s="41" t="n"/>
      <c r="N60" s="41" t="n"/>
      <c r="O60" s="34" t="n"/>
      <c r="P60" s="41" t="n"/>
    </row>
    <row r="61">
      <c r="A61" s="132" t="n"/>
      <c r="B61" s="34" t="n"/>
      <c r="C61" s="41" t="n"/>
      <c r="D61" s="34" t="n"/>
      <c r="E61" s="34" t="n"/>
      <c r="F61" s="34" t="n"/>
      <c r="G61" s="34" t="n"/>
      <c r="H61" s="44" t="n"/>
      <c r="I61" s="44" t="n"/>
      <c r="J61" s="76">
        <f>IF(N($H61)=0,"",$I61/$H61)</f>
        <v/>
      </c>
      <c r="K61" s="34" t="n"/>
      <c r="L61" s="34" t="n"/>
      <c r="M61" s="41" t="n"/>
      <c r="N61" s="41" t="n"/>
      <c r="O61" s="34" t="n"/>
      <c r="P61" s="41" t="n"/>
    </row>
    <row r="62">
      <c r="A62" s="132" t="n"/>
      <c r="B62" s="34" t="n"/>
      <c r="C62" s="41" t="n"/>
      <c r="D62" s="34" t="n"/>
      <c r="E62" s="34" t="n"/>
      <c r="F62" s="34" t="n"/>
      <c r="G62" s="34" t="n"/>
      <c r="H62" s="44" t="n"/>
      <c r="I62" s="44" t="n"/>
      <c r="J62" s="76">
        <f>IF(N($H62)=0,"",$I62/$H62)</f>
        <v/>
      </c>
      <c r="K62" s="34" t="n"/>
      <c r="L62" s="34" t="n"/>
      <c r="M62" s="41" t="n"/>
      <c r="N62" s="41" t="n"/>
      <c r="O62" s="34" t="n"/>
      <c r="P62" s="41" t="n"/>
    </row>
    <row r="63">
      <c r="A63" s="132" t="n"/>
      <c r="B63" s="34" t="n"/>
      <c r="C63" s="41" t="n"/>
      <c r="D63" s="34" t="n"/>
      <c r="E63" s="34" t="n"/>
      <c r="F63" s="34" t="n"/>
      <c r="G63" s="34" t="n"/>
      <c r="H63" s="44" t="n"/>
      <c r="I63" s="44" t="n"/>
      <c r="J63" s="76">
        <f>IF(N($H63)=0,"",$I63/$H63)</f>
        <v/>
      </c>
      <c r="K63" s="34" t="n"/>
      <c r="L63" s="34" t="n"/>
      <c r="M63" s="41" t="n"/>
      <c r="N63" s="41" t="n"/>
      <c r="O63" s="34" t="n"/>
      <c r="P63" s="41" t="n"/>
    </row>
    <row r="64">
      <c r="A64" s="132" t="n"/>
      <c r="B64" s="34" t="n"/>
      <c r="C64" s="41" t="n"/>
      <c r="D64" s="34" t="n"/>
      <c r="E64" s="34" t="n"/>
      <c r="F64" s="34" t="n"/>
      <c r="G64" s="34" t="n"/>
      <c r="H64" s="44" t="n"/>
      <c r="I64" s="44" t="n"/>
      <c r="J64" s="76">
        <f>IF(N($H64)=0,"",$I64/$H64)</f>
        <v/>
      </c>
      <c r="K64" s="34" t="n"/>
      <c r="L64" s="34" t="n"/>
      <c r="M64" s="41" t="n"/>
      <c r="N64" s="41" t="n"/>
      <c r="O64" s="34" t="n"/>
      <c r="P64" s="41" t="n"/>
    </row>
    <row r="65">
      <c r="A65" s="132" t="n"/>
      <c r="B65" s="34" t="n"/>
      <c r="C65" s="41" t="n"/>
      <c r="D65" s="34" t="n"/>
      <c r="E65" s="34" t="n"/>
      <c r="F65" s="34" t="n"/>
      <c r="G65" s="34" t="n"/>
      <c r="H65" s="44" t="n"/>
      <c r="I65" s="44" t="n"/>
      <c r="J65" s="76">
        <f>IF(N($H65)=0,"",$I65/$H65)</f>
        <v/>
      </c>
      <c r="K65" s="34" t="n"/>
      <c r="L65" s="34" t="n"/>
      <c r="M65" s="41" t="n"/>
      <c r="N65" s="41" t="n"/>
      <c r="O65" s="34" t="n"/>
      <c r="P65" s="41" t="n"/>
    </row>
    <row r="66">
      <c r="A66" s="132" t="n"/>
      <c r="B66" s="34" t="n"/>
      <c r="C66" s="41" t="n"/>
      <c r="D66" s="34" t="n"/>
      <c r="E66" s="34" t="n"/>
      <c r="F66" s="34" t="n"/>
      <c r="G66" s="34" t="n"/>
      <c r="H66" s="44" t="n"/>
      <c r="I66" s="44" t="n"/>
      <c r="J66" s="76">
        <f>IF(N($H66)=0,"",$I66/$H66)</f>
        <v/>
      </c>
      <c r="K66" s="34" t="n"/>
      <c r="L66" s="34" t="n"/>
      <c r="M66" s="41" t="n"/>
      <c r="N66" s="41" t="n"/>
      <c r="O66" s="34" t="n"/>
      <c r="P66" s="41" t="n"/>
    </row>
    <row r="67">
      <c r="A67" s="132" t="n"/>
      <c r="B67" s="34" t="n"/>
      <c r="C67" s="41" t="n"/>
      <c r="D67" s="34" t="n"/>
      <c r="E67" s="34" t="n"/>
      <c r="F67" s="34" t="n"/>
      <c r="G67" s="34" t="n"/>
      <c r="H67" s="44" t="n"/>
      <c r="I67" s="44" t="n"/>
      <c r="J67" s="76">
        <f>IF(N($H67)=0,"",$I67/$H67)</f>
        <v/>
      </c>
      <c r="K67" s="34" t="n"/>
      <c r="L67" s="34" t="n"/>
      <c r="M67" s="41" t="n"/>
      <c r="N67" s="41" t="n"/>
      <c r="O67" s="34" t="n"/>
      <c r="P67" s="41" t="n"/>
    </row>
    <row r="68">
      <c r="A68" s="132" t="n"/>
      <c r="B68" s="34" t="n"/>
      <c r="C68" s="41" t="n"/>
      <c r="D68" s="34" t="n"/>
      <c r="E68" s="34" t="n"/>
      <c r="F68" s="34" t="n"/>
      <c r="G68" s="34" t="n"/>
      <c r="H68" s="44" t="n"/>
      <c r="I68" s="44" t="n"/>
      <c r="J68" s="76">
        <f>IF(N($H68)=0,"",$I68/$H68)</f>
        <v/>
      </c>
      <c r="K68" s="34" t="n"/>
      <c r="L68" s="34" t="n"/>
      <c r="M68" s="41" t="n"/>
      <c r="N68" s="41" t="n"/>
      <c r="O68" s="34" t="n"/>
      <c r="P68" s="41" t="n"/>
    </row>
    <row r="69">
      <c r="A69" s="132" t="n"/>
      <c r="B69" s="34" t="n"/>
      <c r="C69" s="41" t="n"/>
      <c r="D69" s="34" t="n"/>
      <c r="E69" s="34" t="n"/>
      <c r="F69" s="34" t="n"/>
      <c r="G69" s="34" t="n"/>
      <c r="H69" s="44" t="n"/>
      <c r="I69" s="44" t="n"/>
      <c r="J69" s="76">
        <f>IF(N($H69)=0,"",$I69/$H69)</f>
        <v/>
      </c>
      <c r="K69" s="34" t="n"/>
      <c r="L69" s="34" t="n"/>
      <c r="M69" s="41" t="n"/>
      <c r="N69" s="41" t="n"/>
      <c r="O69" s="34" t="n"/>
      <c r="P69" s="41" t="n"/>
    </row>
    <row r="70">
      <c r="A70" s="132" t="n"/>
      <c r="B70" s="34" t="n"/>
      <c r="C70" s="41" t="n"/>
      <c r="D70" s="34" t="n"/>
      <c r="E70" s="34" t="n"/>
      <c r="F70" s="34" t="n"/>
      <c r="G70" s="34" t="n"/>
      <c r="H70" s="44" t="n"/>
      <c r="I70" s="44" t="n"/>
      <c r="J70" s="76">
        <f>IF(N($H70)=0,"",$I70/$H70)</f>
        <v/>
      </c>
      <c r="K70" s="34" t="n"/>
      <c r="L70" s="34" t="n"/>
      <c r="M70" s="41" t="n"/>
      <c r="N70" s="41" t="n"/>
      <c r="O70" s="34" t="n"/>
      <c r="P70" s="41" t="n"/>
    </row>
    <row r="71">
      <c r="A71" s="132" t="n"/>
      <c r="B71" s="34" t="n"/>
      <c r="C71" s="41" t="n"/>
      <c r="D71" s="34" t="n"/>
      <c r="E71" s="34" t="n"/>
      <c r="F71" s="34" t="n"/>
      <c r="G71" s="34" t="n"/>
      <c r="H71" s="44" t="n"/>
      <c r="I71" s="44" t="n"/>
      <c r="J71" s="76">
        <f>IF(N($H71)=0,"",$I71/$H71)</f>
        <v/>
      </c>
      <c r="K71" s="34" t="n"/>
      <c r="L71" s="34" t="n"/>
      <c r="M71" s="41" t="n"/>
      <c r="N71" s="41" t="n"/>
      <c r="O71" s="34" t="n"/>
      <c r="P71" s="41" t="n"/>
    </row>
    <row r="72">
      <c r="A72" s="132" t="n"/>
      <c r="B72" s="34" t="n"/>
      <c r="C72" s="41" t="n"/>
      <c r="D72" s="34" t="n"/>
      <c r="E72" s="34" t="n"/>
      <c r="F72" s="34" t="n"/>
      <c r="G72" s="34" t="n"/>
      <c r="H72" s="44" t="n"/>
      <c r="I72" s="44" t="n"/>
      <c r="J72" s="76">
        <f>IF(N($H72)=0,"",$I72/$H72)</f>
        <v/>
      </c>
      <c r="K72" s="34" t="n"/>
      <c r="L72" s="34" t="n"/>
      <c r="M72" s="41" t="n"/>
      <c r="N72" s="41" t="n"/>
      <c r="O72" s="34" t="n"/>
      <c r="P72" s="41" t="n"/>
    </row>
    <row r="73">
      <c r="A73" s="132" t="n"/>
      <c r="B73" s="34" t="n"/>
      <c r="C73" s="41" t="n"/>
      <c r="D73" s="34" t="n"/>
      <c r="E73" s="34" t="n"/>
      <c r="F73" s="34" t="n"/>
      <c r="G73" s="34" t="n"/>
      <c r="H73" s="44" t="n"/>
      <c r="I73" s="44" t="n"/>
      <c r="J73" s="76">
        <f>IF(N($H73)=0,"",$I73/$H73)</f>
        <v/>
      </c>
      <c r="K73" s="34" t="n"/>
      <c r="L73" s="34" t="n"/>
      <c r="M73" s="41" t="n"/>
      <c r="N73" s="41" t="n"/>
      <c r="O73" s="34" t="n"/>
      <c r="P73" s="41" t="n"/>
    </row>
    <row r="74">
      <c r="A74" s="132" t="n"/>
      <c r="B74" s="34" t="n"/>
      <c r="C74" s="41" t="n"/>
      <c r="D74" s="34" t="n"/>
      <c r="E74" s="34" t="n"/>
      <c r="F74" s="34" t="n"/>
      <c r="G74" s="34" t="n"/>
      <c r="H74" s="44" t="n"/>
      <c r="I74" s="44" t="n"/>
      <c r="J74" s="76">
        <f>IF(N($H74)=0,"",$I74/$H74)</f>
        <v/>
      </c>
      <c r="K74" s="34" t="n"/>
      <c r="L74" s="34" t="n"/>
      <c r="M74" s="41" t="n"/>
      <c r="N74" s="41" t="n"/>
      <c r="O74" s="34" t="n"/>
      <c r="P74" s="41" t="n"/>
    </row>
    <row r="75">
      <c r="A75" s="132" t="n"/>
      <c r="B75" s="34" t="n"/>
      <c r="C75" s="41" t="n"/>
      <c r="D75" s="34" t="n"/>
      <c r="E75" s="34" t="n"/>
      <c r="F75" s="34" t="n"/>
      <c r="G75" s="34" t="n"/>
      <c r="H75" s="44" t="n"/>
      <c r="I75" s="44" t="n"/>
      <c r="J75" s="76">
        <f>IF(N($H75)=0,"",$I75/$H75)</f>
        <v/>
      </c>
      <c r="K75" s="34" t="n"/>
      <c r="L75" s="34" t="n"/>
      <c r="M75" s="41" t="n"/>
      <c r="N75" s="41" t="n"/>
      <c r="O75" s="34" t="n"/>
      <c r="P75" s="41" t="n"/>
    </row>
    <row r="76">
      <c r="A76" s="132" t="n"/>
      <c r="B76" s="34" t="n"/>
      <c r="C76" s="41" t="n"/>
      <c r="D76" s="34" t="n"/>
      <c r="E76" s="34" t="n"/>
      <c r="F76" s="34" t="n"/>
      <c r="G76" s="34" t="n"/>
      <c r="H76" s="44" t="n"/>
      <c r="I76" s="44" t="n"/>
      <c r="J76" s="76">
        <f>IF(N($H76)=0,"",$I76/$H76)</f>
        <v/>
      </c>
      <c r="K76" s="34" t="n"/>
      <c r="L76" s="34" t="n"/>
      <c r="M76" s="41" t="n"/>
      <c r="N76" s="41" t="n"/>
      <c r="O76" s="34" t="n"/>
      <c r="P76" s="41" t="n"/>
    </row>
    <row r="77">
      <c r="A77" s="132" t="n"/>
      <c r="B77" s="34" t="n"/>
      <c r="C77" s="41" t="n"/>
      <c r="D77" s="34" t="n"/>
      <c r="E77" s="34" t="n"/>
      <c r="F77" s="34" t="n"/>
      <c r="G77" s="34" t="n"/>
      <c r="H77" s="44" t="n"/>
      <c r="I77" s="44" t="n"/>
      <c r="J77" s="76">
        <f>IF(N($H77)=0,"",$I77/$H77)</f>
        <v/>
      </c>
      <c r="K77" s="34" t="n"/>
      <c r="L77" s="34" t="n"/>
      <c r="M77" s="41" t="n"/>
      <c r="N77" s="41" t="n"/>
      <c r="O77" s="34" t="n"/>
      <c r="P77" s="41" t="n"/>
    </row>
    <row r="78">
      <c r="A78" s="132" t="n"/>
      <c r="B78" s="34" t="n"/>
      <c r="C78" s="41" t="n"/>
      <c r="D78" s="34" t="n"/>
      <c r="E78" s="34" t="n"/>
      <c r="F78" s="34" t="n"/>
      <c r="G78" s="34" t="n"/>
      <c r="H78" s="44" t="n"/>
      <c r="I78" s="44" t="n"/>
      <c r="J78" s="76">
        <f>IF(N($H78)=0,"",$I78/$H78)</f>
        <v/>
      </c>
      <c r="K78" s="34" t="n"/>
      <c r="L78" s="34" t="n"/>
      <c r="M78" s="41" t="n"/>
      <c r="N78" s="41" t="n"/>
      <c r="O78" s="34" t="n"/>
      <c r="P78" s="41" t="n"/>
    </row>
    <row r="79">
      <c r="A79" s="132" t="n"/>
      <c r="B79" s="34" t="n"/>
      <c r="C79" s="41" t="n"/>
      <c r="D79" s="34" t="n"/>
      <c r="E79" s="34" t="n"/>
      <c r="F79" s="34" t="n"/>
      <c r="G79" s="34" t="n"/>
      <c r="H79" s="44" t="n"/>
      <c r="I79" s="44" t="n"/>
      <c r="J79" s="76">
        <f>IF(N($H79)=0,"",$I79/$H79)</f>
        <v/>
      </c>
      <c r="K79" s="34" t="n"/>
      <c r="L79" s="34" t="n"/>
      <c r="M79" s="41" t="n"/>
      <c r="N79" s="41" t="n"/>
      <c r="O79" s="34" t="n"/>
      <c r="P79" s="41" t="n"/>
    </row>
    <row r="80">
      <c r="A80" s="132" t="n"/>
      <c r="B80" s="34" t="n"/>
      <c r="C80" s="41" t="n"/>
      <c r="D80" s="34" t="n"/>
      <c r="E80" s="34" t="n"/>
      <c r="F80" s="34" t="n"/>
      <c r="G80" s="34" t="n"/>
      <c r="H80" s="44" t="n"/>
      <c r="I80" s="44" t="n"/>
      <c r="J80" s="76">
        <f>IF(N($H80)=0,"",$I80/$H80)</f>
        <v/>
      </c>
      <c r="K80" s="34" t="n"/>
      <c r="L80" s="34" t="n"/>
      <c r="M80" s="41" t="n"/>
      <c r="N80" s="41" t="n"/>
      <c r="O80" s="34" t="n"/>
      <c r="P80" s="41" t="n"/>
    </row>
    <row r="81">
      <c r="A81" s="132" t="n"/>
      <c r="B81" s="34" t="n"/>
      <c r="C81" s="41" t="n"/>
      <c r="D81" s="34" t="n"/>
      <c r="E81" s="34" t="n"/>
      <c r="F81" s="34" t="n"/>
      <c r="G81" s="34" t="n"/>
      <c r="H81" s="44" t="n"/>
      <c r="I81" s="44" t="n"/>
      <c r="J81" s="76">
        <f>IF(N($H81)=0,"",$I81/$H81)</f>
        <v/>
      </c>
      <c r="K81" s="34" t="n"/>
      <c r="L81" s="34" t="n"/>
      <c r="M81" s="41" t="n"/>
      <c r="N81" s="41" t="n"/>
      <c r="O81" s="34" t="n"/>
      <c r="P81" s="41" t="n"/>
    </row>
    <row r="82">
      <c r="A82" s="132" t="n"/>
      <c r="B82" s="34" t="n"/>
      <c r="C82" s="41" t="n"/>
      <c r="D82" s="34" t="n"/>
      <c r="E82" s="34" t="n"/>
      <c r="F82" s="34" t="n"/>
      <c r="G82" s="34" t="n"/>
      <c r="H82" s="44" t="n"/>
      <c r="I82" s="44" t="n"/>
      <c r="J82" s="76">
        <f>IF(N($H82)=0,"",$I82/$H82)</f>
        <v/>
      </c>
      <c r="K82" s="34" t="n"/>
      <c r="L82" s="34" t="n"/>
      <c r="M82" s="41" t="n"/>
      <c r="N82" s="41" t="n"/>
      <c r="O82" s="34" t="n"/>
      <c r="P82" s="41" t="n"/>
    </row>
    <row r="83">
      <c r="A83" s="132" t="n"/>
      <c r="B83" s="34" t="n"/>
      <c r="C83" s="41" t="n"/>
      <c r="D83" s="34" t="n"/>
      <c r="E83" s="34" t="n"/>
      <c r="F83" s="34" t="n"/>
      <c r="G83" s="34" t="n"/>
      <c r="H83" s="44" t="n"/>
      <c r="I83" s="44" t="n"/>
      <c r="J83" s="76">
        <f>IF(N($H83)=0,"",$I83/$H83)</f>
        <v/>
      </c>
      <c r="K83" s="34" t="n"/>
      <c r="L83" s="34" t="n"/>
      <c r="M83" s="41" t="n"/>
      <c r="N83" s="41" t="n"/>
      <c r="O83" s="34" t="n"/>
      <c r="P83" s="41" t="n"/>
    </row>
    <row r="84">
      <c r="A84" s="132" t="n"/>
      <c r="B84" s="34" t="n"/>
      <c r="C84" s="41" t="n"/>
      <c r="D84" s="34" t="n"/>
      <c r="E84" s="34" t="n"/>
      <c r="F84" s="34" t="n"/>
      <c r="G84" s="34" t="n"/>
      <c r="H84" s="44" t="n"/>
      <c r="I84" s="44" t="n"/>
      <c r="J84" s="76">
        <f>IF(N($H84)=0,"",$I84/$H84)</f>
        <v/>
      </c>
      <c r="K84" s="34" t="n"/>
      <c r="L84" s="34" t="n"/>
      <c r="M84" s="41" t="n"/>
      <c r="N84" s="41" t="n"/>
      <c r="O84" s="34" t="n"/>
      <c r="P84" s="41" t="n"/>
    </row>
    <row r="85">
      <c r="A85" s="132" t="n"/>
      <c r="B85" s="34" t="n"/>
      <c r="C85" s="41" t="n"/>
      <c r="D85" s="34" t="n"/>
      <c r="E85" s="34" t="n"/>
      <c r="F85" s="34" t="n"/>
      <c r="G85" s="34" t="n"/>
      <c r="H85" s="44" t="n"/>
      <c r="I85" s="44" t="n"/>
      <c r="J85" s="76">
        <f>IF(N($H85)=0,"",$I85/$H85)</f>
        <v/>
      </c>
      <c r="K85" s="34" t="n"/>
      <c r="L85" s="34" t="n"/>
      <c r="M85" s="41" t="n"/>
      <c r="N85" s="41" t="n"/>
      <c r="O85" s="34" t="n"/>
      <c r="P85" s="41" t="n"/>
    </row>
    <row r="86">
      <c r="A86" s="132" t="n"/>
      <c r="B86" s="34" t="n"/>
      <c r="C86" s="41" t="n"/>
      <c r="D86" s="34" t="n"/>
      <c r="E86" s="34" t="n"/>
      <c r="F86" s="34" t="n"/>
      <c r="G86" s="34" t="n"/>
      <c r="H86" s="44" t="n"/>
      <c r="I86" s="44" t="n"/>
      <c r="J86" s="76">
        <f>IF(N($H86)=0,"",$I86/$H86)</f>
        <v/>
      </c>
      <c r="K86" s="34" t="n"/>
      <c r="L86" s="34" t="n"/>
      <c r="M86" s="41" t="n"/>
      <c r="N86" s="41" t="n"/>
      <c r="O86" s="34" t="n"/>
      <c r="P86" s="41" t="n"/>
    </row>
    <row r="87">
      <c r="A87" s="132" t="n"/>
      <c r="B87" s="34" t="n"/>
      <c r="C87" s="41" t="n"/>
      <c r="D87" s="34" t="n"/>
      <c r="E87" s="34" t="n"/>
      <c r="F87" s="34" t="n"/>
      <c r="G87" s="34" t="n"/>
      <c r="H87" s="44" t="n"/>
      <c r="I87" s="44" t="n"/>
      <c r="J87" s="76">
        <f>IF(N($H87)=0,"",$I87/$H87)</f>
        <v/>
      </c>
      <c r="K87" s="34" t="n"/>
      <c r="L87" s="34" t="n"/>
      <c r="M87" s="41" t="n"/>
      <c r="N87" s="41" t="n"/>
      <c r="O87" s="34" t="n"/>
      <c r="P87" s="41" t="n"/>
    </row>
    <row r="88">
      <c r="A88" s="132" t="n"/>
      <c r="B88" s="34" t="n"/>
      <c r="C88" s="41" t="n"/>
      <c r="D88" s="34" t="n"/>
      <c r="E88" s="34" t="n"/>
      <c r="F88" s="34" t="n"/>
      <c r="G88" s="34" t="n"/>
      <c r="H88" s="44" t="n"/>
      <c r="I88" s="44" t="n"/>
      <c r="J88" s="76">
        <f>IF(N($H88)=0,"",$I88/$H88)</f>
        <v/>
      </c>
      <c r="K88" s="34" t="n"/>
      <c r="L88" s="34" t="n"/>
      <c r="M88" s="41" t="n"/>
      <c r="N88" s="41" t="n"/>
      <c r="O88" s="34" t="n"/>
      <c r="P88" s="41" t="n"/>
    </row>
    <row r="89">
      <c r="A89" s="132" t="n"/>
      <c r="B89" s="34" t="n"/>
      <c r="C89" s="41" t="n"/>
      <c r="D89" s="34" t="n"/>
      <c r="E89" s="34" t="n"/>
      <c r="F89" s="34" t="n"/>
      <c r="G89" s="34" t="n"/>
      <c r="H89" s="44" t="n"/>
      <c r="I89" s="44" t="n"/>
      <c r="J89" s="76">
        <f>IF(N($H89)=0,"",$I89/$H89)</f>
        <v/>
      </c>
      <c r="K89" s="34" t="n"/>
      <c r="L89" s="34" t="n"/>
      <c r="M89" s="41" t="n"/>
      <c r="N89" s="41" t="n"/>
      <c r="O89" s="34" t="n"/>
      <c r="P89" s="41" t="n"/>
    </row>
    <row r="90">
      <c r="A90" s="132" t="n"/>
      <c r="B90" s="34" t="n"/>
      <c r="C90" s="41" t="n"/>
      <c r="D90" s="34" t="n"/>
      <c r="E90" s="34" t="n"/>
      <c r="F90" s="34" t="n"/>
      <c r="G90" s="34" t="n"/>
      <c r="H90" s="44" t="n"/>
      <c r="I90" s="44" t="n"/>
      <c r="J90" s="76">
        <f>IF(N($H90)=0,"",$I90/$H90)</f>
        <v/>
      </c>
      <c r="K90" s="34" t="n"/>
      <c r="L90" s="34" t="n"/>
      <c r="M90" s="41" t="n"/>
      <c r="N90" s="41" t="n"/>
      <c r="O90" s="34" t="n"/>
      <c r="P90" s="41" t="n"/>
    </row>
    <row r="91">
      <c r="A91" s="132" t="n"/>
      <c r="B91" s="34" t="n"/>
      <c r="C91" s="41" t="n"/>
      <c r="D91" s="34" t="n"/>
      <c r="E91" s="34" t="n"/>
      <c r="F91" s="34" t="n"/>
      <c r="G91" s="34" t="n"/>
      <c r="H91" s="44" t="n"/>
      <c r="I91" s="44" t="n"/>
      <c r="J91" s="76">
        <f>IF(N($H91)=0,"",$I91/$H91)</f>
        <v/>
      </c>
      <c r="K91" s="34" t="n"/>
      <c r="L91" s="34" t="n"/>
      <c r="M91" s="41" t="n"/>
      <c r="N91" s="41" t="n"/>
      <c r="O91" s="34" t="n"/>
      <c r="P91" s="41" t="n"/>
    </row>
    <row r="92">
      <c r="A92" s="132" t="n"/>
      <c r="B92" s="34" t="n"/>
      <c r="C92" s="41" t="n"/>
      <c r="D92" s="34" t="n"/>
      <c r="E92" s="34" t="n"/>
      <c r="F92" s="34" t="n"/>
      <c r="G92" s="34" t="n"/>
      <c r="H92" s="44" t="n"/>
      <c r="I92" s="44" t="n"/>
      <c r="J92" s="76">
        <f>IF(N($H92)=0,"",$I92/$H92)</f>
        <v/>
      </c>
      <c r="K92" s="34" t="n"/>
      <c r="L92" s="34" t="n"/>
      <c r="M92" s="41" t="n"/>
      <c r="N92" s="41" t="n"/>
      <c r="O92" s="34" t="n"/>
      <c r="P92" s="41" t="n"/>
    </row>
    <row r="93">
      <c r="A93" s="132" t="n"/>
      <c r="B93" s="34" t="n"/>
      <c r="C93" s="41" t="n"/>
      <c r="D93" s="34" t="n"/>
      <c r="E93" s="34" t="n"/>
      <c r="F93" s="34" t="n"/>
      <c r="G93" s="34" t="n"/>
      <c r="H93" s="44" t="n"/>
      <c r="I93" s="44" t="n"/>
      <c r="J93" s="76">
        <f>IF(N($H93)=0,"",$I93/$H93)</f>
        <v/>
      </c>
      <c r="K93" s="34" t="n"/>
      <c r="L93" s="34" t="n"/>
      <c r="M93" s="41" t="n"/>
      <c r="N93" s="41" t="n"/>
      <c r="O93" s="34" t="n"/>
      <c r="P93" s="41" t="n"/>
    </row>
    <row r="94">
      <c r="A94" s="132" t="n"/>
      <c r="B94" s="34" t="n"/>
      <c r="C94" s="41" t="n"/>
      <c r="D94" s="34" t="n"/>
      <c r="E94" s="34" t="n"/>
      <c r="F94" s="34" t="n"/>
      <c r="G94" s="34" t="n"/>
      <c r="H94" s="44" t="n"/>
      <c r="I94" s="44" t="n"/>
      <c r="J94" s="76">
        <f>IF(N($H94)=0,"",$I94/$H94)</f>
        <v/>
      </c>
      <c r="K94" s="34" t="n"/>
      <c r="L94" s="34" t="n"/>
      <c r="M94" s="41" t="n"/>
      <c r="N94" s="41" t="n"/>
      <c r="O94" s="34" t="n"/>
      <c r="P94" s="41" t="n"/>
    </row>
    <row r="95">
      <c r="A95" s="132" t="n"/>
      <c r="B95" s="34" t="n"/>
      <c r="C95" s="41" t="n"/>
      <c r="D95" s="34" t="n"/>
      <c r="E95" s="34" t="n"/>
      <c r="F95" s="34" t="n"/>
      <c r="G95" s="34" t="n"/>
      <c r="H95" s="44" t="n"/>
      <c r="I95" s="44" t="n"/>
      <c r="J95" s="76">
        <f>IF(N($H95)=0,"",$I95/$H95)</f>
        <v/>
      </c>
      <c r="K95" s="34" t="n"/>
      <c r="L95" s="34" t="n"/>
      <c r="M95" s="41" t="n"/>
      <c r="N95" s="41" t="n"/>
      <c r="O95" s="34" t="n"/>
      <c r="P95" s="41" t="n"/>
    </row>
    <row r="96">
      <c r="A96" s="132" t="n"/>
      <c r="B96" s="34" t="n"/>
      <c r="C96" s="41" t="n"/>
      <c r="D96" s="34" t="n"/>
      <c r="E96" s="34" t="n"/>
      <c r="F96" s="34" t="n"/>
      <c r="G96" s="34" t="n"/>
      <c r="H96" s="44" t="n"/>
      <c r="I96" s="44" t="n"/>
      <c r="J96" s="76">
        <f>IF(N($H96)=0,"",$I96/$H96)</f>
        <v/>
      </c>
      <c r="K96" s="34" t="n"/>
      <c r="L96" s="34" t="n"/>
      <c r="M96" s="41" t="n"/>
      <c r="N96" s="41" t="n"/>
      <c r="O96" s="34" t="n"/>
      <c r="P96" s="41" t="n"/>
    </row>
    <row r="97">
      <c r="A97" s="132" t="n"/>
      <c r="B97" s="34" t="n"/>
      <c r="C97" s="41" t="n"/>
      <c r="D97" s="34" t="n"/>
      <c r="E97" s="34" t="n"/>
      <c r="F97" s="34" t="n"/>
      <c r="G97" s="34" t="n"/>
      <c r="H97" s="44" t="n"/>
      <c r="I97" s="44" t="n"/>
      <c r="J97" s="76">
        <f>IF(N($H97)=0,"",$I97/$H97)</f>
        <v/>
      </c>
      <c r="K97" s="34" t="n"/>
      <c r="L97" s="34" t="n"/>
      <c r="M97" s="41" t="n"/>
      <c r="N97" s="41" t="n"/>
      <c r="O97" s="34" t="n"/>
      <c r="P97" s="41" t="n"/>
    </row>
    <row r="98">
      <c r="A98" s="132" t="n"/>
      <c r="B98" s="34" t="n"/>
      <c r="C98" s="41" t="n"/>
      <c r="D98" s="34" t="n"/>
      <c r="E98" s="34" t="n"/>
      <c r="F98" s="34" t="n"/>
      <c r="G98" s="34" t="n"/>
      <c r="H98" s="44" t="n"/>
      <c r="I98" s="44" t="n"/>
      <c r="J98" s="76">
        <f>IF(N($H98)=0,"",$I98/$H98)</f>
        <v/>
      </c>
      <c r="K98" s="34" t="n"/>
      <c r="L98" s="34" t="n"/>
      <c r="M98" s="41" t="n"/>
      <c r="N98" s="41" t="n"/>
      <c r="O98" s="34" t="n"/>
      <c r="P98" s="41" t="n"/>
    </row>
    <row r="99">
      <c r="A99" s="132" t="n"/>
      <c r="B99" s="34" t="n"/>
      <c r="C99" s="41" t="n"/>
      <c r="D99" s="34" t="n"/>
      <c r="E99" s="34" t="n"/>
      <c r="F99" s="34" t="n"/>
      <c r="G99" s="34" t="n"/>
      <c r="H99" s="44" t="n"/>
      <c r="I99" s="44" t="n"/>
      <c r="J99" s="76">
        <f>IF(N($H99)=0,"",$I99/$H99)</f>
        <v/>
      </c>
      <c r="K99" s="34" t="n"/>
      <c r="L99" s="34" t="n"/>
      <c r="M99" s="41" t="n"/>
      <c r="N99" s="41" t="n"/>
      <c r="O99" s="34" t="n"/>
      <c r="P99" s="41" t="n"/>
    </row>
    <row r="100">
      <c r="A100" s="132" t="n"/>
      <c r="B100" s="34" t="n"/>
      <c r="C100" s="41" t="n"/>
      <c r="D100" s="34" t="n"/>
      <c r="E100" s="34" t="n"/>
      <c r="F100" s="34" t="n"/>
      <c r="G100" s="34" t="n"/>
      <c r="H100" s="44" t="n"/>
      <c r="I100" s="44" t="n"/>
      <c r="J100" s="76">
        <f>IF(N($H100)=0,"",$I100/$H100)</f>
        <v/>
      </c>
      <c r="K100" s="34" t="n"/>
      <c r="L100" s="34" t="n"/>
      <c r="M100" s="41" t="n"/>
      <c r="N100" s="41" t="n"/>
      <c r="O100" s="34" t="n"/>
      <c r="P100" s="41" t="n"/>
    </row>
    <row r="101">
      <c r="A101" s="132" t="n"/>
      <c r="B101" s="34" t="n"/>
      <c r="C101" s="41" t="n"/>
      <c r="D101" s="34" t="n"/>
      <c r="E101" s="34" t="n"/>
      <c r="F101" s="34" t="n"/>
      <c r="G101" s="34" t="n"/>
      <c r="H101" s="44" t="n"/>
      <c r="I101" s="44" t="n"/>
      <c r="J101" s="76">
        <f>IF(N($H101)=0,"",$I101/$H101)</f>
        <v/>
      </c>
      <c r="K101" s="34" t="n"/>
      <c r="L101" s="34" t="n"/>
      <c r="M101" s="41" t="n"/>
      <c r="N101" s="41" t="n"/>
      <c r="O101" s="34" t="n"/>
      <c r="P101" s="41" t="n"/>
    </row>
    <row r="102">
      <c r="A102" s="132" t="n"/>
      <c r="B102" s="34" t="n"/>
      <c r="C102" s="41" t="n"/>
      <c r="D102" s="34" t="n"/>
      <c r="E102" s="34" t="n"/>
      <c r="F102" s="34" t="n"/>
      <c r="G102" s="34" t="n"/>
      <c r="H102" s="44" t="n"/>
      <c r="I102" s="44" t="n"/>
      <c r="J102" s="76">
        <f>IF(N($H102)=0,"",$I102/$H102)</f>
        <v/>
      </c>
      <c r="K102" s="34" t="n"/>
      <c r="L102" s="34" t="n"/>
      <c r="M102" s="41" t="n"/>
      <c r="N102" s="41" t="n"/>
      <c r="O102" s="34" t="n"/>
      <c r="P102" s="41" t="n"/>
    </row>
    <row r="103">
      <c r="A103" s="132" t="n"/>
      <c r="B103" s="34" t="n"/>
      <c r="C103" s="41" t="n"/>
      <c r="D103" s="34" t="n"/>
      <c r="E103" s="34" t="n"/>
      <c r="F103" s="34" t="n"/>
      <c r="G103" s="34" t="n"/>
      <c r="H103" s="44" t="n"/>
      <c r="I103" s="44" t="n"/>
      <c r="J103" s="76">
        <f>IF(N($H103)=0,"",$I103/$H103)</f>
        <v/>
      </c>
      <c r="K103" s="34" t="n"/>
      <c r="L103" s="34" t="n"/>
      <c r="M103" s="41" t="n"/>
      <c r="N103" s="41" t="n"/>
      <c r="O103" s="34" t="n"/>
      <c r="P103" s="41" t="n"/>
    </row>
    <row r="104">
      <c r="A104" s="132" t="n"/>
      <c r="B104" s="34" t="n"/>
      <c r="C104" s="41" t="n"/>
      <c r="D104" s="34" t="n"/>
      <c r="E104" s="34" t="n"/>
      <c r="F104" s="34" t="n"/>
      <c r="G104" s="34" t="n"/>
      <c r="H104" s="44" t="n"/>
      <c r="I104" s="44" t="n"/>
      <c r="J104" s="76">
        <f>IF(N($H104)=0,"",$I104/$H104)</f>
        <v/>
      </c>
      <c r="K104" s="34" t="n"/>
      <c r="L104" s="34" t="n"/>
      <c r="M104" s="41" t="n"/>
      <c r="N104" s="41" t="n"/>
      <c r="O104" s="34" t="n"/>
      <c r="P104" s="41" t="n"/>
    </row>
    <row r="105">
      <c r="A105" s="132" t="n"/>
      <c r="B105" s="34" t="n"/>
      <c r="C105" s="41" t="n"/>
      <c r="D105" s="34" t="n"/>
      <c r="E105" s="34" t="n"/>
      <c r="F105" s="34" t="n"/>
      <c r="G105" s="34" t="n"/>
      <c r="H105" s="44" t="n"/>
      <c r="I105" s="44" t="n"/>
      <c r="J105" s="76">
        <f>IF(N($H105)=0,"",$I105/$H105)</f>
        <v/>
      </c>
      <c r="K105" s="34" t="n"/>
      <c r="L105" s="34" t="n"/>
      <c r="M105" s="41" t="n"/>
      <c r="N105" s="41" t="n"/>
      <c r="O105" s="34" t="n"/>
      <c r="P105" s="41" t="n"/>
    </row>
    <row r="106">
      <c r="A106" s="132" t="n"/>
      <c r="B106" s="34" t="n"/>
      <c r="C106" s="41" t="n"/>
      <c r="D106" s="34" t="n"/>
      <c r="E106" s="34" t="n"/>
      <c r="F106" s="34" t="n"/>
      <c r="G106" s="34" t="n"/>
      <c r="H106" s="44" t="n"/>
      <c r="I106" s="44" t="n"/>
      <c r="J106" s="76">
        <f>IF(N($H106)=0,"",$I106/$H106)</f>
        <v/>
      </c>
      <c r="K106" s="34" t="n"/>
      <c r="L106" s="34" t="n"/>
      <c r="M106" s="41" t="n"/>
      <c r="N106" s="41" t="n"/>
      <c r="O106" s="34" t="n"/>
      <c r="P106" s="41" t="n"/>
    </row>
    <row r="107">
      <c r="A107" s="132" t="n"/>
      <c r="B107" s="34" t="n"/>
      <c r="C107" s="41" t="n"/>
      <c r="D107" s="34" t="n"/>
      <c r="E107" s="34" t="n"/>
      <c r="F107" s="34" t="n"/>
      <c r="G107" s="34" t="n"/>
      <c r="H107" s="44" t="n"/>
      <c r="I107" s="44" t="n"/>
      <c r="J107" s="76">
        <f>IF(N($H107)=0,"",$I107/$H107)</f>
        <v/>
      </c>
      <c r="K107" s="34" t="n"/>
      <c r="L107" s="34" t="n"/>
      <c r="M107" s="41" t="n"/>
      <c r="N107" s="41" t="n"/>
      <c r="O107" s="34" t="n"/>
      <c r="P107" s="41" t="n"/>
    </row>
    <row r="108">
      <c r="A108" s="132" t="n"/>
      <c r="B108" s="34" t="n"/>
      <c r="C108" s="41" t="n"/>
      <c r="D108" s="34" t="n"/>
      <c r="E108" s="34" t="n"/>
      <c r="F108" s="34" t="n"/>
      <c r="G108" s="34" t="n"/>
      <c r="H108" s="44" t="n"/>
      <c r="I108" s="44" t="n"/>
      <c r="J108" s="76">
        <f>IF(N($H108)=0,"",$I108/$H108)</f>
        <v/>
      </c>
      <c r="K108" s="34" t="n"/>
      <c r="L108" s="34" t="n"/>
      <c r="M108" s="41" t="n"/>
      <c r="N108" s="41" t="n"/>
      <c r="O108" s="34" t="n"/>
      <c r="P108" s="41" t="n"/>
    </row>
    <row r="109">
      <c r="A109" s="132" t="n"/>
      <c r="B109" s="34" t="n"/>
      <c r="C109" s="41" t="n"/>
      <c r="D109" s="34" t="n"/>
      <c r="E109" s="34" t="n"/>
      <c r="F109" s="34" t="n"/>
      <c r="G109" s="34" t="n"/>
      <c r="H109" s="44" t="n"/>
      <c r="I109" s="44" t="n"/>
      <c r="J109" s="76">
        <f>IF(N($H109)=0,"",$I109/$H109)</f>
        <v/>
      </c>
      <c r="K109" s="34" t="n"/>
      <c r="L109" s="34" t="n"/>
      <c r="M109" s="41" t="n"/>
      <c r="N109" s="41" t="n"/>
      <c r="O109" s="34" t="n"/>
      <c r="P109" s="41" t="n"/>
    </row>
    <row r="110">
      <c r="A110" s="132" t="n"/>
      <c r="B110" s="34" t="n"/>
      <c r="C110" s="41" t="n"/>
      <c r="D110" s="34" t="n"/>
      <c r="E110" s="34" t="n"/>
      <c r="F110" s="34" t="n"/>
      <c r="G110" s="34" t="n"/>
      <c r="H110" s="44" t="n"/>
      <c r="I110" s="44" t="n"/>
      <c r="J110" s="76">
        <f>IF(N($H110)=0,"",$I110/$H110)</f>
        <v/>
      </c>
      <c r="K110" s="34" t="n"/>
      <c r="L110" s="34" t="n"/>
      <c r="M110" s="41" t="n"/>
      <c r="N110" s="41" t="n"/>
      <c r="O110" s="34" t="n"/>
      <c r="P110" s="41" t="n"/>
    </row>
    <row r="111">
      <c r="A111" s="132" t="n"/>
      <c r="B111" s="34" t="n"/>
      <c r="C111" s="41" t="n"/>
      <c r="D111" s="34" t="n"/>
      <c r="E111" s="34" t="n"/>
      <c r="F111" s="34" t="n"/>
      <c r="G111" s="34" t="n"/>
      <c r="H111" s="44" t="n"/>
      <c r="I111" s="44" t="n"/>
      <c r="J111" s="76">
        <f>IF(N($H111)=0,"",$I111/$H111)</f>
        <v/>
      </c>
      <c r="K111" s="34" t="n"/>
      <c r="L111" s="34" t="n"/>
      <c r="M111" s="41" t="n"/>
      <c r="N111" s="41" t="n"/>
      <c r="O111" s="34" t="n"/>
      <c r="P111" s="41" t="n"/>
    </row>
    <row r="112">
      <c r="A112" s="132" t="n"/>
      <c r="B112" s="34" t="n"/>
      <c r="C112" s="41" t="n"/>
      <c r="D112" s="34" t="n"/>
      <c r="E112" s="34" t="n"/>
      <c r="F112" s="34" t="n"/>
      <c r="G112" s="34" t="n"/>
      <c r="H112" s="44" t="n"/>
      <c r="I112" s="44" t="n"/>
      <c r="J112" s="76">
        <f>IF(N($H112)=0,"",$I112/$H112)</f>
        <v/>
      </c>
      <c r="K112" s="34" t="n"/>
      <c r="L112" s="34" t="n"/>
      <c r="M112" s="41" t="n"/>
      <c r="N112" s="41" t="n"/>
      <c r="O112" s="34" t="n"/>
      <c r="P112" s="41" t="n"/>
    </row>
    <row r="113">
      <c r="A113" s="132" t="n"/>
      <c r="B113" s="34" t="n"/>
      <c r="C113" s="41" t="n"/>
      <c r="D113" s="34" t="n"/>
      <c r="E113" s="34" t="n"/>
      <c r="F113" s="34" t="n"/>
      <c r="G113" s="34" t="n"/>
      <c r="H113" s="44" t="n"/>
      <c r="I113" s="44" t="n"/>
      <c r="J113" s="76">
        <f>IF(N($H113)=0,"",$I113/$H113)</f>
        <v/>
      </c>
      <c r="K113" s="34" t="n"/>
      <c r="L113" s="34" t="n"/>
      <c r="M113" s="41" t="n"/>
      <c r="N113" s="41" t="n"/>
      <c r="O113" s="34" t="n"/>
      <c r="P113" s="41" t="n"/>
    </row>
    <row r="114">
      <c r="A114" s="132" t="n"/>
      <c r="B114" s="34" t="n"/>
      <c r="C114" s="41" t="n"/>
      <c r="D114" s="34" t="n"/>
      <c r="E114" s="34" t="n"/>
      <c r="F114" s="34" t="n"/>
      <c r="G114" s="34" t="n"/>
      <c r="H114" s="44" t="n"/>
      <c r="I114" s="44" t="n"/>
      <c r="J114" s="76">
        <f>IF(N($H114)=0,"",$I114/$H114)</f>
        <v/>
      </c>
      <c r="K114" s="34" t="n"/>
      <c r="L114" s="34" t="n"/>
      <c r="M114" s="41" t="n"/>
      <c r="N114" s="41" t="n"/>
      <c r="O114" s="34" t="n"/>
      <c r="P114" s="41" t="n"/>
    </row>
    <row r="115">
      <c r="A115" s="132" t="n"/>
      <c r="B115" s="34" t="n"/>
      <c r="C115" s="41" t="n"/>
      <c r="D115" s="34" t="n"/>
      <c r="E115" s="34" t="n"/>
      <c r="F115" s="34" t="n"/>
      <c r="G115" s="34" t="n"/>
      <c r="H115" s="44" t="n"/>
      <c r="I115" s="44" t="n"/>
      <c r="J115" s="76">
        <f>IF(N($H115)=0,"",$I115/$H115)</f>
        <v/>
      </c>
      <c r="K115" s="34" t="n"/>
      <c r="L115" s="34" t="n"/>
      <c r="M115" s="41" t="n"/>
      <c r="N115" s="41" t="n"/>
      <c r="O115" s="34" t="n"/>
      <c r="P115" s="41" t="n"/>
    </row>
    <row r="116">
      <c r="A116" s="132" t="n"/>
      <c r="B116" s="34" t="n"/>
      <c r="C116" s="41" t="n"/>
      <c r="D116" s="34" t="n"/>
      <c r="E116" s="34" t="n"/>
      <c r="F116" s="34" t="n"/>
      <c r="G116" s="34" t="n"/>
      <c r="H116" s="44" t="n"/>
      <c r="I116" s="44" t="n"/>
      <c r="J116" s="76">
        <f>IF(N($H116)=0,"",$I116/$H116)</f>
        <v/>
      </c>
      <c r="K116" s="34" t="n"/>
      <c r="L116" s="34" t="n"/>
      <c r="M116" s="41" t="n"/>
      <c r="N116" s="41" t="n"/>
      <c r="O116" s="34" t="n"/>
      <c r="P116" s="41" t="n"/>
    </row>
    <row r="117">
      <c r="A117" s="132" t="n"/>
      <c r="B117" s="34" t="n"/>
      <c r="C117" s="41" t="n"/>
      <c r="D117" s="34" t="n"/>
      <c r="E117" s="34" t="n"/>
      <c r="F117" s="34" t="n"/>
      <c r="G117" s="34" t="n"/>
      <c r="H117" s="44" t="n"/>
      <c r="I117" s="44" t="n"/>
      <c r="J117" s="76">
        <f>IF(N($H117)=0,"",$I117/$H117)</f>
        <v/>
      </c>
      <c r="K117" s="34" t="n"/>
      <c r="L117" s="34" t="n"/>
      <c r="M117" s="41" t="n"/>
      <c r="N117" s="41" t="n"/>
      <c r="O117" s="34" t="n"/>
      <c r="P117" s="41" t="n"/>
    </row>
    <row r="118">
      <c r="A118" s="132" t="n"/>
      <c r="B118" s="34" t="n"/>
      <c r="C118" s="41" t="n"/>
      <c r="D118" s="34" t="n"/>
      <c r="E118" s="34" t="n"/>
      <c r="F118" s="34" t="n"/>
      <c r="G118" s="34" t="n"/>
      <c r="H118" s="44" t="n"/>
      <c r="I118" s="44" t="n"/>
      <c r="J118" s="76">
        <f>IF(N($H118)=0,"",$I118/$H118)</f>
        <v/>
      </c>
      <c r="K118" s="34" t="n"/>
      <c r="L118" s="34" t="n"/>
      <c r="M118" s="41" t="n"/>
      <c r="N118" s="41" t="n"/>
      <c r="O118" s="34" t="n"/>
      <c r="P118" s="41" t="n"/>
    </row>
    <row r="119">
      <c r="A119" s="132" t="n"/>
      <c r="B119" s="34" t="n"/>
      <c r="C119" s="41" t="n"/>
      <c r="D119" s="34" t="n"/>
      <c r="E119" s="34" t="n"/>
      <c r="F119" s="34" t="n"/>
      <c r="G119" s="34" t="n"/>
      <c r="H119" s="44" t="n"/>
      <c r="I119" s="44" t="n"/>
      <c r="J119" s="76">
        <f>IF(N($H119)=0,"",$I119/$H119)</f>
        <v/>
      </c>
      <c r="K119" s="34" t="n"/>
      <c r="L119" s="34" t="n"/>
      <c r="M119" s="41" t="n"/>
      <c r="N119" s="41" t="n"/>
      <c r="O119" s="34" t="n"/>
      <c r="P119" s="41" t="n"/>
    </row>
    <row r="120">
      <c r="A120" s="132" t="n"/>
      <c r="B120" s="34" t="n"/>
      <c r="C120" s="41" t="n"/>
      <c r="D120" s="34" t="n"/>
      <c r="E120" s="34" t="n"/>
      <c r="F120" s="34" t="n"/>
      <c r="G120" s="34" t="n"/>
      <c r="H120" s="44" t="n"/>
      <c r="I120" s="44" t="n"/>
      <c r="J120" s="76">
        <f>IF(N($H120)=0,"",$I120/$H120)</f>
        <v/>
      </c>
      <c r="K120" s="34" t="n"/>
      <c r="L120" s="34" t="n"/>
      <c r="M120" s="41" t="n"/>
      <c r="N120" s="41" t="n"/>
      <c r="O120" s="34" t="n"/>
      <c r="P120" s="41" t="n"/>
    </row>
    <row r="121">
      <c r="A121" s="132" t="n"/>
      <c r="B121" s="34" t="n"/>
      <c r="C121" s="41" t="n"/>
      <c r="D121" s="34" t="n"/>
      <c r="E121" s="34" t="n"/>
      <c r="F121" s="34" t="n"/>
      <c r="G121" s="34" t="n"/>
      <c r="H121" s="44" t="n"/>
      <c r="I121" s="44" t="n"/>
      <c r="J121" s="76">
        <f>IF(N($H121)=0,"",$I121/$H121)</f>
        <v/>
      </c>
      <c r="K121" s="34" t="n"/>
      <c r="L121" s="34" t="n"/>
      <c r="M121" s="41" t="n"/>
      <c r="N121" s="41" t="n"/>
      <c r="O121" s="34" t="n"/>
      <c r="P121" s="41" t="n"/>
    </row>
    <row r="122">
      <c r="A122" s="132" t="n"/>
      <c r="B122" s="34" t="n"/>
      <c r="C122" s="41" t="n"/>
      <c r="D122" s="34" t="n"/>
      <c r="E122" s="34" t="n"/>
      <c r="F122" s="34" t="n"/>
      <c r="G122" s="34" t="n"/>
      <c r="H122" s="44" t="n"/>
      <c r="I122" s="44" t="n"/>
      <c r="J122" s="76">
        <f>IF(N($H122)=0,"",$I122/$H122)</f>
        <v/>
      </c>
      <c r="K122" s="34" t="n"/>
      <c r="L122" s="34" t="n"/>
      <c r="M122" s="41" t="n"/>
      <c r="N122" s="41" t="n"/>
      <c r="O122" s="34" t="n"/>
      <c r="P122" s="41" t="n"/>
    </row>
    <row r="123">
      <c r="A123" s="132" t="n"/>
      <c r="B123" s="34" t="n"/>
      <c r="C123" s="41" t="n"/>
      <c r="D123" s="34" t="n"/>
      <c r="E123" s="34" t="n"/>
      <c r="F123" s="34" t="n"/>
      <c r="G123" s="34" t="n"/>
      <c r="H123" s="44" t="n"/>
      <c r="I123" s="44" t="n"/>
      <c r="J123" s="76">
        <f>IF(N($H123)=0,"",$I123/$H123)</f>
        <v/>
      </c>
      <c r="K123" s="34" t="n"/>
      <c r="L123" s="34" t="n"/>
      <c r="M123" s="41" t="n"/>
      <c r="N123" s="41" t="n"/>
      <c r="O123" s="34" t="n"/>
      <c r="P123" s="41" t="n"/>
    </row>
    <row r="124">
      <c r="A124" s="132" t="n"/>
      <c r="B124" s="34" t="n"/>
      <c r="C124" s="41" t="n"/>
      <c r="D124" s="34" t="n"/>
      <c r="E124" s="34" t="n"/>
      <c r="F124" s="34" t="n"/>
      <c r="G124" s="34" t="n"/>
      <c r="H124" s="44" t="n"/>
      <c r="I124" s="44" t="n"/>
      <c r="J124" s="76">
        <f>IF(N($H124)=0,"",$I124/$H124)</f>
        <v/>
      </c>
      <c r="K124" s="34" t="n"/>
      <c r="L124" s="34" t="n"/>
      <c r="M124" s="41" t="n"/>
      <c r="N124" s="41" t="n"/>
      <c r="O124" s="34" t="n"/>
      <c r="P124" s="41" t="n"/>
    </row>
    <row r="125">
      <c r="A125" s="132" t="n"/>
      <c r="B125" s="34" t="n"/>
      <c r="C125" s="41" t="n"/>
      <c r="D125" s="34" t="n"/>
      <c r="E125" s="34" t="n"/>
      <c r="F125" s="34" t="n"/>
      <c r="G125" s="34" t="n"/>
      <c r="H125" s="44" t="n"/>
      <c r="I125" s="44" t="n"/>
      <c r="J125" s="76">
        <f>IF(N($H125)=0,"",$I125/$H125)</f>
        <v/>
      </c>
      <c r="K125" s="34" t="n"/>
      <c r="L125" s="34" t="n"/>
      <c r="M125" s="41" t="n"/>
      <c r="N125" s="41" t="n"/>
      <c r="O125" s="34" t="n"/>
      <c r="P125" s="41" t="n"/>
    </row>
    <row r="126">
      <c r="A126" s="132" t="n"/>
      <c r="B126" s="34" t="n"/>
      <c r="C126" s="41" t="n"/>
      <c r="D126" s="34" t="n"/>
      <c r="E126" s="34" t="n"/>
      <c r="F126" s="34" t="n"/>
      <c r="G126" s="34" t="n"/>
      <c r="H126" s="44" t="n"/>
      <c r="I126" s="44" t="n"/>
      <c r="J126" s="76">
        <f>IF(N($H126)=0,"",$I126/$H126)</f>
        <v/>
      </c>
      <c r="K126" s="34" t="n"/>
      <c r="L126" s="34" t="n"/>
      <c r="M126" s="41" t="n"/>
      <c r="N126" s="41" t="n"/>
      <c r="O126" s="34" t="n"/>
      <c r="P126" s="41" t="n"/>
    </row>
    <row r="127">
      <c r="A127" s="132" t="n"/>
      <c r="B127" s="34" t="n"/>
      <c r="C127" s="41" t="n"/>
      <c r="D127" s="34" t="n"/>
      <c r="E127" s="34" t="n"/>
      <c r="F127" s="34" t="n"/>
      <c r="G127" s="34" t="n"/>
      <c r="H127" s="44" t="n"/>
      <c r="I127" s="44" t="n"/>
      <c r="J127" s="76">
        <f>IF(N($H127)=0,"",$I127/$H127)</f>
        <v/>
      </c>
      <c r="K127" s="34" t="n"/>
      <c r="L127" s="34" t="n"/>
      <c r="M127" s="41" t="n"/>
      <c r="N127" s="41" t="n"/>
      <c r="O127" s="34" t="n"/>
      <c r="P127" s="41" t="n"/>
    </row>
    <row r="128">
      <c r="A128" s="132" t="n"/>
      <c r="B128" s="34" t="n"/>
      <c r="C128" s="41" t="n"/>
      <c r="D128" s="34" t="n"/>
      <c r="E128" s="34" t="n"/>
      <c r="F128" s="34" t="n"/>
      <c r="G128" s="34" t="n"/>
      <c r="H128" s="44" t="n"/>
      <c r="I128" s="44" t="n"/>
      <c r="J128" s="76">
        <f>IF(N($H128)=0,"",$I128/$H128)</f>
        <v/>
      </c>
      <c r="K128" s="34" t="n"/>
      <c r="L128" s="34" t="n"/>
      <c r="M128" s="41" t="n"/>
      <c r="N128" s="41" t="n"/>
      <c r="O128" s="34" t="n"/>
      <c r="P128" s="41" t="n"/>
    </row>
    <row r="129">
      <c r="A129" s="132" t="n"/>
      <c r="B129" s="34" t="n"/>
      <c r="C129" s="41" t="n"/>
      <c r="D129" s="34" t="n"/>
      <c r="E129" s="34" t="n"/>
      <c r="F129" s="34" t="n"/>
      <c r="G129" s="34" t="n"/>
      <c r="H129" s="44" t="n"/>
      <c r="I129" s="44" t="n"/>
      <c r="J129" s="76">
        <f>IF(N($H129)=0,"",$I129/$H129)</f>
        <v/>
      </c>
      <c r="K129" s="34" t="n"/>
      <c r="L129" s="34" t="n"/>
      <c r="M129" s="41" t="n"/>
      <c r="N129" s="41" t="n"/>
      <c r="O129" s="34" t="n"/>
      <c r="P129" s="41" t="n"/>
    </row>
    <row r="130">
      <c r="A130" s="132" t="n"/>
      <c r="B130" s="34" t="n"/>
      <c r="C130" s="41" t="n"/>
      <c r="D130" s="34" t="n"/>
      <c r="E130" s="34" t="n"/>
      <c r="F130" s="34" t="n"/>
      <c r="G130" s="34" t="n"/>
      <c r="H130" s="44" t="n"/>
      <c r="I130" s="44" t="n"/>
      <c r="J130" s="76">
        <f>IF(N($H130)=0,"",$I130/$H130)</f>
        <v/>
      </c>
      <c r="K130" s="34" t="n"/>
      <c r="L130" s="34" t="n"/>
      <c r="M130" s="41" t="n"/>
      <c r="N130" s="41" t="n"/>
      <c r="O130" s="34" t="n"/>
      <c r="P130" s="41" t="n"/>
    </row>
    <row r="131">
      <c r="A131" s="132" t="n"/>
      <c r="B131" s="34" t="n"/>
      <c r="C131" s="41" t="n"/>
      <c r="D131" s="34" t="n"/>
      <c r="E131" s="34" t="n"/>
      <c r="F131" s="34" t="n"/>
      <c r="G131" s="34" t="n"/>
      <c r="H131" s="44" t="n"/>
      <c r="I131" s="44" t="n"/>
      <c r="J131" s="76">
        <f>IF(N($H131)=0,"",$I131/$H131)</f>
        <v/>
      </c>
      <c r="K131" s="34" t="n"/>
      <c r="L131" s="34" t="n"/>
      <c r="M131" s="41" t="n"/>
      <c r="N131" s="41" t="n"/>
      <c r="O131" s="34" t="n"/>
      <c r="P131" s="41" t="n"/>
    </row>
    <row r="132">
      <c r="A132" s="132" t="n"/>
      <c r="B132" s="34" t="n"/>
      <c r="C132" s="41" t="n"/>
      <c r="D132" s="34" t="n"/>
      <c r="E132" s="34" t="n"/>
      <c r="F132" s="34" t="n"/>
      <c r="G132" s="34" t="n"/>
      <c r="H132" s="44" t="n"/>
      <c r="I132" s="44" t="n"/>
      <c r="J132" s="76">
        <f>IF(N($H132)=0,"",$I132/$H132)</f>
        <v/>
      </c>
      <c r="K132" s="34" t="n"/>
      <c r="L132" s="34" t="n"/>
      <c r="M132" s="41" t="n"/>
      <c r="N132" s="41" t="n"/>
      <c r="O132" s="34" t="n"/>
      <c r="P132" s="41" t="n"/>
    </row>
    <row r="133">
      <c r="A133" s="132" t="n"/>
      <c r="B133" s="34" t="n"/>
      <c r="C133" s="41" t="n"/>
      <c r="D133" s="34" t="n"/>
      <c r="E133" s="34" t="n"/>
      <c r="F133" s="34" t="n"/>
      <c r="G133" s="34" t="n"/>
      <c r="H133" s="44" t="n"/>
      <c r="I133" s="44" t="n"/>
      <c r="J133" s="76">
        <f>IF(N($H133)=0,"",$I133/$H133)</f>
        <v/>
      </c>
      <c r="K133" s="34" t="n"/>
      <c r="L133" s="34" t="n"/>
      <c r="M133" s="41" t="n"/>
      <c r="N133" s="41" t="n"/>
      <c r="O133" s="34" t="n"/>
      <c r="P133" s="41" t="n"/>
    </row>
    <row r="134">
      <c r="A134" s="132" t="n"/>
      <c r="B134" s="34" t="n"/>
      <c r="C134" s="41" t="n"/>
      <c r="D134" s="34" t="n"/>
      <c r="E134" s="34" t="n"/>
      <c r="F134" s="34" t="n"/>
      <c r="G134" s="34" t="n"/>
      <c r="H134" s="44" t="n"/>
      <c r="I134" s="44" t="n"/>
      <c r="J134" s="76">
        <f>IF(N($H134)=0,"",$I134/$H134)</f>
        <v/>
      </c>
      <c r="K134" s="34" t="n"/>
      <c r="L134" s="34" t="n"/>
      <c r="M134" s="41" t="n"/>
      <c r="N134" s="41" t="n"/>
      <c r="O134" s="34" t="n"/>
      <c r="P134" s="41" t="n"/>
    </row>
    <row r="135">
      <c r="A135" s="132" t="n"/>
      <c r="B135" s="34" t="n"/>
      <c r="C135" s="41" t="n"/>
      <c r="D135" s="34" t="n"/>
      <c r="E135" s="34" t="n"/>
      <c r="F135" s="34" t="n"/>
      <c r="G135" s="34" t="n"/>
      <c r="H135" s="44" t="n"/>
      <c r="I135" s="44" t="n"/>
      <c r="J135" s="76">
        <f>IF(N($H135)=0,"",$I135/$H135)</f>
        <v/>
      </c>
      <c r="K135" s="34" t="n"/>
      <c r="L135" s="34" t="n"/>
      <c r="M135" s="41" t="n"/>
      <c r="N135" s="41" t="n"/>
      <c r="O135" s="34" t="n"/>
      <c r="P135" s="41" t="n"/>
    </row>
    <row r="136">
      <c r="A136" s="132" t="n"/>
      <c r="B136" s="34" t="n"/>
      <c r="C136" s="41" t="n"/>
      <c r="D136" s="34" t="n"/>
      <c r="E136" s="34" t="n"/>
      <c r="F136" s="34" t="n"/>
      <c r="G136" s="34" t="n"/>
      <c r="H136" s="44" t="n"/>
      <c r="I136" s="44" t="n"/>
      <c r="J136" s="76">
        <f>IF(N($H136)=0,"",$I136/$H136)</f>
        <v/>
      </c>
      <c r="K136" s="34" t="n"/>
      <c r="L136" s="34" t="n"/>
      <c r="M136" s="41" t="n"/>
      <c r="N136" s="41" t="n"/>
      <c r="O136" s="34" t="n"/>
      <c r="P136" s="41" t="n"/>
    </row>
    <row r="137">
      <c r="A137" s="132" t="n"/>
      <c r="B137" s="34" t="n"/>
      <c r="C137" s="41" t="n"/>
      <c r="D137" s="34" t="n"/>
      <c r="E137" s="34" t="n"/>
      <c r="F137" s="34" t="n"/>
      <c r="G137" s="34" t="n"/>
      <c r="H137" s="44" t="n"/>
      <c r="I137" s="44" t="n"/>
      <c r="J137" s="76">
        <f>IF(N($H137)=0,"",$I137/$H137)</f>
        <v/>
      </c>
      <c r="K137" s="34" t="n"/>
      <c r="L137" s="34" t="n"/>
      <c r="M137" s="41" t="n"/>
      <c r="N137" s="41" t="n"/>
      <c r="O137" s="34" t="n"/>
      <c r="P137" s="41" t="n"/>
    </row>
    <row r="138">
      <c r="A138" s="132" t="n"/>
      <c r="B138" s="34" t="n"/>
      <c r="C138" s="41" t="n"/>
      <c r="D138" s="34" t="n"/>
      <c r="E138" s="34" t="n"/>
      <c r="F138" s="34" t="n"/>
      <c r="G138" s="34" t="n"/>
      <c r="H138" s="44" t="n"/>
      <c r="I138" s="44" t="n"/>
      <c r="J138" s="76">
        <f>IF(N($H138)=0,"",$I138/$H138)</f>
        <v/>
      </c>
      <c r="K138" s="34" t="n"/>
      <c r="L138" s="34" t="n"/>
      <c r="M138" s="41" t="n"/>
      <c r="N138" s="41" t="n"/>
      <c r="O138" s="34" t="n"/>
      <c r="P138" s="41" t="n"/>
    </row>
    <row r="139">
      <c r="A139" s="132" t="n"/>
      <c r="B139" s="34" t="n"/>
      <c r="C139" s="41" t="n"/>
      <c r="D139" s="34" t="n"/>
      <c r="E139" s="34" t="n"/>
      <c r="F139" s="34" t="n"/>
      <c r="G139" s="34" t="n"/>
      <c r="H139" s="44" t="n"/>
      <c r="I139" s="44" t="n"/>
      <c r="J139" s="76">
        <f>IF(N($H139)=0,"",$I139/$H139)</f>
        <v/>
      </c>
      <c r="K139" s="34" t="n"/>
      <c r="L139" s="34" t="n"/>
      <c r="M139" s="41" t="n"/>
      <c r="N139" s="41" t="n"/>
      <c r="O139" s="34" t="n"/>
      <c r="P139" s="41" t="n"/>
    </row>
    <row r="140">
      <c r="A140" s="132" t="n"/>
      <c r="B140" s="34" t="n"/>
      <c r="C140" s="41" t="n"/>
      <c r="D140" s="34" t="n"/>
      <c r="E140" s="34" t="n"/>
      <c r="F140" s="34" t="n"/>
      <c r="G140" s="34" t="n"/>
      <c r="H140" s="44" t="n"/>
      <c r="I140" s="44" t="n"/>
      <c r="J140" s="76">
        <f>IF(N($H140)=0,"",$I140/$H140)</f>
        <v/>
      </c>
      <c r="K140" s="34" t="n"/>
      <c r="L140" s="34" t="n"/>
      <c r="M140" s="41" t="n"/>
      <c r="N140" s="41" t="n"/>
      <c r="O140" s="34" t="n"/>
      <c r="P140" s="41" t="n"/>
    </row>
    <row r="141">
      <c r="A141" s="132" t="n"/>
      <c r="B141" s="34" t="n"/>
      <c r="C141" s="41" t="n"/>
      <c r="D141" s="34" t="n"/>
      <c r="E141" s="34" t="n"/>
      <c r="F141" s="34" t="n"/>
      <c r="G141" s="34" t="n"/>
      <c r="H141" s="44" t="n"/>
      <c r="I141" s="44" t="n"/>
      <c r="J141" s="76">
        <f>IF(N($H141)=0,"",$I141/$H141)</f>
        <v/>
      </c>
      <c r="K141" s="34" t="n"/>
      <c r="L141" s="34" t="n"/>
      <c r="M141" s="41" t="n"/>
      <c r="N141" s="41" t="n"/>
      <c r="O141" s="34" t="n"/>
      <c r="P141" s="41" t="n"/>
    </row>
    <row r="142">
      <c r="A142" s="132" t="n"/>
      <c r="B142" s="34" t="n"/>
      <c r="C142" s="41" t="n"/>
      <c r="D142" s="34" t="n"/>
      <c r="E142" s="34" t="n"/>
      <c r="F142" s="34" t="n"/>
      <c r="G142" s="34" t="n"/>
      <c r="H142" s="44" t="n"/>
      <c r="I142" s="44" t="n"/>
      <c r="J142" s="76">
        <f>IF(N($H142)=0,"",$I142/$H142)</f>
        <v/>
      </c>
      <c r="K142" s="34" t="n"/>
      <c r="L142" s="34" t="n"/>
      <c r="M142" s="41" t="n"/>
      <c r="N142" s="41" t="n"/>
      <c r="O142" s="34" t="n"/>
      <c r="P142" s="41" t="n"/>
    </row>
    <row r="143">
      <c r="A143" s="132" t="n"/>
      <c r="B143" s="34" t="n"/>
      <c r="C143" s="41" t="n"/>
      <c r="D143" s="34" t="n"/>
      <c r="E143" s="34" t="n"/>
      <c r="F143" s="34" t="n"/>
      <c r="G143" s="34" t="n"/>
      <c r="H143" s="44" t="n"/>
      <c r="I143" s="44" t="n"/>
      <c r="J143" s="76">
        <f>IF(N($H143)=0,"",$I143/$H143)</f>
        <v/>
      </c>
      <c r="K143" s="34" t="n"/>
      <c r="L143" s="34" t="n"/>
      <c r="M143" s="41" t="n"/>
      <c r="N143" s="41" t="n"/>
      <c r="O143" s="34" t="n"/>
      <c r="P143" s="41" t="n"/>
    </row>
    <row r="144">
      <c r="A144" s="132" t="n"/>
      <c r="B144" s="34" t="n"/>
      <c r="C144" s="41" t="n"/>
      <c r="D144" s="34" t="n"/>
      <c r="E144" s="34" t="n"/>
      <c r="F144" s="34" t="n"/>
      <c r="G144" s="34" t="n"/>
      <c r="H144" s="44" t="n"/>
      <c r="I144" s="44" t="n"/>
      <c r="J144" s="76">
        <f>IF(N($H144)=0,"",$I144/$H144)</f>
        <v/>
      </c>
      <c r="K144" s="34" t="n"/>
      <c r="L144" s="34" t="n"/>
      <c r="M144" s="41" t="n"/>
      <c r="N144" s="41" t="n"/>
      <c r="O144" s="34" t="n"/>
      <c r="P144" s="41" t="n"/>
    </row>
    <row r="145">
      <c r="A145" s="132" t="n"/>
      <c r="B145" s="34" t="n"/>
      <c r="C145" s="41" t="n"/>
      <c r="D145" s="34" t="n"/>
      <c r="E145" s="34" t="n"/>
      <c r="F145" s="34" t="n"/>
      <c r="G145" s="34" t="n"/>
      <c r="H145" s="44" t="n"/>
      <c r="I145" s="44" t="n"/>
      <c r="J145" s="76">
        <f>IF(N($H145)=0,"",$I145/$H145)</f>
        <v/>
      </c>
      <c r="K145" s="34" t="n"/>
      <c r="L145" s="34" t="n"/>
      <c r="M145" s="41" t="n"/>
      <c r="N145" s="41" t="n"/>
      <c r="O145" s="34" t="n"/>
      <c r="P145" s="41" t="n"/>
    </row>
    <row r="146">
      <c r="A146" s="132" t="n"/>
      <c r="B146" s="34" t="n"/>
      <c r="C146" s="41" t="n"/>
      <c r="D146" s="34" t="n"/>
      <c r="E146" s="34" t="n"/>
      <c r="F146" s="34" t="n"/>
      <c r="G146" s="34" t="n"/>
      <c r="H146" s="44" t="n"/>
      <c r="I146" s="44" t="n"/>
      <c r="J146" s="76">
        <f>IF(N($H146)=0,"",$I146/$H146)</f>
        <v/>
      </c>
      <c r="K146" s="34" t="n"/>
      <c r="L146" s="34" t="n"/>
      <c r="M146" s="41" t="n"/>
      <c r="N146" s="41" t="n"/>
      <c r="O146" s="34" t="n"/>
      <c r="P146" s="41" t="n"/>
    </row>
    <row r="147">
      <c r="A147" s="132" t="n"/>
      <c r="B147" s="34" t="n"/>
      <c r="C147" s="41" t="n"/>
      <c r="D147" s="34" t="n"/>
      <c r="E147" s="34" t="n"/>
      <c r="F147" s="34" t="n"/>
      <c r="G147" s="34" t="n"/>
      <c r="H147" s="44" t="n"/>
      <c r="I147" s="44" t="n"/>
      <c r="J147" s="76">
        <f>IF(N($H147)=0,"",$I147/$H147)</f>
        <v/>
      </c>
      <c r="K147" s="34" t="n"/>
      <c r="L147" s="34" t="n"/>
      <c r="M147" s="41" t="n"/>
      <c r="N147" s="41" t="n"/>
      <c r="O147" s="34" t="n"/>
      <c r="P147" s="41" t="n"/>
    </row>
    <row r="148">
      <c r="A148" s="132" t="n"/>
      <c r="B148" s="34" t="n"/>
      <c r="C148" s="41" t="n"/>
      <c r="D148" s="34" t="n"/>
      <c r="E148" s="34" t="n"/>
      <c r="F148" s="34" t="n"/>
      <c r="G148" s="34" t="n"/>
      <c r="H148" s="44" t="n"/>
      <c r="I148" s="44" t="n"/>
      <c r="J148" s="76">
        <f>IF(N($H148)=0,"",$I148/$H148)</f>
        <v/>
      </c>
      <c r="K148" s="34" t="n"/>
      <c r="L148" s="34" t="n"/>
      <c r="M148" s="41" t="n"/>
      <c r="N148" s="41" t="n"/>
      <c r="O148" s="34" t="n"/>
      <c r="P148" s="41" t="n"/>
    </row>
    <row r="149">
      <c r="A149" s="132" t="n"/>
      <c r="B149" s="34" t="n"/>
      <c r="C149" s="41" t="n"/>
      <c r="D149" s="34" t="n"/>
      <c r="E149" s="34" t="n"/>
      <c r="F149" s="34" t="n"/>
      <c r="G149" s="34" t="n"/>
      <c r="H149" s="44" t="n"/>
      <c r="I149" s="44" t="n"/>
      <c r="J149" s="76">
        <f>IF(N($H149)=0,"",$I149/$H149)</f>
        <v/>
      </c>
      <c r="K149" s="34" t="n"/>
      <c r="L149" s="34" t="n"/>
      <c r="M149" s="41" t="n"/>
      <c r="N149" s="41" t="n"/>
      <c r="O149" s="34" t="n"/>
      <c r="P149" s="41" t="n"/>
    </row>
    <row r="150">
      <c r="A150" s="132" t="n"/>
      <c r="B150" s="34" t="n"/>
      <c r="C150" s="41" t="n"/>
      <c r="D150" s="34" t="n"/>
      <c r="E150" s="34" t="n"/>
      <c r="F150" s="34" t="n"/>
      <c r="G150" s="34" t="n"/>
      <c r="H150" s="44" t="n"/>
      <c r="I150" s="44" t="n"/>
      <c r="J150" s="76">
        <f>IF(N($H150)=0,"",$I150/$H150)</f>
        <v/>
      </c>
      <c r="K150" s="34" t="n"/>
      <c r="L150" s="34" t="n"/>
      <c r="M150" s="41" t="n"/>
      <c r="N150" s="41" t="n"/>
      <c r="O150" s="34" t="n"/>
      <c r="P150" s="41" t="n"/>
    </row>
    <row r="151">
      <c r="A151" s="132" t="n"/>
      <c r="B151" s="34" t="n"/>
      <c r="C151" s="41" t="n"/>
      <c r="D151" s="34" t="n"/>
      <c r="E151" s="34" t="n"/>
      <c r="F151" s="34" t="n"/>
      <c r="G151" s="34" t="n"/>
      <c r="H151" s="44" t="n"/>
      <c r="I151" s="44" t="n"/>
      <c r="J151" s="76">
        <f>IF(N($H151)=0,"",$I151/$H151)</f>
        <v/>
      </c>
      <c r="K151" s="34" t="n"/>
      <c r="L151" s="34" t="n"/>
      <c r="M151" s="41" t="n"/>
      <c r="N151" s="41" t="n"/>
      <c r="O151" s="34" t="n"/>
      <c r="P151" s="41" t="n"/>
    </row>
    <row r="152">
      <c r="A152" s="132" t="n"/>
      <c r="B152" s="34" t="n"/>
      <c r="C152" s="41" t="n"/>
      <c r="D152" s="34" t="n"/>
      <c r="E152" s="34" t="n"/>
      <c r="F152" s="34" t="n"/>
      <c r="G152" s="34" t="n"/>
      <c r="H152" s="44" t="n"/>
      <c r="I152" s="44" t="n"/>
      <c r="J152" s="76">
        <f>IF(N($H152)=0,"",$I152/$H152)</f>
        <v/>
      </c>
      <c r="K152" s="34" t="n"/>
      <c r="L152" s="34" t="n"/>
      <c r="M152" s="41" t="n"/>
      <c r="N152" s="41" t="n"/>
      <c r="O152" s="34" t="n"/>
      <c r="P152" s="41" t="n"/>
    </row>
    <row r="153">
      <c r="A153" s="132" t="n"/>
      <c r="B153" s="34" t="n"/>
      <c r="C153" s="41" t="n"/>
      <c r="D153" s="34" t="n"/>
      <c r="E153" s="34" t="n"/>
      <c r="F153" s="34" t="n"/>
      <c r="G153" s="34" t="n"/>
      <c r="H153" s="44" t="n"/>
      <c r="I153" s="44" t="n"/>
      <c r="J153" s="76">
        <f>IF(N($H153)=0,"",$I153/$H153)</f>
        <v/>
      </c>
      <c r="K153" s="34" t="n"/>
      <c r="L153" s="34" t="n"/>
      <c r="M153" s="41" t="n"/>
      <c r="N153" s="41" t="n"/>
      <c r="O153" s="34" t="n"/>
      <c r="P153" s="41" t="n"/>
    </row>
    <row r="154">
      <c r="A154" s="132" t="n"/>
      <c r="B154" s="34" t="n"/>
      <c r="C154" s="41" t="n"/>
      <c r="D154" s="34" t="n"/>
      <c r="E154" s="34" t="n"/>
      <c r="F154" s="34" t="n"/>
      <c r="G154" s="34" t="n"/>
      <c r="H154" s="44" t="n"/>
      <c r="I154" s="44" t="n"/>
      <c r="J154" s="76">
        <f>IF(N($H154)=0,"",$I154/$H154)</f>
        <v/>
      </c>
      <c r="K154" s="34" t="n"/>
      <c r="L154" s="34" t="n"/>
      <c r="M154" s="41" t="n"/>
      <c r="N154" s="41" t="n"/>
      <c r="O154" s="34" t="n"/>
      <c r="P154" s="41" t="n"/>
    </row>
    <row r="155">
      <c r="A155" s="132" t="n"/>
      <c r="B155" s="34" t="n"/>
      <c r="C155" s="41" t="n"/>
      <c r="D155" s="34" t="n"/>
      <c r="E155" s="34" t="n"/>
      <c r="F155" s="34" t="n"/>
      <c r="G155" s="34" t="n"/>
      <c r="H155" s="44" t="n"/>
      <c r="I155" s="44" t="n"/>
      <c r="J155" s="76">
        <f>IF(N($H155)=0,"",$I155/$H155)</f>
        <v/>
      </c>
      <c r="K155" s="34" t="n"/>
      <c r="L155" s="34" t="n"/>
      <c r="M155" s="41" t="n"/>
      <c r="N155" s="41" t="n"/>
      <c r="O155" s="34" t="n"/>
      <c r="P155" s="41" t="n"/>
    </row>
    <row r="156">
      <c r="A156" s="132" t="n"/>
      <c r="B156" s="34" t="n"/>
      <c r="C156" s="41" t="n"/>
      <c r="D156" s="34" t="n"/>
      <c r="E156" s="34" t="n"/>
      <c r="F156" s="34" t="n"/>
      <c r="G156" s="34" t="n"/>
      <c r="H156" s="44" t="n"/>
      <c r="I156" s="44" t="n"/>
      <c r="J156" s="76">
        <f>IF(N($H156)=0,"",$I156/$H156)</f>
        <v/>
      </c>
      <c r="K156" s="34" t="n"/>
      <c r="L156" s="34" t="n"/>
      <c r="M156" s="41" t="n"/>
      <c r="N156" s="41" t="n"/>
      <c r="O156" s="34" t="n"/>
      <c r="P156" s="41" t="n"/>
    </row>
    <row r="157">
      <c r="A157" s="132" t="n"/>
      <c r="B157" s="34" t="n"/>
      <c r="C157" s="41" t="n"/>
      <c r="D157" s="34" t="n"/>
      <c r="E157" s="34" t="n"/>
      <c r="F157" s="34" t="n"/>
      <c r="G157" s="34" t="n"/>
      <c r="H157" s="44" t="n"/>
      <c r="I157" s="44" t="n"/>
      <c r="J157" s="76">
        <f>IF(N($H157)=0,"",$I157/$H157)</f>
        <v/>
      </c>
      <c r="K157" s="34" t="n"/>
      <c r="L157" s="34" t="n"/>
      <c r="M157" s="41" t="n"/>
      <c r="N157" s="41" t="n"/>
      <c r="O157" s="34" t="n"/>
      <c r="P157" s="41" t="n"/>
    </row>
    <row r="158">
      <c r="A158" s="132" t="n"/>
      <c r="B158" s="34" t="n"/>
      <c r="C158" s="41" t="n"/>
      <c r="D158" s="34" t="n"/>
      <c r="E158" s="34" t="n"/>
      <c r="F158" s="34" t="n"/>
      <c r="G158" s="34" t="n"/>
      <c r="H158" s="44" t="n"/>
      <c r="I158" s="44" t="n"/>
      <c r="J158" s="76">
        <f>IF(N($H158)=0,"",$I158/$H158)</f>
        <v/>
      </c>
      <c r="K158" s="34" t="n"/>
      <c r="L158" s="34" t="n"/>
      <c r="M158" s="41" t="n"/>
      <c r="N158" s="41" t="n"/>
      <c r="O158" s="34" t="n"/>
      <c r="P158" s="41" t="n"/>
    </row>
    <row r="159">
      <c r="A159" s="132" t="n"/>
      <c r="B159" s="34" t="n"/>
      <c r="C159" s="41" t="n"/>
      <c r="D159" s="34" t="n"/>
      <c r="E159" s="34" t="n"/>
      <c r="F159" s="34" t="n"/>
      <c r="G159" s="34" t="n"/>
      <c r="H159" s="44" t="n"/>
      <c r="I159" s="44" t="n"/>
      <c r="J159" s="76">
        <f>IF(N($H159)=0,"",$I159/$H159)</f>
        <v/>
      </c>
      <c r="K159" s="34" t="n"/>
      <c r="L159" s="34" t="n"/>
      <c r="M159" s="41" t="n"/>
      <c r="N159" s="41" t="n"/>
      <c r="O159" s="34" t="n"/>
      <c r="P159" s="41" t="n"/>
    </row>
    <row r="160">
      <c r="A160" s="132" t="n"/>
      <c r="B160" s="34" t="n"/>
      <c r="C160" s="41" t="n"/>
      <c r="D160" s="34" t="n"/>
      <c r="E160" s="34" t="n"/>
      <c r="F160" s="34" t="n"/>
      <c r="G160" s="34" t="n"/>
      <c r="H160" s="44" t="n"/>
      <c r="I160" s="44" t="n"/>
      <c r="J160" s="76">
        <f>IF(N($H160)=0,"",$I160/$H160)</f>
        <v/>
      </c>
      <c r="K160" s="34" t="n"/>
      <c r="L160" s="34" t="n"/>
      <c r="M160" s="41" t="n"/>
      <c r="N160" s="41" t="n"/>
      <c r="O160" s="34" t="n"/>
      <c r="P160" s="41" t="n"/>
    </row>
    <row r="161">
      <c r="A161" s="132" t="n"/>
      <c r="B161" s="34" t="n"/>
      <c r="C161" s="41" t="n"/>
      <c r="D161" s="34" t="n"/>
      <c r="E161" s="34" t="n"/>
      <c r="F161" s="34" t="n"/>
      <c r="G161" s="34" t="n"/>
      <c r="H161" s="44" t="n"/>
      <c r="I161" s="44" t="n"/>
      <c r="J161" s="76">
        <f>IF(N($H161)=0,"",$I161/$H161)</f>
        <v/>
      </c>
      <c r="K161" s="34" t="n"/>
      <c r="L161" s="34" t="n"/>
      <c r="M161" s="41" t="n"/>
      <c r="N161" s="41" t="n"/>
      <c r="O161" s="34" t="n"/>
      <c r="P161" s="41" t="n"/>
    </row>
    <row r="162">
      <c r="A162" s="132" t="n"/>
      <c r="B162" s="34" t="n"/>
      <c r="C162" s="41" t="n"/>
      <c r="D162" s="34" t="n"/>
      <c r="E162" s="34" t="n"/>
      <c r="F162" s="34" t="n"/>
      <c r="G162" s="34" t="n"/>
      <c r="H162" s="44" t="n"/>
      <c r="I162" s="44" t="n"/>
      <c r="J162" s="76">
        <f>IF(N($H162)=0,"",$I162/$H162)</f>
        <v/>
      </c>
      <c r="K162" s="34" t="n"/>
      <c r="L162" s="34" t="n"/>
      <c r="M162" s="41" t="n"/>
      <c r="N162" s="41" t="n"/>
      <c r="O162" s="34" t="n"/>
      <c r="P162" s="41" t="n"/>
    </row>
    <row r="163">
      <c r="A163" s="132" t="n"/>
      <c r="B163" s="34" t="n"/>
      <c r="C163" s="41" t="n"/>
      <c r="D163" s="34" t="n"/>
      <c r="E163" s="34" t="n"/>
      <c r="F163" s="34" t="n"/>
      <c r="G163" s="34" t="n"/>
      <c r="H163" s="44" t="n"/>
      <c r="I163" s="44" t="n"/>
      <c r="J163" s="76">
        <f>IF(N($H163)=0,"",$I163/$H163)</f>
        <v/>
      </c>
      <c r="K163" s="34" t="n"/>
      <c r="L163" s="34" t="n"/>
      <c r="M163" s="41" t="n"/>
      <c r="N163" s="41" t="n"/>
      <c r="O163" s="34" t="n"/>
      <c r="P163" s="41" t="n"/>
    </row>
    <row r="164">
      <c r="A164" s="132" t="n"/>
      <c r="B164" s="34" t="n"/>
      <c r="C164" s="41" t="n"/>
      <c r="D164" s="34" t="n"/>
      <c r="E164" s="34" t="n"/>
      <c r="F164" s="34" t="n"/>
      <c r="G164" s="34" t="n"/>
      <c r="H164" s="44" t="n"/>
      <c r="I164" s="44" t="n"/>
      <c r="J164" s="76">
        <f>IF(N($H164)=0,"",$I164/$H164)</f>
        <v/>
      </c>
      <c r="K164" s="34" t="n"/>
      <c r="L164" s="34" t="n"/>
      <c r="M164" s="41" t="n"/>
      <c r="N164" s="41" t="n"/>
      <c r="O164" s="34" t="n"/>
      <c r="P164" s="41" t="n"/>
    </row>
    <row r="165">
      <c r="A165" s="132" t="n"/>
      <c r="B165" s="34" t="n"/>
      <c r="C165" s="41" t="n"/>
      <c r="D165" s="34" t="n"/>
      <c r="E165" s="34" t="n"/>
      <c r="F165" s="34" t="n"/>
      <c r="G165" s="34" t="n"/>
      <c r="H165" s="44" t="n"/>
      <c r="I165" s="44" t="n"/>
      <c r="J165" s="76">
        <f>IF(N($H165)=0,"",$I165/$H165)</f>
        <v/>
      </c>
      <c r="K165" s="34" t="n"/>
      <c r="L165" s="34" t="n"/>
      <c r="M165" s="41" t="n"/>
      <c r="N165" s="41" t="n"/>
      <c r="O165" s="34" t="n"/>
      <c r="P165" s="41" t="n"/>
    </row>
    <row r="166">
      <c r="A166" s="132" t="n"/>
      <c r="B166" s="34" t="n"/>
      <c r="C166" s="41" t="n"/>
      <c r="D166" s="34" t="n"/>
      <c r="E166" s="34" t="n"/>
      <c r="F166" s="34" t="n"/>
      <c r="G166" s="34" t="n"/>
      <c r="H166" s="44" t="n"/>
      <c r="I166" s="44" t="n"/>
      <c r="J166" s="76">
        <f>IF(N($H166)=0,"",$I166/$H166)</f>
        <v/>
      </c>
      <c r="K166" s="34" t="n"/>
      <c r="L166" s="34" t="n"/>
      <c r="M166" s="41" t="n"/>
      <c r="N166" s="41" t="n"/>
      <c r="O166" s="34" t="n"/>
      <c r="P166" s="41" t="n"/>
    </row>
    <row r="167">
      <c r="A167" s="132" t="n"/>
      <c r="B167" s="34" t="n"/>
      <c r="C167" s="41" t="n"/>
      <c r="D167" s="34" t="n"/>
      <c r="E167" s="34" t="n"/>
      <c r="F167" s="34" t="n"/>
      <c r="G167" s="34" t="n"/>
      <c r="H167" s="44" t="n"/>
      <c r="I167" s="44" t="n"/>
      <c r="J167" s="76">
        <f>IF(N($H167)=0,"",$I167/$H167)</f>
        <v/>
      </c>
      <c r="K167" s="34" t="n"/>
      <c r="L167" s="34" t="n"/>
      <c r="M167" s="41" t="n"/>
      <c r="N167" s="41" t="n"/>
      <c r="O167" s="34" t="n"/>
      <c r="P167" s="41" t="n"/>
    </row>
    <row r="168">
      <c r="A168" s="132" t="n"/>
      <c r="B168" s="34" t="n"/>
      <c r="C168" s="41" t="n"/>
      <c r="D168" s="34" t="n"/>
      <c r="E168" s="34" t="n"/>
      <c r="F168" s="34" t="n"/>
      <c r="G168" s="34" t="n"/>
      <c r="H168" s="44" t="n"/>
      <c r="I168" s="44" t="n"/>
      <c r="J168" s="76">
        <f>IF(N($H168)=0,"",$I168/$H168)</f>
        <v/>
      </c>
      <c r="K168" s="34" t="n"/>
      <c r="L168" s="34" t="n"/>
      <c r="M168" s="41" t="n"/>
      <c r="N168" s="41" t="n"/>
      <c r="O168" s="34" t="n"/>
      <c r="P168" s="41" t="n"/>
    </row>
    <row r="169">
      <c r="A169" s="132" t="n"/>
      <c r="B169" s="34" t="n"/>
      <c r="C169" s="41" t="n"/>
      <c r="D169" s="34" t="n"/>
      <c r="E169" s="34" t="n"/>
      <c r="F169" s="34" t="n"/>
      <c r="G169" s="34" t="n"/>
      <c r="H169" s="44" t="n"/>
      <c r="I169" s="44" t="n"/>
      <c r="J169" s="76">
        <f>IF(N($H169)=0,"",$I169/$H169)</f>
        <v/>
      </c>
      <c r="K169" s="34" t="n"/>
      <c r="L169" s="34" t="n"/>
      <c r="M169" s="41" t="n"/>
      <c r="N169" s="41" t="n"/>
      <c r="O169" s="34" t="n"/>
      <c r="P169" s="41" t="n"/>
    </row>
    <row r="170">
      <c r="A170" s="132" t="n"/>
      <c r="B170" s="34" t="n"/>
      <c r="C170" s="41" t="n"/>
      <c r="D170" s="34" t="n"/>
      <c r="E170" s="34" t="n"/>
      <c r="F170" s="34" t="n"/>
      <c r="G170" s="34" t="n"/>
      <c r="H170" s="44" t="n"/>
      <c r="I170" s="44" t="n"/>
      <c r="J170" s="76">
        <f>IF(N($H170)=0,"",$I170/$H170)</f>
        <v/>
      </c>
      <c r="K170" s="34" t="n"/>
      <c r="L170" s="34" t="n"/>
      <c r="M170" s="41" t="n"/>
      <c r="N170" s="41" t="n"/>
      <c r="O170" s="34" t="n"/>
      <c r="P170" s="41" t="n"/>
    </row>
    <row r="171">
      <c r="A171" s="132" t="n"/>
      <c r="B171" s="34" t="n"/>
      <c r="C171" s="41" t="n"/>
      <c r="D171" s="34" t="n"/>
      <c r="E171" s="34" t="n"/>
      <c r="F171" s="34" t="n"/>
      <c r="G171" s="34" t="n"/>
      <c r="H171" s="44" t="n"/>
      <c r="I171" s="44" t="n"/>
      <c r="J171" s="76">
        <f>IF(N($H171)=0,"",$I171/$H171)</f>
        <v/>
      </c>
      <c r="K171" s="34" t="n"/>
      <c r="L171" s="34" t="n"/>
      <c r="M171" s="41" t="n"/>
      <c r="N171" s="41" t="n"/>
      <c r="O171" s="34" t="n"/>
      <c r="P171" s="41" t="n"/>
    </row>
    <row r="172">
      <c r="A172" s="132" t="n"/>
      <c r="B172" s="34" t="n"/>
      <c r="C172" s="41" t="n"/>
      <c r="D172" s="34" t="n"/>
      <c r="E172" s="34" t="n"/>
      <c r="F172" s="34" t="n"/>
      <c r="G172" s="34" t="n"/>
      <c r="H172" s="44" t="n"/>
      <c r="I172" s="44" t="n"/>
      <c r="J172" s="76">
        <f>IF(N($H172)=0,"",$I172/$H172)</f>
        <v/>
      </c>
      <c r="K172" s="34" t="n"/>
      <c r="L172" s="34" t="n"/>
      <c r="M172" s="41" t="n"/>
      <c r="N172" s="41" t="n"/>
      <c r="O172" s="34" t="n"/>
      <c r="P172" s="41" t="n"/>
    </row>
    <row r="173">
      <c r="A173" s="132" t="n"/>
      <c r="B173" s="34" t="n"/>
      <c r="C173" s="41" t="n"/>
      <c r="D173" s="34" t="n"/>
      <c r="E173" s="34" t="n"/>
      <c r="F173" s="34" t="n"/>
      <c r="G173" s="34" t="n"/>
      <c r="H173" s="44" t="n"/>
      <c r="I173" s="44" t="n"/>
      <c r="J173" s="76">
        <f>IF(N($H173)=0,"",$I173/$H173)</f>
        <v/>
      </c>
      <c r="K173" s="34" t="n"/>
      <c r="L173" s="34" t="n"/>
      <c r="M173" s="41" t="n"/>
      <c r="N173" s="41" t="n"/>
      <c r="O173" s="34" t="n"/>
      <c r="P173" s="41" t="n"/>
    </row>
    <row r="174">
      <c r="A174" s="132" t="n"/>
      <c r="B174" s="34" t="n"/>
      <c r="C174" s="41" t="n"/>
      <c r="D174" s="34" t="n"/>
      <c r="E174" s="34" t="n"/>
      <c r="F174" s="34" t="n"/>
      <c r="G174" s="34" t="n"/>
      <c r="H174" s="44" t="n"/>
      <c r="I174" s="44" t="n"/>
      <c r="J174" s="76">
        <f>IF(N($H174)=0,"",$I174/$H174)</f>
        <v/>
      </c>
      <c r="K174" s="34" t="n"/>
      <c r="L174" s="34" t="n"/>
      <c r="M174" s="41" t="n"/>
      <c r="N174" s="41" t="n"/>
      <c r="O174" s="34" t="n"/>
      <c r="P174" s="41" t="n"/>
    </row>
    <row r="175">
      <c r="A175" s="132" t="n"/>
      <c r="B175" s="34" t="n"/>
      <c r="C175" s="41" t="n"/>
      <c r="D175" s="34" t="n"/>
      <c r="E175" s="34" t="n"/>
      <c r="F175" s="34" t="n"/>
      <c r="G175" s="34" t="n"/>
      <c r="H175" s="44" t="n"/>
      <c r="I175" s="44" t="n"/>
      <c r="J175" s="76">
        <f>IF(N($H175)=0,"",$I175/$H175)</f>
        <v/>
      </c>
      <c r="K175" s="34" t="n"/>
      <c r="L175" s="34" t="n"/>
      <c r="M175" s="41" t="n"/>
      <c r="N175" s="41" t="n"/>
      <c r="O175" s="34" t="n"/>
      <c r="P175" s="41" t="n"/>
    </row>
    <row r="176">
      <c r="A176" s="132" t="n"/>
      <c r="B176" s="34" t="n"/>
      <c r="C176" s="41" t="n"/>
      <c r="D176" s="34" t="n"/>
      <c r="E176" s="34" t="n"/>
      <c r="F176" s="34" t="n"/>
      <c r="G176" s="34" t="n"/>
      <c r="H176" s="44" t="n"/>
      <c r="I176" s="44" t="n"/>
      <c r="J176" s="76">
        <f>IF(N($H176)=0,"",$I176/$H176)</f>
        <v/>
      </c>
      <c r="K176" s="34" t="n"/>
      <c r="L176" s="34" t="n"/>
      <c r="M176" s="41" t="n"/>
      <c r="N176" s="41" t="n"/>
      <c r="O176" s="34" t="n"/>
      <c r="P176" s="41" t="n"/>
    </row>
    <row r="177">
      <c r="A177" s="132" t="n"/>
      <c r="B177" s="34" t="n"/>
      <c r="C177" s="41" t="n"/>
      <c r="D177" s="34" t="n"/>
      <c r="E177" s="34" t="n"/>
      <c r="F177" s="34" t="n"/>
      <c r="G177" s="34" t="n"/>
      <c r="H177" s="44" t="n"/>
      <c r="I177" s="44" t="n"/>
      <c r="J177" s="76">
        <f>IF(N($H177)=0,"",$I177/$H177)</f>
        <v/>
      </c>
      <c r="K177" s="34" t="n"/>
      <c r="L177" s="34" t="n"/>
      <c r="M177" s="41" t="n"/>
      <c r="N177" s="41" t="n"/>
      <c r="O177" s="34" t="n"/>
      <c r="P177" s="41" t="n"/>
    </row>
    <row r="178">
      <c r="A178" s="132" t="n"/>
      <c r="B178" s="34" t="n"/>
      <c r="C178" s="41" t="n"/>
      <c r="D178" s="34" t="n"/>
      <c r="E178" s="34" t="n"/>
      <c r="F178" s="34" t="n"/>
      <c r="G178" s="34" t="n"/>
      <c r="H178" s="44" t="n"/>
      <c r="I178" s="44" t="n"/>
      <c r="J178" s="76">
        <f>IF(N($H178)=0,"",$I178/$H178)</f>
        <v/>
      </c>
      <c r="K178" s="34" t="n"/>
      <c r="L178" s="34" t="n"/>
      <c r="M178" s="41" t="n"/>
      <c r="N178" s="41" t="n"/>
      <c r="O178" s="34" t="n"/>
      <c r="P178" s="41" t="n"/>
    </row>
    <row r="179">
      <c r="A179" s="132" t="n"/>
      <c r="B179" s="34" t="n"/>
      <c r="C179" s="41" t="n"/>
      <c r="D179" s="34" t="n"/>
      <c r="E179" s="34" t="n"/>
      <c r="F179" s="34" t="n"/>
      <c r="G179" s="34" t="n"/>
      <c r="H179" s="44" t="n"/>
      <c r="I179" s="44" t="n"/>
      <c r="J179" s="76">
        <f>IF(N($H179)=0,"",$I179/$H179)</f>
        <v/>
      </c>
      <c r="K179" s="34" t="n"/>
      <c r="L179" s="34" t="n"/>
      <c r="M179" s="41" t="n"/>
      <c r="N179" s="41" t="n"/>
      <c r="O179" s="34" t="n"/>
      <c r="P179" s="41" t="n"/>
    </row>
    <row r="180">
      <c r="A180" s="132" t="n"/>
      <c r="B180" s="34" t="n"/>
      <c r="C180" s="41" t="n"/>
      <c r="D180" s="34" t="n"/>
      <c r="E180" s="34" t="n"/>
      <c r="F180" s="34" t="n"/>
      <c r="G180" s="34" t="n"/>
      <c r="H180" s="44" t="n"/>
      <c r="I180" s="44" t="n"/>
      <c r="J180" s="76">
        <f>IF(N($H180)=0,"",$I180/$H180)</f>
        <v/>
      </c>
      <c r="K180" s="34" t="n"/>
      <c r="L180" s="34" t="n"/>
      <c r="M180" s="41" t="n"/>
      <c r="N180" s="41" t="n"/>
      <c r="O180" s="34" t="n"/>
      <c r="P180" s="41" t="n"/>
    </row>
    <row r="181">
      <c r="A181" s="132" t="n"/>
      <c r="B181" s="34" t="n"/>
      <c r="C181" s="41" t="n"/>
      <c r="D181" s="34" t="n"/>
      <c r="E181" s="34" t="n"/>
      <c r="F181" s="34" t="n"/>
      <c r="G181" s="34" t="n"/>
      <c r="H181" s="44" t="n"/>
      <c r="I181" s="44" t="n"/>
      <c r="J181" s="76">
        <f>IF(N($H181)=0,"",$I181/$H181)</f>
        <v/>
      </c>
      <c r="K181" s="34" t="n"/>
      <c r="L181" s="34" t="n"/>
      <c r="M181" s="41" t="n"/>
      <c r="N181" s="41" t="n"/>
      <c r="O181" s="34" t="n"/>
      <c r="P181" s="41" t="n"/>
    </row>
    <row r="182">
      <c r="A182" s="132" t="n"/>
      <c r="B182" s="34" t="n"/>
      <c r="C182" s="41" t="n"/>
      <c r="D182" s="34" t="n"/>
      <c r="E182" s="34" t="n"/>
      <c r="F182" s="34" t="n"/>
      <c r="G182" s="34" t="n"/>
      <c r="H182" s="44" t="n"/>
      <c r="I182" s="44" t="n"/>
      <c r="J182" s="76">
        <f>IF(N($H182)=0,"",$I182/$H182)</f>
        <v/>
      </c>
      <c r="K182" s="34" t="n"/>
      <c r="L182" s="34" t="n"/>
      <c r="M182" s="41" t="n"/>
      <c r="N182" s="41" t="n"/>
      <c r="O182" s="34" t="n"/>
      <c r="P182" s="41" t="n"/>
    </row>
    <row r="183">
      <c r="A183" s="132" t="n"/>
      <c r="B183" s="34" t="n"/>
      <c r="C183" s="41" t="n"/>
      <c r="D183" s="34" t="n"/>
      <c r="E183" s="34" t="n"/>
      <c r="F183" s="34" t="n"/>
      <c r="G183" s="34" t="n"/>
      <c r="H183" s="44" t="n"/>
      <c r="I183" s="44" t="n"/>
      <c r="J183" s="76">
        <f>IF(N($H183)=0,"",$I183/$H183)</f>
        <v/>
      </c>
      <c r="K183" s="34" t="n"/>
      <c r="L183" s="34" t="n"/>
      <c r="M183" s="41" t="n"/>
      <c r="N183" s="41" t="n"/>
      <c r="O183" s="34" t="n"/>
      <c r="P183" s="41" t="n"/>
    </row>
    <row r="184">
      <c r="A184" s="132" t="n"/>
      <c r="B184" s="34" t="n"/>
      <c r="C184" s="41" t="n"/>
      <c r="D184" s="34" t="n"/>
      <c r="E184" s="34" t="n"/>
      <c r="F184" s="34" t="n"/>
      <c r="G184" s="34" t="n"/>
      <c r="H184" s="44" t="n"/>
      <c r="I184" s="44" t="n"/>
      <c r="J184" s="76">
        <f>IF(N($H184)=0,"",$I184/$H184)</f>
        <v/>
      </c>
      <c r="K184" s="34" t="n"/>
      <c r="L184" s="34" t="n"/>
      <c r="M184" s="41" t="n"/>
      <c r="N184" s="41" t="n"/>
      <c r="O184" s="34" t="n"/>
      <c r="P184" s="41" t="n"/>
    </row>
    <row r="185">
      <c r="A185" s="132" t="n"/>
      <c r="B185" s="34" t="n"/>
      <c r="C185" s="41" t="n"/>
      <c r="D185" s="34" t="n"/>
      <c r="E185" s="34" t="n"/>
      <c r="F185" s="34" t="n"/>
      <c r="G185" s="34" t="n"/>
      <c r="H185" s="44" t="n"/>
      <c r="I185" s="44" t="n"/>
      <c r="J185" s="76">
        <f>IF(N($H185)=0,"",$I185/$H185)</f>
        <v/>
      </c>
      <c r="K185" s="34" t="n"/>
      <c r="L185" s="34" t="n"/>
      <c r="M185" s="41" t="n"/>
      <c r="N185" s="41" t="n"/>
      <c r="O185" s="34" t="n"/>
      <c r="P185" s="41" t="n"/>
    </row>
    <row r="186">
      <c r="A186" s="132" t="n"/>
      <c r="B186" s="34" t="n"/>
      <c r="C186" s="41" t="n"/>
      <c r="D186" s="34" t="n"/>
      <c r="E186" s="34" t="n"/>
      <c r="F186" s="34" t="n"/>
      <c r="G186" s="34" t="n"/>
      <c r="H186" s="44" t="n"/>
      <c r="I186" s="44" t="n"/>
      <c r="J186" s="76">
        <f>IF(N($H186)=0,"",$I186/$H186)</f>
        <v/>
      </c>
      <c r="K186" s="34" t="n"/>
      <c r="L186" s="34" t="n"/>
      <c r="M186" s="41" t="n"/>
      <c r="N186" s="41" t="n"/>
      <c r="O186" s="34" t="n"/>
      <c r="P186" s="41" t="n"/>
    </row>
    <row r="187">
      <c r="A187" s="132" t="n"/>
      <c r="B187" s="34" t="n"/>
      <c r="C187" s="41" t="n"/>
      <c r="D187" s="34" t="n"/>
      <c r="E187" s="34" t="n"/>
      <c r="F187" s="34" t="n"/>
      <c r="G187" s="34" t="n"/>
      <c r="H187" s="44" t="n"/>
      <c r="I187" s="44" t="n"/>
      <c r="J187" s="76">
        <f>IF(N($H187)=0,"",$I187/$H187)</f>
        <v/>
      </c>
      <c r="K187" s="34" t="n"/>
      <c r="L187" s="34" t="n"/>
      <c r="M187" s="41" t="n"/>
      <c r="N187" s="41" t="n"/>
      <c r="O187" s="34" t="n"/>
      <c r="P187" s="41" t="n"/>
    </row>
    <row r="188">
      <c r="A188" s="132" t="n"/>
      <c r="B188" s="34" t="n"/>
      <c r="C188" s="41" t="n"/>
      <c r="D188" s="34" t="n"/>
      <c r="E188" s="34" t="n"/>
      <c r="F188" s="34" t="n"/>
      <c r="G188" s="34" t="n"/>
      <c r="H188" s="44" t="n"/>
      <c r="I188" s="44" t="n"/>
      <c r="J188" s="76">
        <f>IF(N($H188)=0,"",$I188/$H188)</f>
        <v/>
      </c>
      <c r="K188" s="34" t="n"/>
      <c r="L188" s="34" t="n"/>
      <c r="M188" s="41" t="n"/>
      <c r="N188" s="41" t="n"/>
      <c r="O188" s="34" t="n"/>
      <c r="P188" s="41" t="n"/>
    </row>
    <row r="189">
      <c r="A189" s="132" t="n"/>
      <c r="B189" s="34" t="n"/>
      <c r="C189" s="41" t="n"/>
      <c r="D189" s="34" t="n"/>
      <c r="E189" s="34" t="n"/>
      <c r="F189" s="34" t="n"/>
      <c r="G189" s="34" t="n"/>
      <c r="H189" s="44" t="n"/>
      <c r="I189" s="44" t="n"/>
      <c r="J189" s="76">
        <f>IF(N($H189)=0,"",$I189/$H189)</f>
        <v/>
      </c>
      <c r="K189" s="34" t="n"/>
      <c r="L189" s="34" t="n"/>
      <c r="M189" s="41" t="n"/>
      <c r="N189" s="41" t="n"/>
      <c r="O189" s="34" t="n"/>
      <c r="P189" s="41" t="n"/>
    </row>
    <row r="190">
      <c r="A190" s="132" t="n"/>
      <c r="B190" s="34" t="n"/>
      <c r="C190" s="41" t="n"/>
      <c r="D190" s="34" t="n"/>
      <c r="E190" s="34" t="n"/>
      <c r="F190" s="34" t="n"/>
      <c r="G190" s="34" t="n"/>
      <c r="H190" s="44" t="n"/>
      <c r="I190" s="44" t="n"/>
      <c r="J190" s="76">
        <f>IF(N($H190)=0,"",$I190/$H190)</f>
        <v/>
      </c>
      <c r="K190" s="34" t="n"/>
      <c r="L190" s="34" t="n"/>
      <c r="M190" s="41" t="n"/>
      <c r="N190" s="41" t="n"/>
      <c r="O190" s="34" t="n"/>
      <c r="P190" s="41" t="n"/>
    </row>
    <row r="191">
      <c r="A191" s="132" t="n"/>
      <c r="B191" s="34" t="n"/>
      <c r="C191" s="41" t="n"/>
      <c r="D191" s="34" t="n"/>
      <c r="E191" s="34" t="n"/>
      <c r="F191" s="34" t="n"/>
      <c r="G191" s="34" t="n"/>
      <c r="H191" s="44" t="n"/>
      <c r="I191" s="44" t="n"/>
      <c r="J191" s="76">
        <f>IF(N($H191)=0,"",$I191/$H191)</f>
        <v/>
      </c>
      <c r="K191" s="34" t="n"/>
      <c r="L191" s="34" t="n"/>
      <c r="M191" s="41" t="n"/>
      <c r="N191" s="41" t="n"/>
      <c r="O191" s="34" t="n"/>
      <c r="P191" s="41" t="n"/>
    </row>
    <row r="192">
      <c r="A192" s="132" t="n"/>
      <c r="B192" s="34" t="n"/>
      <c r="C192" s="41" t="n"/>
      <c r="D192" s="34" t="n"/>
      <c r="E192" s="34" t="n"/>
      <c r="F192" s="34" t="n"/>
      <c r="G192" s="34" t="n"/>
      <c r="H192" s="44" t="n"/>
      <c r="I192" s="44" t="n"/>
      <c r="J192" s="76">
        <f>IF(N($H192)=0,"",$I192/$H192)</f>
        <v/>
      </c>
      <c r="K192" s="34" t="n"/>
      <c r="L192" s="34" t="n"/>
      <c r="M192" s="41" t="n"/>
      <c r="N192" s="41" t="n"/>
      <c r="O192" s="34" t="n"/>
      <c r="P192" s="41" t="n"/>
    </row>
    <row r="193">
      <c r="A193" s="132" t="n"/>
      <c r="B193" s="34" t="n"/>
      <c r="C193" s="41" t="n"/>
      <c r="D193" s="34" t="n"/>
      <c r="E193" s="34" t="n"/>
      <c r="F193" s="34" t="n"/>
      <c r="G193" s="34" t="n"/>
      <c r="H193" s="44" t="n"/>
      <c r="I193" s="44" t="n"/>
      <c r="J193" s="76">
        <f>IF(N($H193)=0,"",$I193/$H193)</f>
        <v/>
      </c>
      <c r="K193" s="34" t="n"/>
      <c r="L193" s="34" t="n"/>
      <c r="M193" s="41" t="n"/>
      <c r="N193" s="41" t="n"/>
      <c r="O193" s="34" t="n"/>
      <c r="P193" s="41" t="n"/>
    </row>
    <row r="194">
      <c r="A194" s="132" t="n"/>
      <c r="B194" s="34" t="n"/>
      <c r="C194" s="41" t="n"/>
      <c r="D194" s="34" t="n"/>
      <c r="E194" s="34" t="n"/>
      <c r="F194" s="34" t="n"/>
      <c r="G194" s="34" t="n"/>
      <c r="H194" s="44" t="n"/>
      <c r="I194" s="44" t="n"/>
      <c r="J194" s="76">
        <f>IF(N($H194)=0,"",$I194/$H194)</f>
        <v/>
      </c>
      <c r="K194" s="34" t="n"/>
      <c r="L194" s="34" t="n"/>
      <c r="M194" s="41" t="n"/>
      <c r="N194" s="41" t="n"/>
      <c r="O194" s="34" t="n"/>
      <c r="P194" s="41" t="n"/>
    </row>
    <row r="195">
      <c r="A195" s="132" t="n"/>
      <c r="B195" s="34" t="n"/>
      <c r="C195" s="41" t="n"/>
      <c r="D195" s="34" t="n"/>
      <c r="E195" s="34" t="n"/>
      <c r="F195" s="34" t="n"/>
      <c r="G195" s="34" t="n"/>
      <c r="H195" s="44" t="n"/>
      <c r="I195" s="44" t="n"/>
      <c r="J195" s="76">
        <f>IF(N($H195)=0,"",$I195/$H195)</f>
        <v/>
      </c>
      <c r="K195" s="34" t="n"/>
      <c r="L195" s="34" t="n"/>
      <c r="M195" s="41" t="n"/>
      <c r="N195" s="41" t="n"/>
      <c r="O195" s="34" t="n"/>
      <c r="P195" s="41" t="n"/>
    </row>
    <row r="196">
      <c r="A196" s="132" t="n"/>
      <c r="B196" s="34" t="n"/>
      <c r="C196" s="41" t="n"/>
      <c r="D196" s="34" t="n"/>
      <c r="E196" s="34" t="n"/>
      <c r="F196" s="34" t="n"/>
      <c r="G196" s="34" t="n"/>
      <c r="H196" s="44" t="n"/>
      <c r="I196" s="44" t="n"/>
      <c r="J196" s="76">
        <f>IF(N($H196)=0,"",$I196/$H196)</f>
        <v/>
      </c>
      <c r="K196" s="34" t="n"/>
      <c r="L196" s="34" t="n"/>
      <c r="M196" s="41" t="n"/>
      <c r="N196" s="41" t="n"/>
      <c r="O196" s="34" t="n"/>
      <c r="P196" s="41" t="n"/>
    </row>
    <row r="197">
      <c r="A197" s="132" t="n"/>
      <c r="B197" s="34" t="n"/>
      <c r="C197" s="41" t="n"/>
      <c r="D197" s="34" t="n"/>
      <c r="E197" s="34" t="n"/>
      <c r="F197" s="34" t="n"/>
      <c r="G197" s="34" t="n"/>
      <c r="H197" s="44" t="n"/>
      <c r="I197" s="44" t="n"/>
      <c r="J197" s="76">
        <f>IF(N($H197)=0,"",$I197/$H197)</f>
        <v/>
      </c>
      <c r="K197" s="34" t="n"/>
      <c r="L197" s="34" t="n"/>
      <c r="M197" s="41" t="n"/>
      <c r="N197" s="41" t="n"/>
      <c r="O197" s="34" t="n"/>
      <c r="P197" s="41" t="n"/>
    </row>
    <row r="198">
      <c r="A198" s="132" t="n"/>
      <c r="B198" s="34" t="n"/>
      <c r="C198" s="41" t="n"/>
      <c r="D198" s="34" t="n"/>
      <c r="E198" s="34" t="n"/>
      <c r="F198" s="34" t="n"/>
      <c r="G198" s="34" t="n"/>
      <c r="H198" s="44" t="n"/>
      <c r="I198" s="44" t="n"/>
      <c r="J198" s="76">
        <f>IF(N($H198)=0,"",$I198/$H198)</f>
        <v/>
      </c>
      <c r="K198" s="34" t="n"/>
      <c r="L198" s="34" t="n"/>
      <c r="M198" s="41" t="n"/>
      <c r="N198" s="41" t="n"/>
      <c r="O198" s="34" t="n"/>
      <c r="P198" s="41" t="n"/>
    </row>
    <row r="199">
      <c r="A199" s="132" t="n"/>
      <c r="B199" s="34" t="n"/>
      <c r="C199" s="41" t="n"/>
      <c r="D199" s="34" t="n"/>
      <c r="E199" s="34" t="n"/>
      <c r="F199" s="34" t="n"/>
      <c r="G199" s="34" t="n"/>
      <c r="H199" s="44" t="n"/>
      <c r="I199" s="44" t="n"/>
      <c r="J199" s="76">
        <f>IF(N($H199)=0,"",$I199/$H199)</f>
        <v/>
      </c>
      <c r="K199" s="34" t="n"/>
      <c r="L199" s="34" t="n"/>
      <c r="M199" s="41" t="n"/>
      <c r="N199" s="41" t="n"/>
      <c r="O199" s="34" t="n"/>
      <c r="P199" s="41" t="n"/>
    </row>
    <row r="200">
      <c r="A200" s="132" t="n"/>
      <c r="B200" s="34" t="n"/>
      <c r="C200" s="41" t="n"/>
      <c r="D200" s="34" t="n"/>
      <c r="E200" s="34" t="n"/>
      <c r="F200" s="34" t="n"/>
      <c r="G200" s="34" t="n"/>
      <c r="H200" s="44" t="n"/>
      <c r="I200" s="44" t="n"/>
      <c r="J200" s="76">
        <f>IF(N($H200)=0,"",$I200/$H200)</f>
        <v/>
      </c>
      <c r="K200" s="34" t="n"/>
      <c r="L200" s="34" t="n"/>
      <c r="M200" s="41" t="n"/>
      <c r="N200" s="41" t="n"/>
      <c r="O200" s="34" t="n"/>
      <c r="P200" s="41" t="n"/>
    </row>
    <row r="201">
      <c r="A201" s="132" t="n"/>
      <c r="B201" s="34" t="n"/>
      <c r="C201" s="41" t="n"/>
      <c r="D201" s="34" t="n"/>
      <c r="E201" s="34" t="n"/>
      <c r="F201" s="34" t="n"/>
      <c r="G201" s="34" t="n"/>
      <c r="H201" s="44" t="n"/>
      <c r="I201" s="44" t="n"/>
      <c r="J201" s="76">
        <f>IF(N($H201)=0,"",$I201/$H201)</f>
        <v/>
      </c>
      <c r="K201" s="34" t="n"/>
      <c r="L201" s="34" t="n"/>
      <c r="M201" s="41" t="n"/>
      <c r="N201" s="41" t="n"/>
      <c r="O201" s="34" t="n"/>
      <c r="P201" s="41" t="n"/>
    </row>
    <row r="202">
      <c r="A202" s="132" t="n"/>
      <c r="B202" s="34" t="n"/>
      <c r="C202" s="41" t="n"/>
      <c r="D202" s="34" t="n"/>
      <c r="E202" s="34" t="n"/>
      <c r="F202" s="34" t="n"/>
      <c r="G202" s="34" t="n"/>
      <c r="H202" s="44" t="n"/>
      <c r="I202" s="44" t="n"/>
      <c r="J202" s="76">
        <f>IF(N($H202)=0,"",$I202/$H202)</f>
        <v/>
      </c>
      <c r="K202" s="34" t="n"/>
      <c r="L202" s="34" t="n"/>
      <c r="M202" s="41" t="n"/>
      <c r="N202" s="41" t="n"/>
      <c r="O202" s="34" t="n"/>
      <c r="P202" s="41" t="n"/>
    </row>
    <row r="203">
      <c r="A203" s="132" t="n"/>
      <c r="B203" s="34" t="n"/>
      <c r="C203" s="41" t="n"/>
      <c r="D203" s="34" t="n"/>
      <c r="E203" s="34" t="n"/>
      <c r="F203" s="34" t="n"/>
      <c r="G203" s="34" t="n"/>
      <c r="H203" s="44" t="n"/>
      <c r="I203" s="44" t="n"/>
      <c r="J203" s="76">
        <f>IF(N($H203)=0,"",$I203/$H203)</f>
        <v/>
      </c>
      <c r="K203" s="34" t="n"/>
      <c r="L203" s="34" t="n"/>
      <c r="M203" s="41" t="n"/>
      <c r="N203" s="41" t="n"/>
      <c r="O203" s="34" t="n"/>
      <c r="P203" s="41" t="n"/>
    </row>
    <row r="204">
      <c r="A204" s="132" t="n"/>
      <c r="B204" s="34" t="n"/>
      <c r="C204" s="41" t="n"/>
      <c r="D204" s="34" t="n"/>
      <c r="E204" s="34" t="n"/>
      <c r="F204" s="34" t="n"/>
      <c r="G204" s="34" t="n"/>
      <c r="H204" s="44" t="n"/>
      <c r="I204" s="44" t="n"/>
      <c r="J204" s="76">
        <f>IF(N($H204)=0,"",$I204/$H204)</f>
        <v/>
      </c>
      <c r="K204" s="34" t="n"/>
      <c r="L204" s="34" t="n"/>
      <c r="M204" s="41" t="n"/>
      <c r="N204" s="41" t="n"/>
      <c r="O204" s="34" t="n"/>
      <c r="P204" s="41" t="n"/>
    </row>
    <row r="205">
      <c r="A205" s="132" t="n"/>
      <c r="B205" s="34" t="n"/>
      <c r="C205" s="41" t="n"/>
      <c r="D205" s="34" t="n"/>
      <c r="E205" s="34" t="n"/>
      <c r="F205" s="34" t="n"/>
      <c r="G205" s="34" t="n"/>
      <c r="H205" s="44" t="n"/>
      <c r="I205" s="44" t="n"/>
      <c r="J205" s="76">
        <f>IF(N($H205)=0,"",$I205/$H205)</f>
        <v/>
      </c>
      <c r="K205" s="34" t="n"/>
      <c r="L205" s="34" t="n"/>
      <c r="M205" s="41" t="n"/>
      <c r="N205" s="41" t="n"/>
      <c r="O205" s="34" t="n"/>
      <c r="P205" s="41" t="n"/>
    </row>
    <row r="206">
      <c r="A206" s="132" t="n"/>
      <c r="B206" s="34" t="n"/>
      <c r="C206" s="41" t="n"/>
      <c r="D206" s="34" t="n"/>
      <c r="E206" s="34" t="n"/>
      <c r="F206" s="34" t="n"/>
      <c r="G206" s="34" t="n"/>
      <c r="H206" s="44" t="n"/>
      <c r="I206" s="44" t="n"/>
      <c r="J206" s="76">
        <f>IF(N($H206)=0,"",$I206/$H206)</f>
        <v/>
      </c>
      <c r="K206" s="34" t="n"/>
      <c r="L206" s="34" t="n"/>
      <c r="M206" s="41" t="n"/>
      <c r="N206" s="41" t="n"/>
      <c r="O206" s="34" t="n"/>
      <c r="P206" s="41" t="n"/>
    </row>
    <row r="207">
      <c r="A207" s="132" t="n"/>
      <c r="B207" s="34" t="n"/>
      <c r="C207" s="41" t="n"/>
      <c r="D207" s="34" t="n"/>
      <c r="E207" s="34" t="n"/>
      <c r="F207" s="34" t="n"/>
      <c r="G207" s="34" t="n"/>
      <c r="H207" s="44" t="n"/>
      <c r="I207" s="44" t="n"/>
      <c r="J207" s="76">
        <f>IF(N($H207)=0,"",$I207/$H207)</f>
        <v/>
      </c>
      <c r="K207" s="34" t="n"/>
      <c r="L207" s="34" t="n"/>
      <c r="M207" s="41" t="n"/>
      <c r="N207" s="41" t="n"/>
      <c r="O207" s="34" t="n"/>
      <c r="P207" s="41" t="n"/>
    </row>
    <row r="208">
      <c r="A208" s="132" t="n"/>
      <c r="B208" s="34" t="n"/>
      <c r="C208" s="41" t="n"/>
      <c r="D208" s="34" t="n"/>
      <c r="E208" s="34" t="n"/>
      <c r="F208" s="34" t="n"/>
      <c r="G208" s="34" t="n"/>
      <c r="H208" s="44" t="n"/>
      <c r="I208" s="44" t="n"/>
      <c r="J208" s="76">
        <f>IF(N($H208)=0,"",$I208/$H208)</f>
        <v/>
      </c>
      <c r="K208" s="34" t="n"/>
      <c r="L208" s="34" t="n"/>
      <c r="M208" s="41" t="n"/>
      <c r="N208" s="41" t="n"/>
      <c r="O208" s="34" t="n"/>
      <c r="P208" s="41" t="n"/>
    </row>
    <row r="209">
      <c r="A209" s="132" t="n"/>
      <c r="B209" s="34" t="n"/>
      <c r="C209" s="41" t="n"/>
      <c r="D209" s="34" t="n"/>
      <c r="E209" s="34" t="n"/>
      <c r="F209" s="34" t="n"/>
      <c r="G209" s="34" t="n"/>
      <c r="H209" s="44" t="n"/>
      <c r="I209" s="44" t="n"/>
      <c r="J209" s="76">
        <f>IF(N($H209)=0,"",$I209/$H209)</f>
        <v/>
      </c>
      <c r="K209" s="34" t="n"/>
      <c r="L209" s="34" t="n"/>
      <c r="M209" s="41" t="n"/>
      <c r="N209" s="41" t="n"/>
      <c r="O209" s="34" t="n"/>
      <c r="P209" s="41" t="n"/>
    </row>
    <row r="210">
      <c r="A210" s="132" t="n"/>
      <c r="B210" s="34" t="n"/>
      <c r="C210" s="41" t="n"/>
      <c r="D210" s="34" t="n"/>
      <c r="E210" s="34" t="n"/>
      <c r="F210" s="34" t="n"/>
      <c r="G210" s="34" t="n"/>
      <c r="H210" s="44" t="n"/>
      <c r="I210" s="44" t="n"/>
      <c r="J210" s="76">
        <f>IF(N($H210)=0,"",$I210/$H210)</f>
        <v/>
      </c>
      <c r="K210" s="34" t="n"/>
      <c r="L210" s="34" t="n"/>
      <c r="M210" s="41" t="n"/>
      <c r="N210" s="41" t="n"/>
      <c r="O210" s="34" t="n"/>
      <c r="P210" s="41" t="n"/>
    </row>
    <row r="211">
      <c r="A211" s="132" t="n"/>
      <c r="B211" s="34" t="n"/>
      <c r="C211" s="41" t="n"/>
      <c r="D211" s="34" t="n"/>
      <c r="E211" s="34" t="n"/>
      <c r="F211" s="34" t="n"/>
      <c r="G211" s="34" t="n"/>
      <c r="H211" s="44" t="n"/>
      <c r="I211" s="44" t="n"/>
      <c r="J211" s="76">
        <f>IF(N($H211)=0,"",$I211/$H211)</f>
        <v/>
      </c>
      <c r="K211" s="34" t="n"/>
      <c r="L211" s="34" t="n"/>
      <c r="M211" s="41" t="n"/>
      <c r="N211" s="41" t="n"/>
      <c r="O211" s="34" t="n"/>
      <c r="P211" s="41" t="n"/>
    </row>
    <row r="212">
      <c r="A212" s="132" t="n"/>
      <c r="B212" s="34" t="n"/>
      <c r="C212" s="41" t="n"/>
      <c r="D212" s="34" t="n"/>
      <c r="E212" s="34" t="n"/>
      <c r="F212" s="34" t="n"/>
      <c r="G212" s="34" t="n"/>
      <c r="H212" s="44" t="n"/>
      <c r="I212" s="44" t="n"/>
      <c r="J212" s="76">
        <f>IF(N($H212)=0,"",$I212/$H212)</f>
        <v/>
      </c>
      <c r="K212" s="34" t="n"/>
      <c r="L212" s="34" t="n"/>
      <c r="M212" s="41" t="n"/>
      <c r="N212" s="41" t="n"/>
      <c r="O212" s="34" t="n"/>
      <c r="P212" s="41" t="n"/>
    </row>
    <row r="213">
      <c r="A213" s="132" t="n"/>
      <c r="B213" s="34" t="n"/>
      <c r="C213" s="41" t="n"/>
      <c r="D213" s="34" t="n"/>
      <c r="E213" s="34" t="n"/>
      <c r="F213" s="34" t="n"/>
      <c r="G213" s="34" t="n"/>
      <c r="H213" s="44" t="n"/>
      <c r="I213" s="44" t="n"/>
      <c r="J213" s="76">
        <f>IF(N($H213)=0,"",$I213/$H213)</f>
        <v/>
      </c>
      <c r="K213" s="34" t="n"/>
      <c r="L213" s="34" t="n"/>
      <c r="M213" s="41" t="n"/>
      <c r="N213" s="41" t="n"/>
      <c r="O213" s="34" t="n"/>
      <c r="P213" s="41" t="n"/>
    </row>
    <row r="214">
      <c r="A214" s="132" t="n"/>
      <c r="B214" s="34" t="n"/>
      <c r="C214" s="41" t="n"/>
      <c r="D214" s="34" t="n"/>
      <c r="E214" s="34" t="n"/>
      <c r="F214" s="34" t="n"/>
      <c r="G214" s="34" t="n"/>
      <c r="H214" s="44" t="n"/>
      <c r="I214" s="44" t="n"/>
      <c r="J214" s="76">
        <f>IF(N($H214)=0,"",$I214/$H214)</f>
        <v/>
      </c>
      <c r="K214" s="34" t="n"/>
      <c r="L214" s="34" t="n"/>
      <c r="M214" s="41" t="n"/>
      <c r="N214" s="41" t="n"/>
      <c r="O214" s="34" t="n"/>
      <c r="P214" s="41" t="n"/>
    </row>
    <row r="215">
      <c r="A215" s="132" t="n"/>
      <c r="B215" s="34" t="n"/>
      <c r="C215" s="41" t="n"/>
      <c r="D215" s="34" t="n"/>
      <c r="E215" s="34" t="n"/>
      <c r="F215" s="34" t="n"/>
      <c r="G215" s="34" t="n"/>
      <c r="H215" s="44" t="n"/>
      <c r="I215" s="44" t="n"/>
      <c r="J215" s="76">
        <f>IF(N($H215)=0,"",$I215/$H215)</f>
        <v/>
      </c>
      <c r="K215" s="34" t="n"/>
      <c r="L215" s="34" t="n"/>
      <c r="M215" s="41" t="n"/>
      <c r="N215" s="41" t="n"/>
      <c r="O215" s="34" t="n"/>
      <c r="P215" s="41" t="n"/>
    </row>
    <row r="216">
      <c r="A216" s="132" t="n"/>
      <c r="B216" s="34" t="n"/>
      <c r="C216" s="41" t="n"/>
      <c r="D216" s="34" t="n"/>
      <c r="E216" s="34" t="n"/>
      <c r="F216" s="34" t="n"/>
      <c r="G216" s="34" t="n"/>
      <c r="H216" s="44" t="n"/>
      <c r="I216" s="44" t="n"/>
      <c r="J216" s="76">
        <f>IF(N($H216)=0,"",$I216/$H216)</f>
        <v/>
      </c>
      <c r="K216" s="34" t="n"/>
      <c r="L216" s="34" t="n"/>
      <c r="M216" s="41" t="n"/>
      <c r="N216" s="41" t="n"/>
      <c r="O216" s="34" t="n"/>
      <c r="P216" s="41" t="n"/>
    </row>
    <row r="217">
      <c r="A217" s="132" t="n"/>
      <c r="B217" s="34" t="n"/>
      <c r="C217" s="41" t="n"/>
      <c r="D217" s="34" t="n"/>
      <c r="E217" s="34" t="n"/>
      <c r="F217" s="34" t="n"/>
      <c r="G217" s="34" t="n"/>
      <c r="H217" s="44" t="n"/>
      <c r="I217" s="44" t="n"/>
      <c r="J217" s="76">
        <f>IF(N($H217)=0,"",$I217/$H217)</f>
        <v/>
      </c>
      <c r="K217" s="34" t="n"/>
      <c r="L217" s="34" t="n"/>
      <c r="M217" s="41" t="n"/>
      <c r="N217" s="41" t="n"/>
      <c r="O217" s="34" t="n"/>
      <c r="P217" s="41" t="n"/>
    </row>
    <row r="218">
      <c r="A218" s="132" t="n"/>
      <c r="B218" s="34" t="n"/>
      <c r="C218" s="41" t="n"/>
      <c r="D218" s="34" t="n"/>
      <c r="E218" s="34" t="n"/>
      <c r="F218" s="34" t="n"/>
      <c r="G218" s="34" t="n"/>
      <c r="H218" s="44" t="n"/>
      <c r="I218" s="44" t="n"/>
      <c r="J218" s="76">
        <f>IF(N($H218)=0,"",$I218/$H218)</f>
        <v/>
      </c>
      <c r="K218" s="34" t="n"/>
      <c r="L218" s="34" t="n"/>
      <c r="M218" s="41" t="n"/>
      <c r="N218" s="41" t="n"/>
      <c r="O218" s="34" t="n"/>
      <c r="P218" s="41" t="n"/>
    </row>
    <row r="219">
      <c r="A219" s="132" t="n"/>
      <c r="B219" s="34" t="n"/>
      <c r="C219" s="41" t="n"/>
      <c r="D219" s="34" t="n"/>
      <c r="E219" s="34" t="n"/>
      <c r="F219" s="34" t="n"/>
      <c r="G219" s="34" t="n"/>
      <c r="H219" s="44" t="n"/>
      <c r="I219" s="44" t="n"/>
      <c r="J219" s="76">
        <f>IF(N($H219)=0,"",$I219/$H219)</f>
        <v/>
      </c>
      <c r="K219" s="34" t="n"/>
      <c r="L219" s="34" t="n"/>
      <c r="M219" s="41" t="n"/>
      <c r="N219" s="41" t="n"/>
      <c r="O219" s="34" t="n"/>
      <c r="P219" s="41" t="n"/>
    </row>
    <row r="220">
      <c r="A220" s="132" t="n"/>
      <c r="B220" s="34" t="n"/>
      <c r="C220" s="41" t="n"/>
      <c r="D220" s="34" t="n"/>
      <c r="E220" s="34" t="n"/>
      <c r="F220" s="34" t="n"/>
      <c r="G220" s="34" t="n"/>
      <c r="H220" s="44" t="n"/>
      <c r="I220" s="44" t="n"/>
      <c r="J220" s="76">
        <f>IF(N($H220)=0,"",$I220/$H220)</f>
        <v/>
      </c>
      <c r="K220" s="34" t="n"/>
      <c r="L220" s="34" t="n"/>
      <c r="M220" s="41" t="n"/>
      <c r="N220" s="41" t="n"/>
      <c r="O220" s="34" t="n"/>
      <c r="P220" s="41" t="n"/>
    </row>
    <row r="221">
      <c r="A221" s="132" t="n"/>
      <c r="B221" s="34" t="n"/>
      <c r="C221" s="41" t="n"/>
      <c r="D221" s="34" t="n"/>
      <c r="E221" s="34" t="n"/>
      <c r="F221" s="34" t="n"/>
      <c r="G221" s="34" t="n"/>
      <c r="H221" s="44" t="n"/>
      <c r="I221" s="44" t="n"/>
      <c r="J221" s="76">
        <f>IF(N($H221)=0,"",$I221/$H221)</f>
        <v/>
      </c>
      <c r="K221" s="34" t="n"/>
      <c r="L221" s="34" t="n"/>
      <c r="M221" s="41" t="n"/>
      <c r="N221" s="41" t="n"/>
      <c r="O221" s="34" t="n"/>
      <c r="P221" s="41" t="n"/>
    </row>
    <row r="222">
      <c r="A222" s="132" t="n"/>
      <c r="B222" s="34" t="n"/>
      <c r="C222" s="41" t="n"/>
      <c r="D222" s="34" t="n"/>
      <c r="E222" s="34" t="n"/>
      <c r="F222" s="34" t="n"/>
      <c r="G222" s="34" t="n"/>
      <c r="H222" s="44" t="n"/>
      <c r="I222" s="44" t="n"/>
      <c r="J222" s="76">
        <f>IF(N($H222)=0,"",$I222/$H222)</f>
        <v/>
      </c>
      <c r="K222" s="34" t="n"/>
      <c r="L222" s="34" t="n"/>
      <c r="M222" s="41" t="n"/>
      <c r="N222" s="41" t="n"/>
      <c r="O222" s="34" t="n"/>
      <c r="P222" s="41" t="n"/>
    </row>
    <row r="223">
      <c r="A223" s="132" t="n"/>
      <c r="B223" s="34" t="n"/>
      <c r="C223" s="41" t="n"/>
      <c r="D223" s="34" t="n"/>
      <c r="E223" s="34" t="n"/>
      <c r="F223" s="34" t="n"/>
      <c r="G223" s="34" t="n"/>
      <c r="H223" s="44" t="n"/>
      <c r="I223" s="44" t="n"/>
      <c r="J223" s="76">
        <f>IF(N($H223)=0,"",$I223/$H223)</f>
        <v/>
      </c>
      <c r="K223" s="34" t="n"/>
      <c r="L223" s="34" t="n"/>
      <c r="M223" s="41" t="n"/>
      <c r="N223" s="41" t="n"/>
      <c r="O223" s="34" t="n"/>
      <c r="P223" s="41" t="n"/>
    </row>
    <row r="224">
      <c r="A224" s="132" t="n"/>
      <c r="B224" s="34" t="n"/>
      <c r="C224" s="41" t="n"/>
      <c r="D224" s="34" t="n"/>
      <c r="E224" s="34" t="n"/>
      <c r="F224" s="34" t="n"/>
      <c r="G224" s="34" t="n"/>
      <c r="H224" s="44" t="n"/>
      <c r="I224" s="44" t="n"/>
      <c r="J224" s="76">
        <f>IF(N($H224)=0,"",$I224/$H224)</f>
        <v/>
      </c>
      <c r="K224" s="34" t="n"/>
      <c r="L224" s="34" t="n"/>
      <c r="M224" s="41" t="n"/>
      <c r="N224" s="41" t="n"/>
      <c r="O224" s="34" t="n"/>
      <c r="P224" s="41" t="n"/>
    </row>
    <row r="225">
      <c r="A225" s="132" t="n"/>
      <c r="B225" s="34" t="n"/>
      <c r="C225" s="41" t="n"/>
      <c r="D225" s="34" t="n"/>
      <c r="E225" s="34" t="n"/>
      <c r="F225" s="34" t="n"/>
      <c r="G225" s="34" t="n"/>
      <c r="H225" s="44" t="n"/>
      <c r="I225" s="44" t="n"/>
      <c r="J225" s="76">
        <f>IF(N($H225)=0,"",$I225/$H225)</f>
        <v/>
      </c>
      <c r="K225" s="34" t="n"/>
      <c r="L225" s="34" t="n"/>
      <c r="M225" s="41" t="n"/>
      <c r="N225" s="41" t="n"/>
      <c r="O225" s="34" t="n"/>
      <c r="P225" s="41" t="n"/>
    </row>
    <row r="226">
      <c r="A226" s="132" t="n"/>
      <c r="B226" s="34" t="n"/>
      <c r="C226" s="41" t="n"/>
      <c r="D226" s="34" t="n"/>
      <c r="E226" s="34" t="n"/>
      <c r="F226" s="34" t="n"/>
      <c r="G226" s="34" t="n"/>
      <c r="H226" s="44" t="n"/>
      <c r="I226" s="44" t="n"/>
      <c r="J226" s="76">
        <f>IF(N($H226)=0,"",$I226/$H226)</f>
        <v/>
      </c>
      <c r="K226" s="34" t="n"/>
      <c r="L226" s="34" t="n"/>
      <c r="M226" s="41" t="n"/>
      <c r="N226" s="41" t="n"/>
      <c r="O226" s="34" t="n"/>
      <c r="P226" s="41" t="n"/>
    </row>
    <row r="227">
      <c r="A227" s="132" t="n"/>
      <c r="B227" s="34" t="n"/>
      <c r="C227" s="41" t="n"/>
      <c r="D227" s="34" t="n"/>
      <c r="E227" s="34" t="n"/>
      <c r="F227" s="34" t="n"/>
      <c r="G227" s="34" t="n"/>
      <c r="H227" s="44" t="n"/>
      <c r="I227" s="44" t="n"/>
      <c r="J227" s="76">
        <f>IF(N($H227)=0,"",$I227/$H227)</f>
        <v/>
      </c>
      <c r="K227" s="34" t="n"/>
      <c r="L227" s="34" t="n"/>
      <c r="M227" s="41" t="n"/>
      <c r="N227" s="41" t="n"/>
      <c r="O227" s="34" t="n"/>
      <c r="P227" s="41" t="n"/>
    </row>
    <row r="228">
      <c r="A228" s="132" t="n"/>
      <c r="B228" s="34" t="n"/>
      <c r="C228" s="41" t="n"/>
      <c r="D228" s="34" t="n"/>
      <c r="E228" s="34" t="n"/>
      <c r="F228" s="34" t="n"/>
      <c r="G228" s="34" t="n"/>
      <c r="H228" s="44" t="n"/>
      <c r="I228" s="44" t="n"/>
      <c r="J228" s="76">
        <f>IF(N($H228)=0,"",$I228/$H228)</f>
        <v/>
      </c>
      <c r="K228" s="34" t="n"/>
      <c r="L228" s="34" t="n"/>
      <c r="M228" s="41" t="n"/>
      <c r="N228" s="41" t="n"/>
      <c r="O228" s="34" t="n"/>
      <c r="P228" s="41" t="n"/>
    </row>
    <row r="229">
      <c r="A229" s="132" t="n"/>
      <c r="B229" s="34" t="n"/>
      <c r="C229" s="41" t="n"/>
      <c r="D229" s="34" t="n"/>
      <c r="E229" s="34" t="n"/>
      <c r="F229" s="34" t="n"/>
      <c r="G229" s="34" t="n"/>
      <c r="H229" s="44" t="n"/>
      <c r="I229" s="44" t="n"/>
      <c r="J229" s="76">
        <f>IF(N($H229)=0,"",$I229/$H229)</f>
        <v/>
      </c>
      <c r="K229" s="34" t="n"/>
      <c r="L229" s="34" t="n"/>
      <c r="M229" s="41" t="n"/>
      <c r="N229" s="41" t="n"/>
      <c r="O229" s="34" t="n"/>
      <c r="P229" s="41" t="n"/>
    </row>
    <row r="230">
      <c r="A230" s="132" t="n"/>
      <c r="B230" s="34" t="n"/>
      <c r="C230" s="41" t="n"/>
      <c r="D230" s="34" t="n"/>
      <c r="E230" s="34" t="n"/>
      <c r="F230" s="34" t="n"/>
      <c r="G230" s="34" t="n"/>
      <c r="H230" s="44" t="n"/>
      <c r="I230" s="44" t="n"/>
      <c r="J230" s="76">
        <f>IF(N($H230)=0,"",$I230/$H230)</f>
        <v/>
      </c>
      <c r="K230" s="34" t="n"/>
      <c r="L230" s="34" t="n"/>
      <c r="M230" s="41" t="n"/>
      <c r="N230" s="41" t="n"/>
      <c r="O230" s="34" t="n"/>
      <c r="P230" s="41" t="n"/>
    </row>
    <row r="231">
      <c r="A231" s="132" t="n"/>
      <c r="B231" s="34" t="n"/>
      <c r="C231" s="41" t="n"/>
      <c r="D231" s="34" t="n"/>
      <c r="E231" s="34" t="n"/>
      <c r="F231" s="34" t="n"/>
      <c r="G231" s="34" t="n"/>
      <c r="H231" s="44" t="n"/>
      <c r="I231" s="44" t="n"/>
      <c r="J231" s="76">
        <f>IF(N($H231)=0,"",$I231/$H231)</f>
        <v/>
      </c>
      <c r="K231" s="34" t="n"/>
      <c r="L231" s="34" t="n"/>
      <c r="M231" s="41" t="n"/>
      <c r="N231" s="41" t="n"/>
      <c r="O231" s="34" t="n"/>
      <c r="P231" s="41" t="n"/>
    </row>
    <row r="232">
      <c r="A232" s="132" t="n"/>
      <c r="B232" s="34" t="n"/>
      <c r="C232" s="41" t="n"/>
      <c r="D232" s="34" t="n"/>
      <c r="E232" s="34" t="n"/>
      <c r="F232" s="34" t="n"/>
      <c r="G232" s="34" t="n"/>
      <c r="H232" s="44" t="n"/>
      <c r="I232" s="44" t="n"/>
      <c r="J232" s="76">
        <f>IF(N($H232)=0,"",$I232/$H232)</f>
        <v/>
      </c>
      <c r="K232" s="34" t="n"/>
      <c r="L232" s="34" t="n"/>
      <c r="M232" s="41" t="n"/>
      <c r="N232" s="41" t="n"/>
      <c r="O232" s="34" t="n"/>
      <c r="P232" s="41" t="n"/>
    </row>
    <row r="233">
      <c r="A233" s="132" t="n"/>
      <c r="B233" s="34" t="n"/>
      <c r="C233" s="41" t="n"/>
      <c r="D233" s="34" t="n"/>
      <c r="E233" s="34" t="n"/>
      <c r="F233" s="34" t="n"/>
      <c r="G233" s="34" t="n"/>
      <c r="H233" s="44" t="n"/>
      <c r="I233" s="44" t="n"/>
      <c r="J233" s="76">
        <f>IF(N($H233)=0,"",$I233/$H233)</f>
        <v/>
      </c>
      <c r="K233" s="34" t="n"/>
      <c r="L233" s="34" t="n"/>
      <c r="M233" s="41" t="n"/>
      <c r="N233" s="41" t="n"/>
      <c r="O233" s="34" t="n"/>
      <c r="P233" s="41" t="n"/>
    </row>
    <row r="234">
      <c r="A234" s="132" t="n"/>
      <c r="B234" s="34" t="n"/>
      <c r="C234" s="41" t="n"/>
      <c r="D234" s="34" t="n"/>
      <c r="E234" s="34" t="n"/>
      <c r="F234" s="34" t="n"/>
      <c r="G234" s="34" t="n"/>
      <c r="H234" s="44" t="n"/>
      <c r="I234" s="44" t="n"/>
      <c r="J234" s="76">
        <f>IF(N($H234)=0,"",$I234/$H234)</f>
        <v/>
      </c>
      <c r="K234" s="34" t="n"/>
      <c r="L234" s="34" t="n"/>
      <c r="M234" s="41" t="n"/>
      <c r="N234" s="41" t="n"/>
      <c r="O234" s="34" t="n"/>
      <c r="P234" s="41" t="n"/>
    </row>
    <row r="235">
      <c r="A235" s="132" t="n"/>
      <c r="B235" s="34" t="n"/>
      <c r="C235" s="41" t="n"/>
      <c r="D235" s="34" t="n"/>
      <c r="E235" s="34" t="n"/>
      <c r="F235" s="34" t="n"/>
      <c r="G235" s="34" t="n"/>
      <c r="H235" s="44" t="n"/>
      <c r="I235" s="44" t="n"/>
      <c r="J235" s="76">
        <f>IF(N($H235)=0,"",$I235/$H235)</f>
        <v/>
      </c>
      <c r="K235" s="34" t="n"/>
      <c r="L235" s="34" t="n"/>
      <c r="M235" s="41" t="n"/>
      <c r="N235" s="41" t="n"/>
      <c r="O235" s="34" t="n"/>
      <c r="P235" s="41" t="n"/>
    </row>
    <row r="236">
      <c r="A236" s="132" t="n"/>
      <c r="B236" s="34" t="n"/>
      <c r="C236" s="41" t="n"/>
      <c r="D236" s="34" t="n"/>
      <c r="E236" s="34" t="n"/>
      <c r="F236" s="34" t="n"/>
      <c r="G236" s="34" t="n"/>
      <c r="H236" s="44" t="n"/>
      <c r="I236" s="44" t="n"/>
      <c r="J236" s="76">
        <f>IF(N($H236)=0,"",$I236/$H236)</f>
        <v/>
      </c>
      <c r="K236" s="34" t="n"/>
      <c r="L236" s="34" t="n"/>
      <c r="M236" s="41" t="n"/>
      <c r="N236" s="41" t="n"/>
      <c r="O236" s="34" t="n"/>
      <c r="P236" s="41" t="n"/>
    </row>
    <row r="237">
      <c r="A237" s="132" t="n"/>
      <c r="B237" s="34" t="n"/>
      <c r="C237" s="41" t="n"/>
      <c r="D237" s="34" t="n"/>
      <c r="E237" s="34" t="n"/>
      <c r="F237" s="34" t="n"/>
      <c r="G237" s="34" t="n"/>
      <c r="H237" s="44" t="n"/>
      <c r="I237" s="44" t="n"/>
      <c r="J237" s="76">
        <f>IF(N($H237)=0,"",$I237/$H237)</f>
        <v/>
      </c>
      <c r="K237" s="34" t="n"/>
      <c r="L237" s="34" t="n"/>
      <c r="M237" s="41" t="n"/>
      <c r="N237" s="41" t="n"/>
      <c r="O237" s="34" t="n"/>
      <c r="P237" s="41" t="n"/>
    </row>
    <row r="238">
      <c r="A238" s="132" t="n"/>
      <c r="B238" s="34" t="n"/>
      <c r="C238" s="41" t="n"/>
      <c r="D238" s="34" t="n"/>
      <c r="E238" s="34" t="n"/>
      <c r="F238" s="34" t="n"/>
      <c r="G238" s="34" t="n"/>
      <c r="H238" s="44" t="n"/>
      <c r="I238" s="44" t="n"/>
      <c r="J238" s="76">
        <f>IF(N($H238)=0,"",$I238/$H238)</f>
        <v/>
      </c>
      <c r="K238" s="34" t="n"/>
      <c r="L238" s="34" t="n"/>
      <c r="M238" s="41" t="n"/>
      <c r="N238" s="41" t="n"/>
      <c r="O238" s="34" t="n"/>
      <c r="P238" s="41" t="n"/>
    </row>
    <row r="239">
      <c r="A239" s="132" t="n"/>
      <c r="B239" s="34" t="n"/>
      <c r="C239" s="41" t="n"/>
      <c r="D239" s="34" t="n"/>
      <c r="E239" s="34" t="n"/>
      <c r="F239" s="34" t="n"/>
      <c r="G239" s="34" t="n"/>
      <c r="H239" s="44" t="n"/>
      <c r="I239" s="44" t="n"/>
      <c r="J239" s="76">
        <f>IF(N($H239)=0,"",$I239/$H239)</f>
        <v/>
      </c>
      <c r="K239" s="34" t="n"/>
      <c r="L239" s="34" t="n"/>
      <c r="M239" s="41" t="n"/>
      <c r="N239" s="41" t="n"/>
      <c r="O239" s="34" t="n"/>
      <c r="P239" s="41" t="n"/>
    </row>
    <row r="240">
      <c r="A240" s="132" t="n"/>
      <c r="B240" s="34" t="n"/>
      <c r="C240" s="41" t="n"/>
      <c r="D240" s="34" t="n"/>
      <c r="E240" s="34" t="n"/>
      <c r="F240" s="34" t="n"/>
      <c r="G240" s="34" t="n"/>
      <c r="H240" s="44" t="n"/>
      <c r="I240" s="44" t="n"/>
      <c r="J240" s="76">
        <f>IF(N($H240)=0,"",$I240/$H240)</f>
        <v/>
      </c>
      <c r="K240" s="34" t="n"/>
      <c r="L240" s="34" t="n"/>
      <c r="M240" s="41" t="n"/>
      <c r="N240" s="41" t="n"/>
      <c r="O240" s="34" t="n"/>
      <c r="P240" s="41" t="n"/>
    </row>
    <row r="241">
      <c r="A241" s="132" t="n"/>
      <c r="B241" s="34" t="n"/>
      <c r="C241" s="41" t="n"/>
      <c r="D241" s="34" t="n"/>
      <c r="E241" s="34" t="n"/>
      <c r="F241" s="34" t="n"/>
      <c r="G241" s="34" t="n"/>
      <c r="H241" s="44" t="n"/>
      <c r="I241" s="44" t="n"/>
      <c r="J241" s="76">
        <f>IF(N($H241)=0,"",$I241/$H241)</f>
        <v/>
      </c>
      <c r="K241" s="34" t="n"/>
      <c r="L241" s="34" t="n"/>
      <c r="M241" s="41" t="n"/>
      <c r="N241" s="41" t="n"/>
      <c r="O241" s="34" t="n"/>
      <c r="P241" s="41" t="n"/>
    </row>
    <row r="242">
      <c r="A242" s="132" t="n"/>
      <c r="B242" s="34" t="n"/>
      <c r="C242" s="41" t="n"/>
      <c r="D242" s="34" t="n"/>
      <c r="E242" s="34" t="n"/>
      <c r="F242" s="34" t="n"/>
      <c r="G242" s="34" t="n"/>
      <c r="H242" s="44" t="n"/>
      <c r="I242" s="44" t="n"/>
      <c r="J242" s="76">
        <f>IF(N($H242)=0,"",$I242/$H242)</f>
        <v/>
      </c>
      <c r="K242" s="34" t="n"/>
      <c r="L242" s="34" t="n"/>
      <c r="M242" s="41" t="n"/>
      <c r="N242" s="41" t="n"/>
      <c r="O242" s="34" t="n"/>
      <c r="P242" s="41" t="n"/>
    </row>
    <row r="243">
      <c r="A243" s="132" t="n"/>
      <c r="B243" s="34" t="n"/>
      <c r="C243" s="41" t="n"/>
      <c r="D243" s="34" t="n"/>
      <c r="E243" s="34" t="n"/>
      <c r="F243" s="34" t="n"/>
      <c r="G243" s="34" t="n"/>
      <c r="H243" s="44" t="n"/>
      <c r="I243" s="44" t="n"/>
      <c r="J243" s="76">
        <f>IF(N($H243)=0,"",$I243/$H243)</f>
        <v/>
      </c>
      <c r="K243" s="34" t="n"/>
      <c r="L243" s="34" t="n"/>
      <c r="M243" s="41" t="n"/>
      <c r="N243" s="41" t="n"/>
      <c r="O243" s="34" t="n"/>
      <c r="P243" s="41" t="n"/>
    </row>
    <row r="244">
      <c r="A244" s="132" t="n"/>
      <c r="B244" s="34" t="n"/>
      <c r="C244" s="41" t="n"/>
      <c r="D244" s="34" t="n"/>
      <c r="E244" s="34" t="n"/>
      <c r="F244" s="34" t="n"/>
      <c r="G244" s="34" t="n"/>
      <c r="H244" s="44" t="n"/>
      <c r="I244" s="44" t="n"/>
      <c r="J244" s="76">
        <f>IF(N($H244)=0,"",$I244/$H244)</f>
        <v/>
      </c>
      <c r="K244" s="34" t="n"/>
      <c r="L244" s="34" t="n"/>
      <c r="M244" s="41" t="n"/>
      <c r="N244" s="41" t="n"/>
      <c r="O244" s="34" t="n"/>
      <c r="P244" s="41" t="n"/>
    </row>
    <row r="245">
      <c r="A245" s="132" t="n"/>
      <c r="B245" s="34" t="n"/>
      <c r="C245" s="41" t="n"/>
      <c r="D245" s="34" t="n"/>
      <c r="E245" s="34" t="n"/>
      <c r="F245" s="34" t="n"/>
      <c r="G245" s="34" t="n"/>
      <c r="H245" s="44" t="n"/>
      <c r="I245" s="44" t="n"/>
      <c r="J245" s="76">
        <f>IF(N($H245)=0,"",$I245/$H245)</f>
        <v/>
      </c>
      <c r="K245" s="34" t="n"/>
      <c r="L245" s="34" t="n"/>
      <c r="M245" s="41" t="n"/>
      <c r="N245" s="41" t="n"/>
      <c r="O245" s="34" t="n"/>
      <c r="P245" s="41" t="n"/>
    </row>
    <row r="246">
      <c r="A246" s="132" t="n"/>
      <c r="B246" s="34" t="n"/>
      <c r="C246" s="41" t="n"/>
      <c r="D246" s="34" t="n"/>
      <c r="E246" s="34" t="n"/>
      <c r="F246" s="34" t="n"/>
      <c r="G246" s="34" t="n"/>
      <c r="H246" s="44" t="n"/>
      <c r="I246" s="44" t="n"/>
      <c r="J246" s="76">
        <f>IF(N($H246)=0,"",$I246/$H246)</f>
        <v/>
      </c>
      <c r="K246" s="34" t="n"/>
      <c r="L246" s="34" t="n"/>
      <c r="M246" s="41" t="n"/>
      <c r="N246" s="41" t="n"/>
      <c r="O246" s="34" t="n"/>
      <c r="P246" s="41" t="n"/>
    </row>
    <row r="247">
      <c r="A247" s="132" t="n"/>
      <c r="B247" s="34" t="n"/>
      <c r="C247" s="41" t="n"/>
      <c r="D247" s="34" t="n"/>
      <c r="E247" s="34" t="n"/>
      <c r="F247" s="34" t="n"/>
      <c r="G247" s="34" t="n"/>
      <c r="H247" s="44" t="n"/>
      <c r="I247" s="44" t="n"/>
      <c r="J247" s="76">
        <f>IF(N($H247)=0,"",$I247/$H247)</f>
        <v/>
      </c>
      <c r="K247" s="34" t="n"/>
      <c r="L247" s="34" t="n"/>
      <c r="M247" s="41" t="n"/>
      <c r="N247" s="41" t="n"/>
      <c r="O247" s="34" t="n"/>
      <c r="P247" s="41" t="n"/>
    </row>
    <row r="248">
      <c r="A248" s="132" t="n"/>
      <c r="B248" s="34" t="n"/>
      <c r="C248" s="41" t="n"/>
      <c r="D248" s="34" t="n"/>
      <c r="E248" s="34" t="n"/>
      <c r="F248" s="34" t="n"/>
      <c r="G248" s="34" t="n"/>
      <c r="H248" s="44" t="n"/>
      <c r="I248" s="44" t="n"/>
      <c r="J248" s="76">
        <f>IF(N($H248)=0,"",$I248/$H248)</f>
        <v/>
      </c>
      <c r="K248" s="34" t="n"/>
      <c r="L248" s="34" t="n"/>
      <c r="M248" s="41" t="n"/>
      <c r="N248" s="41" t="n"/>
      <c r="O248" s="34" t="n"/>
      <c r="P248" s="41" t="n"/>
    </row>
    <row r="249">
      <c r="A249" s="132" t="n"/>
      <c r="B249" s="34" t="n"/>
      <c r="C249" s="41" t="n"/>
      <c r="D249" s="34" t="n"/>
      <c r="E249" s="34" t="n"/>
      <c r="F249" s="34" t="n"/>
      <c r="G249" s="34" t="n"/>
      <c r="H249" s="44" t="n"/>
      <c r="I249" s="44" t="n"/>
      <c r="J249" s="76">
        <f>IF(N($H249)=0,"",$I249/$H249)</f>
        <v/>
      </c>
      <c r="K249" s="34" t="n"/>
      <c r="L249" s="34" t="n"/>
      <c r="M249" s="41" t="n"/>
      <c r="N249" s="41" t="n"/>
      <c r="O249" s="34" t="n"/>
      <c r="P249" s="41" t="n"/>
    </row>
    <row r="250">
      <c r="A250" s="132" t="n"/>
      <c r="B250" s="34" t="n"/>
      <c r="C250" s="41" t="n"/>
      <c r="D250" s="34" t="n"/>
      <c r="E250" s="34" t="n"/>
      <c r="F250" s="34" t="n"/>
      <c r="G250" s="34" t="n"/>
      <c r="H250" s="44" t="n"/>
      <c r="I250" s="44" t="n"/>
      <c r="J250" s="76">
        <f>IF(N($H250)=0,"",$I250/$H250)</f>
        <v/>
      </c>
      <c r="K250" s="34" t="n"/>
      <c r="L250" s="34" t="n"/>
      <c r="M250" s="41" t="n"/>
      <c r="N250" s="41" t="n"/>
      <c r="O250" s="34" t="n"/>
      <c r="P250" s="41" t="n"/>
    </row>
    <row r="251">
      <c r="A251" s="132" t="n"/>
      <c r="B251" s="34" t="n"/>
      <c r="C251" s="41" t="n"/>
      <c r="D251" s="34" t="n"/>
      <c r="E251" s="34" t="n"/>
      <c r="F251" s="34" t="n"/>
      <c r="G251" s="34" t="n"/>
      <c r="H251" s="44" t="n"/>
      <c r="I251" s="44" t="n"/>
      <c r="J251" s="76">
        <f>IF(N($H251)=0,"",$I251/$H251)</f>
        <v/>
      </c>
      <c r="K251" s="34" t="n"/>
      <c r="L251" s="34" t="n"/>
      <c r="M251" s="41" t="n"/>
      <c r="N251" s="41" t="n"/>
      <c r="O251" s="34" t="n"/>
      <c r="P251" s="41" t="n"/>
    </row>
    <row r="252">
      <c r="A252" s="132" t="n"/>
      <c r="B252" s="34" t="n"/>
      <c r="C252" s="41" t="n"/>
      <c r="D252" s="34" t="n"/>
      <c r="E252" s="34" t="n"/>
      <c r="F252" s="34" t="n"/>
      <c r="G252" s="34" t="n"/>
      <c r="H252" s="44" t="n"/>
      <c r="I252" s="44" t="n"/>
      <c r="J252" s="76">
        <f>IF(N($H252)=0,"",$I252/$H252)</f>
        <v/>
      </c>
      <c r="K252" s="34" t="n"/>
      <c r="L252" s="34" t="n"/>
      <c r="M252" s="41" t="n"/>
      <c r="N252" s="41" t="n"/>
      <c r="O252" s="34" t="n"/>
      <c r="P252" s="41" t="n"/>
    </row>
    <row r="253">
      <c r="A253" s="132" t="n"/>
      <c r="B253" s="34" t="n"/>
      <c r="C253" s="41" t="n"/>
      <c r="D253" s="34" t="n"/>
      <c r="E253" s="34" t="n"/>
      <c r="F253" s="34" t="n"/>
      <c r="G253" s="34" t="n"/>
      <c r="H253" s="44" t="n"/>
      <c r="I253" s="44" t="n"/>
      <c r="J253" s="76">
        <f>IF(N($H253)=0,"",$I253/$H253)</f>
        <v/>
      </c>
      <c r="K253" s="34" t="n"/>
      <c r="L253" s="34" t="n"/>
      <c r="M253" s="41" t="n"/>
      <c r="N253" s="41" t="n"/>
      <c r="O253" s="34" t="n"/>
      <c r="P253" s="41" t="n"/>
    </row>
    <row r="254">
      <c r="A254" s="132" t="n"/>
      <c r="B254" s="34" t="n"/>
      <c r="C254" s="41" t="n"/>
      <c r="D254" s="34" t="n"/>
      <c r="E254" s="34" t="n"/>
      <c r="F254" s="34" t="n"/>
      <c r="G254" s="34" t="n"/>
      <c r="H254" s="44" t="n"/>
      <c r="I254" s="44" t="n"/>
      <c r="J254" s="76">
        <f>IF(N($H254)=0,"",$I254/$H254)</f>
        <v/>
      </c>
      <c r="K254" s="34" t="n"/>
      <c r="L254" s="34" t="n"/>
      <c r="M254" s="41" t="n"/>
      <c r="N254" s="41" t="n"/>
      <c r="O254" s="34" t="n"/>
      <c r="P254" s="41" t="n"/>
    </row>
    <row r="255">
      <c r="A255" s="132" t="n"/>
      <c r="B255" s="34" t="n"/>
      <c r="C255" s="41" t="n"/>
      <c r="D255" s="34" t="n"/>
      <c r="E255" s="34" t="n"/>
      <c r="F255" s="34" t="n"/>
      <c r="G255" s="34" t="n"/>
      <c r="H255" s="44" t="n"/>
      <c r="I255" s="44" t="n"/>
      <c r="J255" s="76">
        <f>IF(N($H255)=0,"",$I255/$H255)</f>
        <v/>
      </c>
      <c r="K255" s="34" t="n"/>
      <c r="L255" s="34" t="n"/>
      <c r="M255" s="41" t="n"/>
      <c r="N255" s="41" t="n"/>
      <c r="O255" s="34" t="n"/>
      <c r="P255" s="41" t="n"/>
    </row>
    <row r="256">
      <c r="A256" s="132" t="n"/>
      <c r="B256" s="34" t="n"/>
      <c r="C256" s="41" t="n"/>
      <c r="D256" s="34" t="n"/>
      <c r="E256" s="34" t="n"/>
      <c r="F256" s="34" t="n"/>
      <c r="G256" s="34" t="n"/>
      <c r="H256" s="44" t="n"/>
      <c r="I256" s="44" t="n"/>
      <c r="J256" s="76">
        <f>IF(N($H256)=0,"",$I256/$H256)</f>
        <v/>
      </c>
      <c r="K256" s="34" t="n"/>
      <c r="L256" s="34" t="n"/>
      <c r="M256" s="41" t="n"/>
      <c r="N256" s="41" t="n"/>
      <c r="O256" s="34" t="n"/>
      <c r="P256" s="41" t="n"/>
    </row>
  </sheetData>
  <mergeCells count="2">
    <mergeCell ref="A1:P1"/>
    <mergeCell ref="A2:P2"/>
  </mergeCells>
  <conditionalFormatting sqref="P7:P256">
    <cfRule type="cellIs" priority="1" operator="equal" dxfId="0">
      <formula>"No"</formula>
    </cfRule>
  </conditionalFormatting>
  <conditionalFormatting sqref="K7:K256">
    <cfRule type="expression" priority="2" dxfId="6">
      <formula>AND($A7&lt;&gt;"",$K7="")</formula>
    </cfRule>
    <cfRule type="expression" priority="3" dxfId="0">
      <formula>AND($B7&lt;&gt;"",$K7=$B7)</formula>
    </cfRule>
  </conditionalFormatting>
  <dataValidations count="8">
    <dataValidation sqref="B7:B256" showDropDown="0" showInputMessage="0" showErrorMessage="0" allowBlank="1" error="Pick a value from the list." promptTitle="Member" type="list">
      <formula1>=LISTS!$H$5:$H$10</formula1>
    </dataValidation>
    <dataValidation sqref="C7:C256" showDropDown="0" showInputMessage="0" showErrorMessage="0" allowBlank="1" error="Pick a value from the list." promptTitle="Milestone" type="list">
      <formula1>=LISTS!$D$5:$D$8</formula1>
    </dataValidation>
    <dataValidation sqref="F7:F256" showDropDown="0" showInputMessage="0" showErrorMessage="0" allowBlank="1" error="Pick a value from the list." promptTitle="AI tool" type="list">
      <formula1>=LISTS!$G$5:$G$11</formula1>
    </dataValidation>
    <dataValidation sqref="K7:K256" showDropDown="0" showInputMessage="0" showErrorMessage="0" allowBlank="1" error="Pick a value from the list." promptTitle="Reviewer" type="list">
      <formula1>=LISTS!$H$5:$H$10</formula1>
    </dataValidation>
    <dataValidation sqref="L7:L256" showDropDown="0" showInputMessage="0" showErrorMessage="0" allowBlank="1" error="Pick a value from the list." promptTitle="Review verdict" type="list">
      <formula1>=LISTS!$R$5:$R$9</formula1>
    </dataValidation>
    <dataValidation sqref="M7:M256" showDropDown="0" showInputMessage="0" showErrorMessage="0" allowBlank="1" error="Pick a value from the list." promptTitle="Tests written?" type="list">
      <formula1>=LISTS!$I$5:$I$6</formula1>
    </dataValidation>
    <dataValidation sqref="N7:N256" showDropDown="0" showInputMessage="0" showErrorMessage="0" allowBlank="1" error="Pick a value from the list." promptTitle="Test status" type="list">
      <formula1>"Pass,Fail,Not run"</formula1>
    </dataValidation>
    <dataValidation sqref="P7:P256" showDropDown="0" showInputMessage="0" showErrorMessage="0" allowBlank="1" error="Pick a value from the list." promptTitle="Approved?" type="list">
      <formula1>=LISTS!$I$5:$I$6</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tabColor rgb="00B4531A"/>
    <outlinePr summaryBelow="1" summaryRight="1"/>
    <pageSetUpPr fitToPage="1"/>
  </sheetPr>
  <dimension ref="A1:K46"/>
  <sheetViews>
    <sheetView showGridLines="0" workbookViewId="0">
      <pane ySplit="6" topLeftCell="A7" activePane="bottomLeft" state="frozen"/>
      <selection pane="bottomLeft" activeCell="A1" sqref="A1"/>
    </sheetView>
  </sheetViews>
  <sheetFormatPr baseColWidth="8" defaultRowHeight="15" outlineLevelCol="0"/>
  <cols>
    <col width="11" customWidth="1" min="1" max="1"/>
    <col width="9" customWidth="1" min="2" max="2"/>
    <col width="18" customWidth="1" min="3" max="3"/>
    <col width="9" customWidth="1" min="4" max="4"/>
    <col width="26" customWidth="1" min="5" max="5"/>
    <col width="26" customWidth="1" min="6" max="6"/>
    <col width="34" customWidth="1" min="7" max="7"/>
    <col width="34" customWidth="1" min="8" max="8"/>
    <col width="34" customWidth="1" min="9" max="9"/>
    <col width="22" customWidth="1" min="10" max="10"/>
    <col width="11" customWidth="1" min="11" max="11"/>
  </cols>
  <sheetData>
    <row r="1" ht="30" customHeight="1">
      <c r="A1" s="1" t="inlineStr">
        <is>
          <t>Form LOGCLIENT  -  Client Engagement Log</t>
        </is>
      </c>
    </row>
    <row r="2" ht="16" customHeight="1">
      <c r="A2" s="2" t="inlineStr">
        <is>
          <t>Proof of the client relationship. M1 needs 2 meetings, M2 needs 4, M3 needs 6 - cumulative.</t>
        </is>
      </c>
    </row>
    <row r="4">
      <c r="A4" s="23" t="inlineStr">
        <is>
          <t>Client</t>
        </is>
      </c>
      <c r="B4" s="24">
        <f>SETUP!$C$12</f>
        <v/>
      </c>
      <c r="F4" s="23" t="inlineStr">
        <is>
          <t>Meetings held</t>
        </is>
      </c>
      <c r="G4" s="67">
        <f>COUNTA(LOGCLIENT!$A$7:$A$46)</f>
        <v/>
      </c>
      <c r="H4" s="23" t="inlineStr">
        <is>
          <t>Face-to-face</t>
        </is>
      </c>
      <c r="I4" s="67">
        <f>COUNTIF(LOGCLIENT!$C$7:$C$46,"Face-to-face")</f>
        <v/>
      </c>
      <c r="J4" s="23" t="inlineStr">
        <is>
          <t>Total hours</t>
        </is>
      </c>
      <c r="K4" s="130">
        <f>SUM(LOGCLIENT!$D$7:$D$46)</f>
        <v/>
      </c>
    </row>
    <row r="6" ht="32" customHeight="1">
      <c r="A6" s="6" t="inlineStr">
        <is>
          <t>Date</t>
        </is>
      </c>
      <c r="B6" s="6" t="inlineStr">
        <is>
          <t>Milestone</t>
        </is>
      </c>
      <c r="C6" s="6" t="inlineStr">
        <is>
          <t>Mode</t>
        </is>
      </c>
      <c r="D6" s="6" t="inlineStr">
        <is>
          <t>Hours</t>
        </is>
      </c>
      <c r="E6" s="6" t="inlineStr">
        <is>
          <t>Team attendees</t>
        </is>
      </c>
      <c r="F6" s="6" t="inlineStr">
        <is>
          <t>Client attendees</t>
        </is>
      </c>
      <c r="G6" s="6" t="inlineStr">
        <is>
          <t>Purpose / agenda</t>
        </is>
      </c>
      <c r="H6" s="6" t="inlineStr">
        <is>
          <t>Decisions made</t>
        </is>
      </c>
      <c r="I6" s="6" t="inlineStr">
        <is>
          <t>Action items &amp; owners</t>
        </is>
      </c>
      <c r="J6" s="6" t="inlineStr">
        <is>
          <t>Evidence (minutes / photo link)</t>
        </is>
      </c>
      <c r="K6" s="6" t="inlineStr">
        <is>
          <t>Client sign-off?</t>
        </is>
      </c>
    </row>
    <row r="7" ht="28" customHeight="1">
      <c r="A7" s="132" t="n">
        <v>46305</v>
      </c>
      <c r="B7" s="41" t="inlineStr">
        <is>
          <t>M1</t>
        </is>
      </c>
      <c r="C7" s="41" t="inlineStr">
        <is>
          <t>Face-to-face</t>
        </is>
      </c>
      <c r="D7" s="133" t="n">
        <v>1.5</v>
      </c>
      <c r="E7" s="66" t="inlineStr">
        <is>
          <t>All five</t>
        </is>
      </c>
      <c r="F7" s="66" t="inlineStr">
        <is>
          <t>Encik Faizal, counter supervisor</t>
        </is>
      </c>
      <c r="G7" s="66" t="inlineStr">
        <is>
          <t>First visit: watch how orders are taken on paper today</t>
        </is>
      </c>
      <c r="H7" s="66" t="inlineStr">
        <is>
          <t>Scope limited to ordering and invoicing; stock control is out of scope for this semester</t>
        </is>
      </c>
      <c r="I7" s="66" t="inlineStr">
        <is>
          <t>Harith to draft the user stories by Friday; Aisyah to send the project brief</t>
        </is>
      </c>
      <c r="J7" s="66" t="inlineStr">
        <is>
          <t>Photos + notes in docs/meetings/m01.md</t>
        </is>
      </c>
      <c r="K7" s="41" t="inlineStr">
        <is>
          <t>No</t>
        </is>
      </c>
    </row>
    <row r="8" ht="28" customHeight="1">
      <c r="A8" s="132" t="n">
        <v>46319</v>
      </c>
      <c r="B8" s="41" t="inlineStr">
        <is>
          <t>M1</t>
        </is>
      </c>
      <c r="C8" s="41" t="inlineStr">
        <is>
          <t>Face-to-face</t>
        </is>
      </c>
      <c r="D8" s="133" t="n">
        <v>2</v>
      </c>
      <c r="E8" s="66" t="inlineStr">
        <is>
          <t>Harith, Aisyah, Priya</t>
        </is>
      </c>
      <c r="F8" s="66" t="inlineStr">
        <is>
          <t>Encik Faizal</t>
        </is>
      </c>
      <c r="G8" s="66" t="inlineStr">
        <is>
          <t>Walk through the paper mock-ups of the order screen</t>
        </is>
      </c>
      <c r="H8" s="66" t="inlineStr">
        <is>
          <t>Order lines must allow a free-text note; quantity is by box, not kg</t>
        </is>
      </c>
      <c r="I8" s="66" t="inlineStr">
        <is>
          <t>Priya to redraw the order screen; Mei Ling to update the SRS</t>
        </is>
      </c>
      <c r="J8" s="66" t="inlineStr">
        <is>
          <t>Signed mock-up sheets, photographed</t>
        </is>
      </c>
      <c r="K8" s="41" t="inlineStr">
        <is>
          <t>Yes</t>
        </is>
      </c>
    </row>
    <row r="9" ht="28" customHeight="1">
      <c r="A9" s="132" t="n">
        <v>46333</v>
      </c>
      <c r="B9" s="41" t="inlineStr">
        <is>
          <t>M2</t>
        </is>
      </c>
      <c r="C9" s="41" t="inlineStr">
        <is>
          <t>Online (Zoom/Meet)</t>
        </is>
      </c>
      <c r="D9" s="133" t="n">
        <v>1</v>
      </c>
      <c r="E9" s="66" t="inlineStr">
        <is>
          <t>Harith, Daniel</t>
        </is>
      </c>
      <c r="F9" s="66" t="inlineStr">
        <is>
          <t>Encik Faizal</t>
        </is>
      </c>
      <c r="G9" s="66" t="inlineStr">
        <is>
          <t>Review the SRS section on pricing</t>
        </is>
      </c>
      <c r="H9" s="66" t="inlineStr">
        <is>
          <t>Prices change weekly - the app must keep the price at order time</t>
        </is>
      </c>
      <c r="I9" s="66" t="inlineStr">
        <is>
          <t>Daniel to change the data model to dated prices; raise a CCR</t>
        </is>
      </c>
      <c r="J9" s="66" t="inlineStr">
        <is>
          <t>docs/meetings/m03.md</t>
        </is>
      </c>
      <c r="K9" s="41" t="inlineStr">
        <is>
          <t>No</t>
        </is>
      </c>
    </row>
    <row r="10" ht="28" customHeight="1">
      <c r="A10" s="132" t="n">
        <v>46347</v>
      </c>
      <c r="B10" s="41" t="inlineStr">
        <is>
          <t>M2</t>
        </is>
      </c>
      <c r="C10" s="41" t="inlineStr">
        <is>
          <t>Face-to-face</t>
        </is>
      </c>
      <c r="D10" s="133" t="n">
        <v>2</v>
      </c>
      <c r="E10" s="66" t="inlineStr">
        <is>
          <t>All five</t>
        </is>
      </c>
      <c r="F10" s="66" t="inlineStr">
        <is>
          <t>Encik Faizal, two counter staff</t>
        </is>
      </c>
      <c r="G10" s="66" t="inlineStr">
        <is>
          <t>Demonstrate the prototype on a real device</t>
        </is>
      </c>
      <c r="H10" s="66" t="inlineStr">
        <is>
          <t>Staff asked for a bigger font; confirmed the offline requirement is real, the shop loses signal daily</t>
        </is>
      </c>
      <c r="I10" s="66" t="inlineStr">
        <is>
          <t>Priya to raise the font issue; Mei Ling to prioritise the offline queue</t>
        </is>
      </c>
      <c r="J10" s="66" t="inlineStr">
        <is>
          <t>Video of the session</t>
        </is>
      </c>
      <c r="K10" s="41" t="inlineStr">
        <is>
          <t>Yes</t>
        </is>
      </c>
    </row>
    <row r="11" ht="28" customHeight="1">
      <c r="A11" s="132" t="n">
        <v>46361</v>
      </c>
      <c r="B11" s="41" t="inlineStr">
        <is>
          <t>M3</t>
        </is>
      </c>
      <c r="C11" s="41" t="inlineStr">
        <is>
          <t>Face-to-face</t>
        </is>
      </c>
      <c r="D11" s="133" t="n">
        <v>1.5</v>
      </c>
      <c r="E11" s="66" t="inlineStr">
        <is>
          <t>Harith, Mei Ling, Daniel</t>
        </is>
      </c>
      <c r="F11" s="66" t="inlineStr">
        <is>
          <t>Encik Faizal</t>
        </is>
      </c>
      <c r="G11" s="66" t="inlineStr">
        <is>
          <t>Review invoice layout and the order history screen</t>
        </is>
      </c>
      <c r="H11" s="66" t="inlineStr">
        <is>
          <t>Invoice must show the shop name and SSM number; history only needs 30 days</t>
        </is>
      </c>
      <c r="I11" s="66" t="inlineStr">
        <is>
          <t>Harith to update the invoice template</t>
        </is>
      </c>
      <c r="J11" s="66" t="inlineStr">
        <is>
          <t>docs/meetings/m05.md</t>
        </is>
      </c>
      <c r="K11" s="41" t="inlineStr">
        <is>
          <t>No</t>
        </is>
      </c>
    </row>
    <row r="12" ht="28" customHeight="1">
      <c r="A12" s="132" t="n">
        <v>46368</v>
      </c>
      <c r="B12" s="41" t="inlineStr">
        <is>
          <t>M3</t>
        </is>
      </c>
      <c r="C12" s="41" t="inlineStr">
        <is>
          <t>Face-to-face</t>
        </is>
      </c>
      <c r="D12" s="133" t="n">
        <v>2.5</v>
      </c>
      <c r="E12" s="66" t="inlineStr">
        <is>
          <t>All five</t>
        </is>
      </c>
      <c r="F12" s="66" t="inlineStr">
        <is>
          <t>Encik Faizal, two counter staff</t>
        </is>
      </c>
      <c r="G12" s="66" t="inlineStr">
        <is>
          <t>Acceptance test: staff place real orders unaided</t>
        </is>
      </c>
      <c r="H12" s="66" t="inlineStr">
        <is>
          <t>Accepted with one cosmetic change (font size at the till)</t>
        </is>
      </c>
      <c r="I12" s="66" t="inlineStr">
        <is>
          <t>Priya to ship the font fix before handover</t>
        </is>
      </c>
      <c r="J12" s="66" t="inlineStr">
        <is>
          <t>Signed acceptance sheet</t>
        </is>
      </c>
      <c r="K12" s="41" t="inlineStr">
        <is>
          <t>Yes</t>
        </is>
      </c>
    </row>
    <row r="13" ht="28" customHeight="1">
      <c r="A13" s="132" t="n">
        <v>46389</v>
      </c>
      <c r="B13" s="41" t="inlineStr">
        <is>
          <t>M4</t>
        </is>
      </c>
      <c r="C13" s="41" t="inlineStr">
        <is>
          <t>Face-to-face</t>
        </is>
      </c>
      <c r="D13" s="133" t="n">
        <v>2</v>
      </c>
      <c r="E13" s="66" t="inlineStr">
        <is>
          <t>All five</t>
        </is>
      </c>
      <c r="F13" s="66" t="inlineStr">
        <is>
          <t>Encik Faizal, two counter staff</t>
        </is>
      </c>
      <c r="G13" s="66" t="inlineStr">
        <is>
          <t>Handover: install the release build, train two staff, leave the quick card</t>
        </is>
      </c>
      <c r="H13" s="66" t="inlineStr">
        <is>
          <t>Client signed off; agreed to a follow-up call in two weeks</t>
        </is>
      </c>
      <c r="I13" s="66" t="inlineStr">
        <is>
          <t>Aisyah to send the repository link and the manual</t>
        </is>
      </c>
      <c r="J13" s="66" t="inlineStr">
        <is>
          <t>Signed handover form</t>
        </is>
      </c>
      <c r="K13" s="41" t="inlineStr">
        <is>
          <t>Yes</t>
        </is>
      </c>
    </row>
    <row r="14" ht="28" customHeight="1">
      <c r="A14" s="132" t="n"/>
      <c r="B14" s="41" t="n"/>
      <c r="C14" s="41" t="n"/>
      <c r="D14" s="133" t="n"/>
      <c r="E14" s="66" t="n"/>
      <c r="F14" s="66" t="n"/>
      <c r="G14" s="66" t="n"/>
      <c r="H14" s="66" t="n"/>
      <c r="I14" s="66" t="n"/>
      <c r="J14" s="66" t="n"/>
      <c r="K14" s="41" t="n"/>
    </row>
    <row r="15" ht="28" customHeight="1">
      <c r="A15" s="132" t="n"/>
      <c r="B15" s="41" t="n"/>
      <c r="C15" s="41" t="n"/>
      <c r="D15" s="133" t="n"/>
      <c r="E15" s="66" t="n"/>
      <c r="F15" s="66" t="n"/>
      <c r="G15" s="66" t="n"/>
      <c r="H15" s="66" t="n"/>
      <c r="I15" s="66" t="n"/>
      <c r="J15" s="66" t="n"/>
      <c r="K15" s="41" t="n"/>
    </row>
    <row r="16" ht="28" customHeight="1">
      <c r="A16" s="132" t="n"/>
      <c r="B16" s="41" t="n"/>
      <c r="C16" s="41" t="n"/>
      <c r="D16" s="133" t="n"/>
      <c r="E16" s="66" t="n"/>
      <c r="F16" s="66" t="n"/>
      <c r="G16" s="66" t="n"/>
      <c r="H16" s="66" t="n"/>
      <c r="I16" s="66" t="n"/>
      <c r="J16" s="66" t="n"/>
      <c r="K16" s="41" t="n"/>
    </row>
    <row r="17" ht="28" customHeight="1">
      <c r="A17" s="132" t="n"/>
      <c r="B17" s="41" t="n"/>
      <c r="C17" s="41" t="n"/>
      <c r="D17" s="133" t="n"/>
      <c r="E17" s="66" t="n"/>
      <c r="F17" s="66" t="n"/>
      <c r="G17" s="66" t="n"/>
      <c r="H17" s="66" t="n"/>
      <c r="I17" s="66" t="n"/>
      <c r="J17" s="66" t="n"/>
      <c r="K17" s="41" t="n"/>
    </row>
    <row r="18" ht="28" customHeight="1">
      <c r="A18" s="132" t="n"/>
      <c r="B18" s="41" t="n"/>
      <c r="C18" s="41" t="n"/>
      <c r="D18" s="133" t="n"/>
      <c r="E18" s="66" t="n"/>
      <c r="F18" s="66" t="n"/>
      <c r="G18" s="66" t="n"/>
      <c r="H18" s="66" t="n"/>
      <c r="I18" s="66" t="n"/>
      <c r="J18" s="66" t="n"/>
      <c r="K18" s="41" t="n"/>
    </row>
    <row r="19" ht="28" customHeight="1">
      <c r="A19" s="132" t="n"/>
      <c r="B19" s="41" t="n"/>
      <c r="C19" s="41" t="n"/>
      <c r="D19" s="133" t="n"/>
      <c r="E19" s="66" t="n"/>
      <c r="F19" s="66" t="n"/>
      <c r="G19" s="66" t="n"/>
      <c r="H19" s="66" t="n"/>
      <c r="I19" s="66" t="n"/>
      <c r="J19" s="66" t="n"/>
      <c r="K19" s="41" t="n"/>
    </row>
    <row r="20" ht="28" customHeight="1">
      <c r="A20" s="132" t="n"/>
      <c r="B20" s="41" t="n"/>
      <c r="C20" s="41" t="n"/>
      <c r="D20" s="133" t="n"/>
      <c r="E20" s="66" t="n"/>
      <c r="F20" s="66" t="n"/>
      <c r="G20" s="66" t="n"/>
      <c r="H20" s="66" t="n"/>
      <c r="I20" s="66" t="n"/>
      <c r="J20" s="66" t="n"/>
      <c r="K20" s="41" t="n"/>
    </row>
    <row r="21" ht="28" customHeight="1">
      <c r="A21" s="132" t="n"/>
      <c r="B21" s="41" t="n"/>
      <c r="C21" s="41" t="n"/>
      <c r="D21" s="133" t="n"/>
      <c r="E21" s="66" t="n"/>
      <c r="F21" s="66" t="n"/>
      <c r="G21" s="66" t="n"/>
      <c r="H21" s="66" t="n"/>
      <c r="I21" s="66" t="n"/>
      <c r="J21" s="66" t="n"/>
      <c r="K21" s="41" t="n"/>
    </row>
    <row r="22" ht="28" customHeight="1">
      <c r="A22" s="132" t="n"/>
      <c r="B22" s="41" t="n"/>
      <c r="C22" s="41" t="n"/>
      <c r="D22" s="133" t="n"/>
      <c r="E22" s="66" t="n"/>
      <c r="F22" s="66" t="n"/>
      <c r="G22" s="66" t="n"/>
      <c r="H22" s="66" t="n"/>
      <c r="I22" s="66" t="n"/>
      <c r="J22" s="66" t="n"/>
      <c r="K22" s="41" t="n"/>
    </row>
    <row r="23" ht="28" customHeight="1">
      <c r="A23" s="132" t="n"/>
      <c r="B23" s="41" t="n"/>
      <c r="C23" s="41" t="n"/>
      <c r="D23" s="133" t="n"/>
      <c r="E23" s="66" t="n"/>
      <c r="F23" s="66" t="n"/>
      <c r="G23" s="66" t="n"/>
      <c r="H23" s="66" t="n"/>
      <c r="I23" s="66" t="n"/>
      <c r="J23" s="66" t="n"/>
      <c r="K23" s="41" t="n"/>
    </row>
    <row r="24" ht="28" customHeight="1">
      <c r="A24" s="132" t="n"/>
      <c r="B24" s="41" t="n"/>
      <c r="C24" s="41" t="n"/>
      <c r="D24" s="133" t="n"/>
      <c r="E24" s="66" t="n"/>
      <c r="F24" s="66" t="n"/>
      <c r="G24" s="66" t="n"/>
      <c r="H24" s="66" t="n"/>
      <c r="I24" s="66" t="n"/>
      <c r="J24" s="66" t="n"/>
      <c r="K24" s="41" t="n"/>
    </row>
    <row r="25" ht="28" customHeight="1">
      <c r="A25" s="132" t="n"/>
      <c r="B25" s="41" t="n"/>
      <c r="C25" s="41" t="n"/>
      <c r="D25" s="133" t="n"/>
      <c r="E25" s="66" t="n"/>
      <c r="F25" s="66" t="n"/>
      <c r="G25" s="66" t="n"/>
      <c r="H25" s="66" t="n"/>
      <c r="I25" s="66" t="n"/>
      <c r="J25" s="66" t="n"/>
      <c r="K25" s="41" t="n"/>
    </row>
    <row r="26" ht="28" customHeight="1">
      <c r="A26" s="132" t="n"/>
      <c r="B26" s="41" t="n"/>
      <c r="C26" s="41" t="n"/>
      <c r="D26" s="133" t="n"/>
      <c r="E26" s="66" t="n"/>
      <c r="F26" s="66" t="n"/>
      <c r="G26" s="66" t="n"/>
      <c r="H26" s="66" t="n"/>
      <c r="I26" s="66" t="n"/>
      <c r="J26" s="66" t="n"/>
      <c r="K26" s="41" t="n"/>
    </row>
    <row r="27" ht="28" customHeight="1">
      <c r="A27" s="132" t="n"/>
      <c r="B27" s="41" t="n"/>
      <c r="C27" s="41" t="n"/>
      <c r="D27" s="133" t="n"/>
      <c r="E27" s="66" t="n"/>
      <c r="F27" s="66" t="n"/>
      <c r="G27" s="66" t="n"/>
      <c r="H27" s="66" t="n"/>
      <c r="I27" s="66" t="n"/>
      <c r="J27" s="66" t="n"/>
      <c r="K27" s="41" t="n"/>
    </row>
    <row r="28" ht="28" customHeight="1">
      <c r="A28" s="132" t="n"/>
      <c r="B28" s="41" t="n"/>
      <c r="C28" s="41" t="n"/>
      <c r="D28" s="133" t="n"/>
      <c r="E28" s="66" t="n"/>
      <c r="F28" s="66" t="n"/>
      <c r="G28" s="66" t="n"/>
      <c r="H28" s="66" t="n"/>
      <c r="I28" s="66" t="n"/>
      <c r="J28" s="66" t="n"/>
      <c r="K28" s="41" t="n"/>
    </row>
    <row r="29" ht="28" customHeight="1">
      <c r="A29" s="132" t="n"/>
      <c r="B29" s="41" t="n"/>
      <c r="C29" s="41" t="n"/>
      <c r="D29" s="133" t="n"/>
      <c r="E29" s="66" t="n"/>
      <c r="F29" s="66" t="n"/>
      <c r="G29" s="66" t="n"/>
      <c r="H29" s="66" t="n"/>
      <c r="I29" s="66" t="n"/>
      <c r="J29" s="66" t="n"/>
      <c r="K29" s="41" t="n"/>
    </row>
    <row r="30" ht="28" customHeight="1">
      <c r="A30" s="132" t="n"/>
      <c r="B30" s="41" t="n"/>
      <c r="C30" s="41" t="n"/>
      <c r="D30" s="133" t="n"/>
      <c r="E30" s="66" t="n"/>
      <c r="F30" s="66" t="n"/>
      <c r="G30" s="66" t="n"/>
      <c r="H30" s="66" t="n"/>
      <c r="I30" s="66" t="n"/>
      <c r="J30" s="66" t="n"/>
      <c r="K30" s="41" t="n"/>
    </row>
    <row r="31" ht="28" customHeight="1">
      <c r="A31" s="132" t="n"/>
      <c r="B31" s="41" t="n"/>
      <c r="C31" s="41" t="n"/>
      <c r="D31" s="133" t="n"/>
      <c r="E31" s="66" t="n"/>
      <c r="F31" s="66" t="n"/>
      <c r="G31" s="66" t="n"/>
      <c r="H31" s="66" t="n"/>
      <c r="I31" s="66" t="n"/>
      <c r="J31" s="66" t="n"/>
      <c r="K31" s="41" t="n"/>
    </row>
    <row r="32" ht="28" customHeight="1">
      <c r="A32" s="132" t="n"/>
      <c r="B32" s="41" t="n"/>
      <c r="C32" s="41" t="n"/>
      <c r="D32" s="133" t="n"/>
      <c r="E32" s="66" t="n"/>
      <c r="F32" s="66" t="n"/>
      <c r="G32" s="66" t="n"/>
      <c r="H32" s="66" t="n"/>
      <c r="I32" s="66" t="n"/>
      <c r="J32" s="66" t="n"/>
      <c r="K32" s="41" t="n"/>
    </row>
    <row r="33" ht="28" customHeight="1">
      <c r="A33" s="132" t="n"/>
      <c r="B33" s="41" t="n"/>
      <c r="C33" s="41" t="n"/>
      <c r="D33" s="133" t="n"/>
      <c r="E33" s="66" t="n"/>
      <c r="F33" s="66" t="n"/>
      <c r="G33" s="66" t="n"/>
      <c r="H33" s="66" t="n"/>
      <c r="I33" s="66" t="n"/>
      <c r="J33" s="66" t="n"/>
      <c r="K33" s="41" t="n"/>
    </row>
    <row r="34" ht="28" customHeight="1">
      <c r="A34" s="132" t="n"/>
      <c r="B34" s="41" t="n"/>
      <c r="C34" s="41" t="n"/>
      <c r="D34" s="133" t="n"/>
      <c r="E34" s="66" t="n"/>
      <c r="F34" s="66" t="n"/>
      <c r="G34" s="66" t="n"/>
      <c r="H34" s="66" t="n"/>
      <c r="I34" s="66" t="n"/>
      <c r="J34" s="66" t="n"/>
      <c r="K34" s="41" t="n"/>
    </row>
    <row r="35" ht="28" customHeight="1">
      <c r="A35" s="132" t="n"/>
      <c r="B35" s="41" t="n"/>
      <c r="C35" s="41" t="n"/>
      <c r="D35" s="133" t="n"/>
      <c r="E35" s="66" t="n"/>
      <c r="F35" s="66" t="n"/>
      <c r="G35" s="66" t="n"/>
      <c r="H35" s="66" t="n"/>
      <c r="I35" s="66" t="n"/>
      <c r="J35" s="66" t="n"/>
      <c r="K35" s="41" t="n"/>
    </row>
    <row r="36" ht="28" customHeight="1">
      <c r="A36" s="132" t="n"/>
      <c r="B36" s="41" t="n"/>
      <c r="C36" s="41" t="n"/>
      <c r="D36" s="133" t="n"/>
      <c r="E36" s="66" t="n"/>
      <c r="F36" s="66" t="n"/>
      <c r="G36" s="66" t="n"/>
      <c r="H36" s="66" t="n"/>
      <c r="I36" s="66" t="n"/>
      <c r="J36" s="66" t="n"/>
      <c r="K36" s="41" t="n"/>
    </row>
    <row r="37" ht="28" customHeight="1">
      <c r="A37" s="132" t="n"/>
      <c r="B37" s="41" t="n"/>
      <c r="C37" s="41" t="n"/>
      <c r="D37" s="133" t="n"/>
      <c r="E37" s="66" t="n"/>
      <c r="F37" s="66" t="n"/>
      <c r="G37" s="66" t="n"/>
      <c r="H37" s="66" t="n"/>
      <c r="I37" s="66" t="n"/>
      <c r="J37" s="66" t="n"/>
      <c r="K37" s="41" t="n"/>
    </row>
    <row r="38" ht="28" customHeight="1">
      <c r="A38" s="132" t="n"/>
      <c r="B38" s="41" t="n"/>
      <c r="C38" s="41" t="n"/>
      <c r="D38" s="133" t="n"/>
      <c r="E38" s="66" t="n"/>
      <c r="F38" s="66" t="n"/>
      <c r="G38" s="66" t="n"/>
      <c r="H38" s="66" t="n"/>
      <c r="I38" s="66" t="n"/>
      <c r="J38" s="66" t="n"/>
      <c r="K38" s="41" t="n"/>
    </row>
    <row r="39" ht="28" customHeight="1">
      <c r="A39" s="132" t="n"/>
      <c r="B39" s="41" t="n"/>
      <c r="C39" s="41" t="n"/>
      <c r="D39" s="133" t="n"/>
      <c r="E39" s="66" t="n"/>
      <c r="F39" s="66" t="n"/>
      <c r="G39" s="66" t="n"/>
      <c r="H39" s="66" t="n"/>
      <c r="I39" s="66" t="n"/>
      <c r="J39" s="66" t="n"/>
      <c r="K39" s="41" t="n"/>
    </row>
    <row r="40" ht="28" customHeight="1">
      <c r="A40" s="132" t="n"/>
      <c r="B40" s="41" t="n"/>
      <c r="C40" s="41" t="n"/>
      <c r="D40" s="133" t="n"/>
      <c r="E40" s="66" t="n"/>
      <c r="F40" s="66" t="n"/>
      <c r="G40" s="66" t="n"/>
      <c r="H40" s="66" t="n"/>
      <c r="I40" s="66" t="n"/>
      <c r="J40" s="66" t="n"/>
      <c r="K40" s="41" t="n"/>
    </row>
    <row r="41" ht="28" customHeight="1">
      <c r="A41" s="132" t="n"/>
      <c r="B41" s="41" t="n"/>
      <c r="C41" s="41" t="n"/>
      <c r="D41" s="133" t="n"/>
      <c r="E41" s="66" t="n"/>
      <c r="F41" s="66" t="n"/>
      <c r="G41" s="66" t="n"/>
      <c r="H41" s="66" t="n"/>
      <c r="I41" s="66" t="n"/>
      <c r="J41" s="66" t="n"/>
      <c r="K41" s="41" t="n"/>
    </row>
    <row r="42" ht="28" customHeight="1">
      <c r="A42" s="132" t="n"/>
      <c r="B42" s="41" t="n"/>
      <c r="C42" s="41" t="n"/>
      <c r="D42" s="133" t="n"/>
      <c r="E42" s="66" t="n"/>
      <c r="F42" s="66" t="n"/>
      <c r="G42" s="66" t="n"/>
      <c r="H42" s="66" t="n"/>
      <c r="I42" s="66" t="n"/>
      <c r="J42" s="66" t="n"/>
      <c r="K42" s="41" t="n"/>
    </row>
    <row r="43" ht="28" customHeight="1">
      <c r="A43" s="132" t="n"/>
      <c r="B43" s="41" t="n"/>
      <c r="C43" s="41" t="n"/>
      <c r="D43" s="133" t="n"/>
      <c r="E43" s="66" t="n"/>
      <c r="F43" s="66" t="n"/>
      <c r="G43" s="66" t="n"/>
      <c r="H43" s="66" t="n"/>
      <c r="I43" s="66" t="n"/>
      <c r="J43" s="66" t="n"/>
      <c r="K43" s="41" t="n"/>
    </row>
    <row r="44" ht="28" customHeight="1">
      <c r="A44" s="132" t="n"/>
      <c r="B44" s="41" t="n"/>
      <c r="C44" s="41" t="n"/>
      <c r="D44" s="133" t="n"/>
      <c r="E44" s="66" t="n"/>
      <c r="F44" s="66" t="n"/>
      <c r="G44" s="66" t="n"/>
      <c r="H44" s="66" t="n"/>
      <c r="I44" s="66" t="n"/>
      <c r="J44" s="66" t="n"/>
      <c r="K44" s="41" t="n"/>
    </row>
    <row r="45" ht="28" customHeight="1">
      <c r="A45" s="132" t="n"/>
      <c r="B45" s="41" t="n"/>
      <c r="C45" s="41" t="n"/>
      <c r="D45" s="133" t="n"/>
      <c r="E45" s="66" t="n"/>
      <c r="F45" s="66" t="n"/>
      <c r="G45" s="66" t="n"/>
      <c r="H45" s="66" t="n"/>
      <c r="I45" s="66" t="n"/>
      <c r="J45" s="66" t="n"/>
      <c r="K45" s="41" t="n"/>
    </row>
    <row r="46" ht="28" customHeight="1">
      <c r="A46" s="132" t="n"/>
      <c r="B46" s="41" t="n"/>
      <c r="C46" s="41" t="n"/>
      <c r="D46" s="133" t="n"/>
      <c r="E46" s="66" t="n"/>
      <c r="F46" s="66" t="n"/>
      <c r="G46" s="66" t="n"/>
      <c r="H46" s="66" t="n"/>
      <c r="I46" s="66" t="n"/>
      <c r="J46" s="66" t="n"/>
      <c r="K46" s="41" t="n"/>
    </row>
  </sheetData>
  <mergeCells count="2">
    <mergeCell ref="A2:K2"/>
    <mergeCell ref="A1:K1"/>
  </mergeCells>
  <dataValidations count="3">
    <dataValidation sqref="B7:B46" showDropDown="0" showInputMessage="0" showErrorMessage="0" allowBlank="1" error="Pick a value from the list." promptTitle="Milestone" type="list">
      <formula1>=LISTS!$D$5:$D$8</formula1>
    </dataValidation>
    <dataValidation sqref="C7:C46" showDropDown="0" showInputMessage="0" showErrorMessage="0" allowBlank="1" error="Pick a value from the list." promptTitle="Meeting mode" type="list">
      <formula1>=LISTS!$P$5:$P$8</formula1>
    </dataValidation>
    <dataValidation sqref="K7:K46" showDropDown="0" showInputMessage="0" showErrorMessage="0" allowBlank="1" error="Pick a value from the list." promptTitle="Client sign-off?" type="list">
      <formula1>=LISTS!$I$5:$I$6</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17.xml><?xml version="1.0" encoding="utf-8"?>
<worksheet xmlns="http://schemas.openxmlformats.org/spreadsheetml/2006/main">
  <sheetPr>
    <tabColor rgb="00B4531A"/>
    <outlinePr summaryBelow="1" summaryRight="1"/>
    <pageSetUpPr fitToPage="1"/>
  </sheetPr>
  <dimension ref="A1:L86"/>
  <sheetViews>
    <sheetView showGridLines="0" workbookViewId="0">
      <pane ySplit="6" topLeftCell="A7" activePane="bottomLeft" state="frozen"/>
      <selection pane="bottomLeft" activeCell="A1" sqref="A1"/>
    </sheetView>
  </sheetViews>
  <sheetFormatPr baseColWidth="8" defaultRowHeight="15" outlineLevelCol="0"/>
  <cols>
    <col width="7" customWidth="1" min="1" max="1"/>
    <col width="9" customWidth="1" min="2" max="2"/>
    <col width="20" customWidth="1" min="3" max="3"/>
    <col width="10" customWidth="1" min="4" max="4"/>
    <col width="11" customWidth="1" min="5" max="5"/>
    <col width="11" customWidth="1" min="6" max="6"/>
    <col width="12" customWidth="1" min="7" max="7"/>
    <col width="12" customWidth="1" min="8" max="8"/>
    <col width="11" customWidth="1" min="9" max="9"/>
    <col width="11" customWidth="1" min="10" max="10"/>
    <col width="11" customWidth="1" min="11" max="11"/>
    <col width="40" customWidth="1" min="12" max="12"/>
  </cols>
  <sheetData>
    <row r="1" ht="30" customHeight="1">
      <c r="A1" s="1" t="inlineStr">
        <is>
          <t>Form LOGGIT  -  GitHub Activity Log</t>
        </is>
      </c>
    </row>
    <row r="2" ht="16" customHeight="1">
      <c r="A2" s="2" t="inlineStr">
        <is>
          <t>Recorded weekly from the repository's Insights tab. These are facts, not estimates.</t>
        </is>
      </c>
    </row>
    <row r="4">
      <c r="A4" s="23" t="inlineStr">
        <is>
          <t>Repository</t>
        </is>
      </c>
      <c r="C4" s="24">
        <f>SETUP!$C$14</f>
        <v/>
      </c>
      <c r="F4" s="23" t="inlineStr">
        <is>
          <t>Commits</t>
        </is>
      </c>
      <c r="G4" s="67">
        <f>SUM(LOGGIT!$D$7:$D$86)</f>
        <v/>
      </c>
      <c r="H4" s="23" t="inlineStr">
        <is>
          <t>PRs merged</t>
        </is>
      </c>
      <c r="I4" s="67">
        <f>SUM(LOGGIT!$F$7:$F$86)</f>
        <v/>
      </c>
      <c r="J4" s="23" t="inlineStr">
        <is>
          <t>Reviews</t>
        </is>
      </c>
      <c r="K4" s="67">
        <f>SUM(LOGGIT!$G$7:$G$86)</f>
        <v/>
      </c>
    </row>
    <row r="6" ht="32" customHeight="1">
      <c r="A6" s="6" t="inlineStr">
        <is>
          <t>Week</t>
        </is>
      </c>
      <c r="B6" s="6" t="inlineStr">
        <is>
          <t>Milestone</t>
        </is>
      </c>
      <c r="C6" s="6" t="inlineStr">
        <is>
          <t>Member</t>
        </is>
      </c>
      <c r="D6" s="6" t="inlineStr">
        <is>
          <t>Commits</t>
        </is>
      </c>
      <c r="E6" s="6" t="inlineStr">
        <is>
          <t>PRs opened</t>
        </is>
      </c>
      <c r="F6" s="6" t="inlineStr">
        <is>
          <t>PRs merged</t>
        </is>
      </c>
      <c r="G6" s="6" t="inlineStr">
        <is>
          <t>Reviews given</t>
        </is>
      </c>
      <c r="H6" s="6" t="inlineStr">
        <is>
          <t>Issues closed</t>
        </is>
      </c>
      <c r="I6" s="6" t="inlineStr">
        <is>
          <t>Lines +</t>
        </is>
      </c>
      <c r="J6" s="6" t="inlineStr">
        <is>
          <t>Lines -</t>
        </is>
      </c>
      <c r="K6" s="6" t="inlineStr">
        <is>
          <t>CI green?</t>
        </is>
      </c>
      <c r="L6" s="6" t="inlineStr">
        <is>
          <t>Notes</t>
        </is>
      </c>
    </row>
    <row r="7">
      <c r="A7" s="44" t="n">
        <v>3</v>
      </c>
      <c r="B7" s="41" t="inlineStr">
        <is>
          <t>M1</t>
        </is>
      </c>
      <c r="C7" s="34" t="inlineStr">
        <is>
          <t>Aisyah Binti Rahman</t>
        </is>
      </c>
      <c r="D7" s="44" t="n">
        <v>1</v>
      </c>
      <c r="E7" s="44" t="n">
        <v>0</v>
      </c>
      <c r="F7" s="44" t="n">
        <v>0</v>
      </c>
      <c r="G7" s="44" t="n">
        <v>0</v>
      </c>
      <c r="H7" s="44" t="n">
        <v>0</v>
      </c>
      <c r="I7" s="44" t="n">
        <v>42</v>
      </c>
      <c r="J7" s="44" t="n">
        <v>11</v>
      </c>
      <c r="K7" s="41" t="inlineStr">
        <is>
          <t>Yes</t>
        </is>
      </c>
      <c r="L7" s="34" t="n"/>
    </row>
    <row r="8">
      <c r="A8" s="44" t="n">
        <v>3</v>
      </c>
      <c r="B8" s="41" t="inlineStr">
        <is>
          <t>M1</t>
        </is>
      </c>
      <c r="C8" s="34" t="inlineStr">
        <is>
          <t>Daniel Wong Jun Hao</t>
        </is>
      </c>
      <c r="D8" s="44" t="n">
        <v>1</v>
      </c>
      <c r="E8" s="44" t="n">
        <v>0</v>
      </c>
      <c r="F8" s="44" t="n">
        <v>0</v>
      </c>
      <c r="G8" s="44" t="n">
        <v>0</v>
      </c>
      <c r="H8" s="44" t="n">
        <v>0</v>
      </c>
      <c r="I8" s="44" t="n">
        <v>42</v>
      </c>
      <c r="J8" s="44" t="n">
        <v>11</v>
      </c>
      <c r="K8" s="41" t="inlineStr">
        <is>
          <t>Yes</t>
        </is>
      </c>
      <c r="L8" s="34" t="n"/>
    </row>
    <row r="9">
      <c r="A9" s="44" t="n">
        <v>3</v>
      </c>
      <c r="B9" s="41" t="inlineStr">
        <is>
          <t>M1</t>
        </is>
      </c>
      <c r="C9" s="34" t="inlineStr">
        <is>
          <t>Mei Ling Chong</t>
        </is>
      </c>
      <c r="D9" s="44" t="n">
        <v>2</v>
      </c>
      <c r="E9" s="44" t="n">
        <v>0</v>
      </c>
      <c r="F9" s="44" t="n">
        <v>0</v>
      </c>
      <c r="G9" s="44" t="n">
        <v>1</v>
      </c>
      <c r="H9" s="44" t="n">
        <v>0</v>
      </c>
      <c r="I9" s="44" t="n">
        <v>84</v>
      </c>
      <c r="J9" s="44" t="n">
        <v>22</v>
      </c>
      <c r="K9" s="41" t="inlineStr">
        <is>
          <t>Yes</t>
        </is>
      </c>
      <c r="L9" s="34" t="n"/>
    </row>
    <row r="10">
      <c r="A10" s="44" t="n">
        <v>3</v>
      </c>
      <c r="B10" s="41" t="inlineStr">
        <is>
          <t>M1</t>
        </is>
      </c>
      <c r="C10" s="34" t="inlineStr">
        <is>
          <t>Harith Bin Ismail</t>
        </is>
      </c>
      <c r="D10" s="44" t="n">
        <v>3</v>
      </c>
      <c r="E10" s="44" t="n">
        <v>1</v>
      </c>
      <c r="F10" s="44" t="n">
        <v>1</v>
      </c>
      <c r="G10" s="44" t="n">
        <v>1</v>
      </c>
      <c r="H10" s="44" t="n">
        <v>1</v>
      </c>
      <c r="I10" s="44" t="n">
        <v>126</v>
      </c>
      <c r="J10" s="44" t="n">
        <v>33</v>
      </c>
      <c r="K10" s="41" t="inlineStr">
        <is>
          <t>Yes</t>
        </is>
      </c>
      <c r="L10" s="34" t="n"/>
    </row>
    <row r="11">
      <c r="A11" s="44" t="n">
        <v>3</v>
      </c>
      <c r="B11" s="41" t="inlineStr">
        <is>
          <t>M1</t>
        </is>
      </c>
      <c r="C11" s="34" t="inlineStr">
        <is>
          <t>Priya Nair</t>
        </is>
      </c>
      <c r="D11" s="44" t="n">
        <v>1</v>
      </c>
      <c r="E11" s="44" t="n">
        <v>0</v>
      </c>
      <c r="F11" s="44" t="n">
        <v>0</v>
      </c>
      <c r="G11" s="44" t="n">
        <v>0</v>
      </c>
      <c r="H11" s="44" t="n">
        <v>0</v>
      </c>
      <c r="I11" s="44" t="n">
        <v>42</v>
      </c>
      <c r="J11" s="44" t="n">
        <v>11</v>
      </c>
      <c r="K11" s="41" t="inlineStr">
        <is>
          <t>Yes</t>
        </is>
      </c>
      <c r="L11" s="34" t="n"/>
    </row>
    <row r="12">
      <c r="A12" s="44" t="n">
        <v>4</v>
      </c>
      <c r="B12" s="41" t="inlineStr">
        <is>
          <t>M1</t>
        </is>
      </c>
      <c r="C12" s="34" t="inlineStr">
        <is>
          <t>Aisyah Binti Rahman</t>
        </is>
      </c>
      <c r="D12" s="44" t="n">
        <v>1</v>
      </c>
      <c r="E12" s="44" t="n">
        <v>0</v>
      </c>
      <c r="F12" s="44" t="n">
        <v>0</v>
      </c>
      <c r="G12" s="44" t="n">
        <v>0</v>
      </c>
      <c r="H12" s="44" t="n">
        <v>0</v>
      </c>
      <c r="I12" s="44" t="n">
        <v>42</v>
      </c>
      <c r="J12" s="44" t="n">
        <v>11</v>
      </c>
      <c r="K12" s="41" t="inlineStr">
        <is>
          <t>Yes</t>
        </is>
      </c>
      <c r="L12" s="34" t="n"/>
    </row>
    <row r="13">
      <c r="A13" s="44" t="n">
        <v>4</v>
      </c>
      <c r="B13" s="41" t="inlineStr">
        <is>
          <t>M1</t>
        </is>
      </c>
      <c r="C13" s="34" t="inlineStr">
        <is>
          <t>Daniel Wong Jun Hao</t>
        </is>
      </c>
      <c r="D13" s="44" t="n">
        <v>1</v>
      </c>
      <c r="E13" s="44" t="n">
        <v>0</v>
      </c>
      <c r="F13" s="44" t="n">
        <v>0</v>
      </c>
      <c r="G13" s="44" t="n">
        <v>0</v>
      </c>
      <c r="H13" s="44" t="n">
        <v>0</v>
      </c>
      <c r="I13" s="44" t="n">
        <v>42</v>
      </c>
      <c r="J13" s="44" t="n">
        <v>11</v>
      </c>
      <c r="K13" s="41" t="inlineStr">
        <is>
          <t>Yes</t>
        </is>
      </c>
      <c r="L13" s="34" t="n"/>
    </row>
    <row r="14">
      <c r="A14" s="44" t="n">
        <v>4</v>
      </c>
      <c r="B14" s="41" t="inlineStr">
        <is>
          <t>M1</t>
        </is>
      </c>
      <c r="C14" s="34" t="inlineStr">
        <is>
          <t>Mei Ling Chong</t>
        </is>
      </c>
      <c r="D14" s="44" t="n">
        <v>2</v>
      </c>
      <c r="E14" s="44" t="n">
        <v>0</v>
      </c>
      <c r="F14" s="44" t="n">
        <v>0</v>
      </c>
      <c r="G14" s="44" t="n">
        <v>1</v>
      </c>
      <c r="H14" s="44" t="n">
        <v>0</v>
      </c>
      <c r="I14" s="44" t="n">
        <v>84</v>
      </c>
      <c r="J14" s="44" t="n">
        <v>22</v>
      </c>
      <c r="K14" s="41" t="inlineStr">
        <is>
          <t>Yes</t>
        </is>
      </c>
      <c r="L14" s="34" t="n"/>
    </row>
    <row r="15">
      <c r="A15" s="44" t="n">
        <v>4</v>
      </c>
      <c r="B15" s="41" t="inlineStr">
        <is>
          <t>M1</t>
        </is>
      </c>
      <c r="C15" s="34" t="inlineStr">
        <is>
          <t>Harith Bin Ismail</t>
        </is>
      </c>
      <c r="D15" s="44" t="n">
        <v>4</v>
      </c>
      <c r="E15" s="44" t="n">
        <v>1</v>
      </c>
      <c r="F15" s="44" t="n">
        <v>1</v>
      </c>
      <c r="G15" s="44" t="n">
        <v>1</v>
      </c>
      <c r="H15" s="44" t="n">
        <v>1</v>
      </c>
      <c r="I15" s="44" t="n">
        <v>168</v>
      </c>
      <c r="J15" s="44" t="n">
        <v>44</v>
      </c>
      <c r="K15" s="41" t="inlineStr">
        <is>
          <t>Yes</t>
        </is>
      </c>
      <c r="L15" s="34" t="n"/>
    </row>
    <row r="16">
      <c r="A16" s="44" t="n">
        <v>4</v>
      </c>
      <c r="B16" s="41" t="inlineStr">
        <is>
          <t>M1</t>
        </is>
      </c>
      <c r="C16" s="34" t="inlineStr">
        <is>
          <t>Priya Nair</t>
        </is>
      </c>
      <c r="D16" s="44" t="n">
        <v>1</v>
      </c>
      <c r="E16" s="44" t="n">
        <v>0</v>
      </c>
      <c r="F16" s="44" t="n">
        <v>0</v>
      </c>
      <c r="G16" s="44" t="n">
        <v>0</v>
      </c>
      <c r="H16" s="44" t="n">
        <v>0</v>
      </c>
      <c r="I16" s="44" t="n">
        <v>42</v>
      </c>
      <c r="J16" s="44" t="n">
        <v>11</v>
      </c>
      <c r="K16" s="41" t="inlineStr">
        <is>
          <t>Yes</t>
        </is>
      </c>
      <c r="L16" s="34" t="n"/>
    </row>
    <row r="17">
      <c r="A17" s="44" t="n">
        <v>5</v>
      </c>
      <c r="B17" s="41" t="inlineStr">
        <is>
          <t>M1</t>
        </is>
      </c>
      <c r="C17" s="34" t="inlineStr">
        <is>
          <t>Aisyah Binti Rahman</t>
        </is>
      </c>
      <c r="D17" s="44" t="n">
        <v>1</v>
      </c>
      <c r="E17" s="44" t="n">
        <v>0</v>
      </c>
      <c r="F17" s="44" t="n">
        <v>0</v>
      </c>
      <c r="G17" s="44" t="n">
        <v>0</v>
      </c>
      <c r="H17" s="44" t="n">
        <v>0</v>
      </c>
      <c r="I17" s="44" t="n">
        <v>42</v>
      </c>
      <c r="J17" s="44" t="n">
        <v>11</v>
      </c>
      <c r="K17" s="41" t="inlineStr">
        <is>
          <t>Yes</t>
        </is>
      </c>
      <c r="L17" s="34" t="n"/>
    </row>
    <row r="18">
      <c r="A18" s="44" t="n">
        <v>5</v>
      </c>
      <c r="B18" s="41" t="inlineStr">
        <is>
          <t>M1</t>
        </is>
      </c>
      <c r="C18" s="34" t="inlineStr">
        <is>
          <t>Daniel Wong Jun Hao</t>
        </is>
      </c>
      <c r="D18" s="44" t="n">
        <v>1</v>
      </c>
      <c r="E18" s="44" t="n">
        <v>0</v>
      </c>
      <c r="F18" s="44" t="n">
        <v>0</v>
      </c>
      <c r="G18" s="44" t="n">
        <v>0</v>
      </c>
      <c r="H18" s="44" t="n">
        <v>0</v>
      </c>
      <c r="I18" s="44" t="n">
        <v>42</v>
      </c>
      <c r="J18" s="44" t="n">
        <v>11</v>
      </c>
      <c r="K18" s="41" t="inlineStr">
        <is>
          <t>Yes</t>
        </is>
      </c>
      <c r="L18" s="34" t="n"/>
    </row>
    <row r="19">
      <c r="A19" s="44" t="n">
        <v>5</v>
      </c>
      <c r="B19" s="41" t="inlineStr">
        <is>
          <t>M1</t>
        </is>
      </c>
      <c r="C19" s="34" t="inlineStr">
        <is>
          <t>Mei Ling Chong</t>
        </is>
      </c>
      <c r="D19" s="44" t="n">
        <v>3</v>
      </c>
      <c r="E19" s="44" t="n">
        <v>1</v>
      </c>
      <c r="F19" s="44" t="n">
        <v>1</v>
      </c>
      <c r="G19" s="44" t="n">
        <v>1</v>
      </c>
      <c r="H19" s="44" t="n">
        <v>1</v>
      </c>
      <c r="I19" s="44" t="n">
        <v>126</v>
      </c>
      <c r="J19" s="44" t="n">
        <v>33</v>
      </c>
      <c r="K19" s="41" t="inlineStr">
        <is>
          <t>Yes</t>
        </is>
      </c>
      <c r="L19" s="34" t="n"/>
    </row>
    <row r="20">
      <c r="A20" s="44" t="n">
        <v>5</v>
      </c>
      <c r="B20" s="41" t="inlineStr">
        <is>
          <t>M1</t>
        </is>
      </c>
      <c r="C20" s="34" t="inlineStr">
        <is>
          <t>Harith Bin Ismail</t>
        </is>
      </c>
      <c r="D20" s="44" t="n">
        <v>5</v>
      </c>
      <c r="E20" s="44" t="n">
        <v>1</v>
      </c>
      <c r="F20" s="44" t="n">
        <v>1</v>
      </c>
      <c r="G20" s="44" t="n">
        <v>2</v>
      </c>
      <c r="H20" s="44" t="n">
        <v>1</v>
      </c>
      <c r="I20" s="44" t="n">
        <v>210</v>
      </c>
      <c r="J20" s="44" t="n">
        <v>55</v>
      </c>
      <c r="K20" s="41" t="inlineStr">
        <is>
          <t>Yes</t>
        </is>
      </c>
      <c r="L20" s="34" t="n"/>
    </row>
    <row r="21">
      <c r="A21" s="44" t="n">
        <v>5</v>
      </c>
      <c r="B21" s="41" t="inlineStr">
        <is>
          <t>M1</t>
        </is>
      </c>
      <c r="C21" s="34" t="inlineStr">
        <is>
          <t>Priya Nair</t>
        </is>
      </c>
      <c r="D21" s="44" t="n">
        <v>1</v>
      </c>
      <c r="E21" s="44" t="n">
        <v>0</v>
      </c>
      <c r="F21" s="44" t="n">
        <v>0</v>
      </c>
      <c r="G21" s="44" t="n">
        <v>0</v>
      </c>
      <c r="H21" s="44" t="n">
        <v>0</v>
      </c>
      <c r="I21" s="44" t="n">
        <v>42</v>
      </c>
      <c r="J21" s="44" t="n">
        <v>11</v>
      </c>
      <c r="K21" s="41" t="inlineStr">
        <is>
          <t>Yes</t>
        </is>
      </c>
      <c r="L21" s="34" t="n"/>
    </row>
    <row r="22">
      <c r="A22" s="44" t="n">
        <v>6</v>
      </c>
      <c r="B22" s="41" t="inlineStr">
        <is>
          <t>M2</t>
        </is>
      </c>
      <c r="C22" s="34" t="inlineStr">
        <is>
          <t>Aisyah Binti Rahman</t>
        </is>
      </c>
      <c r="D22" s="44" t="n">
        <v>1</v>
      </c>
      <c r="E22" s="44" t="n">
        <v>0</v>
      </c>
      <c r="F22" s="44" t="n">
        <v>0</v>
      </c>
      <c r="G22" s="44" t="n">
        <v>0</v>
      </c>
      <c r="H22" s="44" t="n">
        <v>0</v>
      </c>
      <c r="I22" s="44" t="n">
        <v>42</v>
      </c>
      <c r="J22" s="44" t="n">
        <v>11</v>
      </c>
      <c r="K22" s="41" t="inlineStr">
        <is>
          <t>Yes</t>
        </is>
      </c>
      <c r="L22" s="34" t="n"/>
    </row>
    <row r="23">
      <c r="A23" s="44" t="n">
        <v>6</v>
      </c>
      <c r="B23" s="41" t="inlineStr">
        <is>
          <t>M2</t>
        </is>
      </c>
      <c r="C23" s="34" t="inlineStr">
        <is>
          <t>Daniel Wong Jun Hao</t>
        </is>
      </c>
      <c r="D23" s="44" t="n">
        <v>1</v>
      </c>
      <c r="E23" s="44" t="n">
        <v>0</v>
      </c>
      <c r="F23" s="44" t="n">
        <v>0</v>
      </c>
      <c r="G23" s="44" t="n">
        <v>0</v>
      </c>
      <c r="H23" s="44" t="n">
        <v>0</v>
      </c>
      <c r="I23" s="44" t="n">
        <v>42</v>
      </c>
      <c r="J23" s="44" t="n">
        <v>11</v>
      </c>
      <c r="K23" s="41" t="inlineStr">
        <is>
          <t>Yes</t>
        </is>
      </c>
      <c r="L23" s="34" t="n"/>
    </row>
    <row r="24">
      <c r="A24" s="44" t="n">
        <v>6</v>
      </c>
      <c r="B24" s="41" t="inlineStr">
        <is>
          <t>M2</t>
        </is>
      </c>
      <c r="C24" s="34" t="inlineStr">
        <is>
          <t>Mei Ling Chong</t>
        </is>
      </c>
      <c r="D24" s="44" t="n">
        <v>3</v>
      </c>
      <c r="E24" s="44" t="n">
        <v>1</v>
      </c>
      <c r="F24" s="44" t="n">
        <v>1</v>
      </c>
      <c r="G24" s="44" t="n">
        <v>1</v>
      </c>
      <c r="H24" s="44" t="n">
        <v>1</v>
      </c>
      <c r="I24" s="44" t="n">
        <v>126</v>
      </c>
      <c r="J24" s="44" t="n">
        <v>33</v>
      </c>
      <c r="K24" s="41" t="inlineStr">
        <is>
          <t>Yes</t>
        </is>
      </c>
      <c r="L24" s="34" t="n"/>
    </row>
    <row r="25">
      <c r="A25" s="44" t="n">
        <v>6</v>
      </c>
      <c r="B25" s="41" t="inlineStr">
        <is>
          <t>M2</t>
        </is>
      </c>
      <c r="C25" s="34" t="inlineStr">
        <is>
          <t>Harith Bin Ismail</t>
        </is>
      </c>
      <c r="D25" s="44" t="n">
        <v>5</v>
      </c>
      <c r="E25" s="44" t="n">
        <v>1</v>
      </c>
      <c r="F25" s="44" t="n">
        <v>1</v>
      </c>
      <c r="G25" s="44" t="n">
        <v>2</v>
      </c>
      <c r="H25" s="44" t="n">
        <v>1</v>
      </c>
      <c r="I25" s="44" t="n">
        <v>210</v>
      </c>
      <c r="J25" s="44" t="n">
        <v>55</v>
      </c>
      <c r="K25" s="41" t="inlineStr">
        <is>
          <t>Yes</t>
        </is>
      </c>
      <c r="L25" s="34" t="n"/>
    </row>
    <row r="26">
      <c r="A26" s="44" t="n">
        <v>6</v>
      </c>
      <c r="B26" s="41" t="inlineStr">
        <is>
          <t>M2</t>
        </is>
      </c>
      <c r="C26" s="34" t="inlineStr">
        <is>
          <t>Priya Nair</t>
        </is>
      </c>
      <c r="D26" s="44" t="n">
        <v>1</v>
      </c>
      <c r="E26" s="44" t="n">
        <v>0</v>
      </c>
      <c r="F26" s="44" t="n">
        <v>0</v>
      </c>
      <c r="G26" s="44" t="n">
        <v>0</v>
      </c>
      <c r="H26" s="44" t="n">
        <v>0</v>
      </c>
      <c r="I26" s="44" t="n">
        <v>42</v>
      </c>
      <c r="J26" s="44" t="n">
        <v>11</v>
      </c>
      <c r="K26" s="41" t="inlineStr">
        <is>
          <t>Yes</t>
        </is>
      </c>
      <c r="L26" s="34" t="n"/>
    </row>
    <row r="27">
      <c r="A27" s="44" t="n">
        <v>7</v>
      </c>
      <c r="B27" s="41" t="inlineStr">
        <is>
          <t>M2</t>
        </is>
      </c>
      <c r="C27" s="34" t="inlineStr">
        <is>
          <t>Aisyah Binti Rahman</t>
        </is>
      </c>
      <c r="D27" s="44" t="n">
        <v>2</v>
      </c>
      <c r="E27" s="44" t="n">
        <v>0</v>
      </c>
      <c r="F27" s="44" t="n">
        <v>0</v>
      </c>
      <c r="G27" s="44" t="n">
        <v>1</v>
      </c>
      <c r="H27" s="44" t="n">
        <v>0</v>
      </c>
      <c r="I27" s="44" t="n">
        <v>84</v>
      </c>
      <c r="J27" s="44" t="n">
        <v>22</v>
      </c>
      <c r="K27" s="41" t="inlineStr">
        <is>
          <t>Yes</t>
        </is>
      </c>
      <c r="L27" s="34" t="n"/>
    </row>
    <row r="28">
      <c r="A28" s="44" t="n">
        <v>7</v>
      </c>
      <c r="B28" s="41" t="inlineStr">
        <is>
          <t>M2</t>
        </is>
      </c>
      <c r="C28" s="34" t="inlineStr">
        <is>
          <t>Daniel Wong Jun Hao</t>
        </is>
      </c>
      <c r="D28" s="44" t="n">
        <v>1</v>
      </c>
      <c r="E28" s="44" t="n">
        <v>0</v>
      </c>
      <c r="F28" s="44" t="n">
        <v>0</v>
      </c>
      <c r="G28" s="44" t="n">
        <v>0</v>
      </c>
      <c r="H28" s="44" t="n">
        <v>0</v>
      </c>
      <c r="I28" s="44" t="n">
        <v>42</v>
      </c>
      <c r="J28" s="44" t="n">
        <v>11</v>
      </c>
      <c r="K28" s="41" t="inlineStr">
        <is>
          <t>Yes</t>
        </is>
      </c>
      <c r="L28" s="34" t="n"/>
    </row>
    <row r="29">
      <c r="A29" s="44" t="n">
        <v>7</v>
      </c>
      <c r="B29" s="41" t="inlineStr">
        <is>
          <t>M2</t>
        </is>
      </c>
      <c r="C29" s="34" t="inlineStr">
        <is>
          <t>Mei Ling Chong</t>
        </is>
      </c>
      <c r="D29" s="44" t="n">
        <v>4</v>
      </c>
      <c r="E29" s="44" t="n">
        <v>1</v>
      </c>
      <c r="F29" s="44" t="n">
        <v>1</v>
      </c>
      <c r="G29" s="44" t="n">
        <v>1</v>
      </c>
      <c r="H29" s="44" t="n">
        <v>1</v>
      </c>
      <c r="I29" s="44" t="n">
        <v>168</v>
      </c>
      <c r="J29" s="44" t="n">
        <v>44</v>
      </c>
      <c r="K29" s="41" t="inlineStr">
        <is>
          <t>Yes</t>
        </is>
      </c>
      <c r="L29" s="34" t="n"/>
    </row>
    <row r="30">
      <c r="A30" s="44" t="n">
        <v>7</v>
      </c>
      <c r="B30" s="41" t="inlineStr">
        <is>
          <t>M2</t>
        </is>
      </c>
      <c r="C30" s="34" t="inlineStr">
        <is>
          <t>Harith Bin Ismail</t>
        </is>
      </c>
      <c r="D30" s="44" t="n">
        <v>6</v>
      </c>
      <c r="E30" s="44" t="n">
        <v>2</v>
      </c>
      <c r="F30" s="44" t="n">
        <v>1</v>
      </c>
      <c r="G30" s="44" t="n">
        <v>2</v>
      </c>
      <c r="H30" s="44" t="n">
        <v>2</v>
      </c>
      <c r="I30" s="44" t="n">
        <v>252</v>
      </c>
      <c r="J30" s="44" t="n">
        <v>66</v>
      </c>
      <c r="K30" s="41" t="inlineStr">
        <is>
          <t>Yes</t>
        </is>
      </c>
      <c r="L30" s="34" t="n"/>
    </row>
    <row r="31">
      <c r="A31" s="44" t="n">
        <v>7</v>
      </c>
      <c r="B31" s="41" t="inlineStr">
        <is>
          <t>M2</t>
        </is>
      </c>
      <c r="C31" s="34" t="inlineStr">
        <is>
          <t>Priya Nair</t>
        </is>
      </c>
      <c r="D31" s="44" t="n">
        <v>2</v>
      </c>
      <c r="E31" s="44" t="n">
        <v>0</v>
      </c>
      <c r="F31" s="44" t="n">
        <v>0</v>
      </c>
      <c r="G31" s="44" t="n">
        <v>1</v>
      </c>
      <c r="H31" s="44" t="n">
        <v>0</v>
      </c>
      <c r="I31" s="44" t="n">
        <v>84</v>
      </c>
      <c r="J31" s="44" t="n">
        <v>22</v>
      </c>
      <c r="K31" s="41" t="inlineStr">
        <is>
          <t>Yes</t>
        </is>
      </c>
      <c r="L31" s="34" t="n"/>
    </row>
    <row r="32">
      <c r="A32" s="44" t="n">
        <v>9</v>
      </c>
      <c r="B32" s="41" t="inlineStr">
        <is>
          <t>M2</t>
        </is>
      </c>
      <c r="C32" s="34" t="inlineStr">
        <is>
          <t>Aisyah Binti Rahman</t>
        </is>
      </c>
      <c r="D32" s="44" t="n">
        <v>2</v>
      </c>
      <c r="E32" s="44" t="n">
        <v>0</v>
      </c>
      <c r="F32" s="44" t="n">
        <v>0</v>
      </c>
      <c r="G32" s="44" t="n">
        <v>1</v>
      </c>
      <c r="H32" s="44" t="n">
        <v>0</v>
      </c>
      <c r="I32" s="44" t="n">
        <v>84</v>
      </c>
      <c r="J32" s="44" t="n">
        <v>22</v>
      </c>
      <c r="K32" s="41" t="inlineStr">
        <is>
          <t>No</t>
        </is>
      </c>
      <c r="L32" s="34" t="inlineStr">
        <is>
          <t>CI red for two days - intl version conflict, fixed in PR#27</t>
        </is>
      </c>
    </row>
    <row r="33">
      <c r="A33" s="44" t="n">
        <v>9</v>
      </c>
      <c r="B33" s="41" t="inlineStr">
        <is>
          <t>M2</t>
        </is>
      </c>
      <c r="C33" s="34" t="inlineStr">
        <is>
          <t>Daniel Wong Jun Hao</t>
        </is>
      </c>
      <c r="D33" s="44" t="n">
        <v>1</v>
      </c>
      <c r="E33" s="44" t="n">
        <v>0</v>
      </c>
      <c r="F33" s="44" t="n">
        <v>0</v>
      </c>
      <c r="G33" s="44" t="n">
        <v>0</v>
      </c>
      <c r="H33" s="44" t="n">
        <v>0</v>
      </c>
      <c r="I33" s="44" t="n">
        <v>42</v>
      </c>
      <c r="J33" s="44" t="n">
        <v>11</v>
      </c>
      <c r="K33" s="41" t="inlineStr">
        <is>
          <t>No</t>
        </is>
      </c>
      <c r="L33" s="34" t="n"/>
    </row>
    <row r="34">
      <c r="A34" s="44" t="n">
        <v>9</v>
      </c>
      <c r="B34" s="41" t="inlineStr">
        <is>
          <t>M2</t>
        </is>
      </c>
      <c r="C34" s="34" t="inlineStr">
        <is>
          <t>Mei Ling Chong</t>
        </is>
      </c>
      <c r="D34" s="44" t="n">
        <v>4</v>
      </c>
      <c r="E34" s="44" t="n">
        <v>1</v>
      </c>
      <c r="F34" s="44" t="n">
        <v>1</v>
      </c>
      <c r="G34" s="44" t="n">
        <v>1</v>
      </c>
      <c r="H34" s="44" t="n">
        <v>1</v>
      </c>
      <c r="I34" s="44" t="n">
        <v>168</v>
      </c>
      <c r="J34" s="44" t="n">
        <v>44</v>
      </c>
      <c r="K34" s="41" t="inlineStr">
        <is>
          <t>No</t>
        </is>
      </c>
      <c r="L34" s="34" t="n"/>
    </row>
    <row r="35">
      <c r="A35" s="44" t="n">
        <v>9</v>
      </c>
      <c r="B35" s="41" t="inlineStr">
        <is>
          <t>M2</t>
        </is>
      </c>
      <c r="C35" s="34" t="inlineStr">
        <is>
          <t>Harith Bin Ismail</t>
        </is>
      </c>
      <c r="D35" s="44" t="n">
        <v>7</v>
      </c>
      <c r="E35" s="44" t="n">
        <v>2</v>
      </c>
      <c r="F35" s="44" t="n">
        <v>1</v>
      </c>
      <c r="G35" s="44" t="n">
        <v>2</v>
      </c>
      <c r="H35" s="44" t="n">
        <v>2</v>
      </c>
      <c r="I35" s="44" t="n">
        <v>294</v>
      </c>
      <c r="J35" s="44" t="n">
        <v>77</v>
      </c>
      <c r="K35" s="41" t="inlineStr">
        <is>
          <t>No</t>
        </is>
      </c>
      <c r="L35" s="34" t="n"/>
    </row>
    <row r="36">
      <c r="A36" s="44" t="n">
        <v>9</v>
      </c>
      <c r="B36" s="41" t="inlineStr">
        <is>
          <t>M2</t>
        </is>
      </c>
      <c r="C36" s="34" t="inlineStr">
        <is>
          <t>Priya Nair</t>
        </is>
      </c>
      <c r="D36" s="44" t="n">
        <v>2</v>
      </c>
      <c r="E36" s="44" t="n">
        <v>0</v>
      </c>
      <c r="F36" s="44" t="n">
        <v>0</v>
      </c>
      <c r="G36" s="44" t="n">
        <v>1</v>
      </c>
      <c r="H36" s="44" t="n">
        <v>0</v>
      </c>
      <c r="I36" s="44" t="n">
        <v>84</v>
      </c>
      <c r="J36" s="44" t="n">
        <v>22</v>
      </c>
      <c r="K36" s="41" t="inlineStr">
        <is>
          <t>No</t>
        </is>
      </c>
      <c r="L36" s="34" t="n"/>
    </row>
    <row r="37">
      <c r="A37" s="44" t="n">
        <v>10</v>
      </c>
      <c r="B37" s="41" t="inlineStr">
        <is>
          <t>M3</t>
        </is>
      </c>
      <c r="C37" s="34" t="inlineStr">
        <is>
          <t>Aisyah Binti Rahman</t>
        </is>
      </c>
      <c r="D37" s="44" t="n">
        <v>2</v>
      </c>
      <c r="E37" s="44" t="n">
        <v>0</v>
      </c>
      <c r="F37" s="44" t="n">
        <v>0</v>
      </c>
      <c r="G37" s="44" t="n">
        <v>1</v>
      </c>
      <c r="H37" s="44" t="n">
        <v>0</v>
      </c>
      <c r="I37" s="44" t="n">
        <v>84</v>
      </c>
      <c r="J37" s="44" t="n">
        <v>22</v>
      </c>
      <c r="K37" s="41" t="inlineStr">
        <is>
          <t>Yes</t>
        </is>
      </c>
      <c r="L37" s="34" t="n"/>
    </row>
    <row r="38">
      <c r="A38" s="44" t="n">
        <v>10</v>
      </c>
      <c r="B38" s="41" t="inlineStr">
        <is>
          <t>M3</t>
        </is>
      </c>
      <c r="C38" s="34" t="inlineStr">
        <is>
          <t>Daniel Wong Jun Hao</t>
        </is>
      </c>
      <c r="D38" s="44" t="n">
        <v>1</v>
      </c>
      <c r="E38" s="44" t="n">
        <v>0</v>
      </c>
      <c r="F38" s="44" t="n">
        <v>0</v>
      </c>
      <c r="G38" s="44" t="n">
        <v>0</v>
      </c>
      <c r="H38" s="44" t="n">
        <v>0</v>
      </c>
      <c r="I38" s="44" t="n">
        <v>42</v>
      </c>
      <c r="J38" s="44" t="n">
        <v>11</v>
      </c>
      <c r="K38" s="41" t="inlineStr">
        <is>
          <t>Yes</t>
        </is>
      </c>
      <c r="L38" s="34" t="n"/>
    </row>
    <row r="39">
      <c r="A39" s="44" t="n">
        <v>10</v>
      </c>
      <c r="B39" s="41" t="inlineStr">
        <is>
          <t>M3</t>
        </is>
      </c>
      <c r="C39" s="34" t="inlineStr">
        <is>
          <t>Mei Ling Chong</t>
        </is>
      </c>
      <c r="D39" s="44" t="n">
        <v>4</v>
      </c>
      <c r="E39" s="44" t="n">
        <v>1</v>
      </c>
      <c r="F39" s="44" t="n">
        <v>1</v>
      </c>
      <c r="G39" s="44" t="n">
        <v>1</v>
      </c>
      <c r="H39" s="44" t="n">
        <v>1</v>
      </c>
      <c r="I39" s="44" t="n">
        <v>168</v>
      </c>
      <c r="J39" s="44" t="n">
        <v>44</v>
      </c>
      <c r="K39" s="41" t="inlineStr">
        <is>
          <t>Yes</t>
        </is>
      </c>
      <c r="L39" s="34" t="n"/>
    </row>
    <row r="40">
      <c r="A40" s="44" t="n">
        <v>10</v>
      </c>
      <c r="B40" s="41" t="inlineStr">
        <is>
          <t>M3</t>
        </is>
      </c>
      <c r="C40" s="34" t="inlineStr">
        <is>
          <t>Harith Bin Ismail</t>
        </is>
      </c>
      <c r="D40" s="44" t="n">
        <v>7</v>
      </c>
      <c r="E40" s="44" t="n">
        <v>2</v>
      </c>
      <c r="F40" s="44" t="n">
        <v>1</v>
      </c>
      <c r="G40" s="44" t="n">
        <v>2</v>
      </c>
      <c r="H40" s="44" t="n">
        <v>2</v>
      </c>
      <c r="I40" s="44" t="n">
        <v>294</v>
      </c>
      <c r="J40" s="44" t="n">
        <v>77</v>
      </c>
      <c r="K40" s="41" t="inlineStr">
        <is>
          <t>Yes</t>
        </is>
      </c>
      <c r="L40" s="34" t="n"/>
    </row>
    <row r="41">
      <c r="A41" s="44" t="n">
        <v>10</v>
      </c>
      <c r="B41" s="41" t="inlineStr">
        <is>
          <t>M3</t>
        </is>
      </c>
      <c r="C41" s="34" t="inlineStr">
        <is>
          <t>Priya Nair</t>
        </is>
      </c>
      <c r="D41" s="44" t="n">
        <v>2</v>
      </c>
      <c r="E41" s="44" t="n">
        <v>0</v>
      </c>
      <c r="F41" s="44" t="n">
        <v>0</v>
      </c>
      <c r="G41" s="44" t="n">
        <v>1</v>
      </c>
      <c r="H41" s="44" t="n">
        <v>0</v>
      </c>
      <c r="I41" s="44" t="n">
        <v>84</v>
      </c>
      <c r="J41" s="44" t="n">
        <v>22</v>
      </c>
      <c r="K41" s="41" t="inlineStr">
        <is>
          <t>Yes</t>
        </is>
      </c>
      <c r="L41" s="34" t="n"/>
    </row>
    <row r="42">
      <c r="A42" s="44" t="n">
        <v>11</v>
      </c>
      <c r="B42" s="41" t="inlineStr">
        <is>
          <t>M3</t>
        </is>
      </c>
      <c r="C42" s="34" t="inlineStr">
        <is>
          <t>Aisyah Binti Rahman</t>
        </is>
      </c>
      <c r="D42" s="44" t="n">
        <v>2</v>
      </c>
      <c r="E42" s="44" t="n">
        <v>0</v>
      </c>
      <c r="F42" s="44" t="n">
        <v>0</v>
      </c>
      <c r="G42" s="44" t="n">
        <v>1</v>
      </c>
      <c r="H42" s="44" t="n">
        <v>0</v>
      </c>
      <c r="I42" s="44" t="n">
        <v>84</v>
      </c>
      <c r="J42" s="44" t="n">
        <v>22</v>
      </c>
      <c r="K42" s="41" t="inlineStr">
        <is>
          <t>Yes</t>
        </is>
      </c>
      <c r="L42" s="34" t="n"/>
    </row>
    <row r="43">
      <c r="A43" s="44" t="n">
        <v>11</v>
      </c>
      <c r="B43" s="41" t="inlineStr">
        <is>
          <t>M3</t>
        </is>
      </c>
      <c r="C43" s="34" t="inlineStr">
        <is>
          <t>Daniel Wong Jun Hao</t>
        </is>
      </c>
      <c r="D43" s="44" t="n">
        <v>1</v>
      </c>
      <c r="E43" s="44" t="n">
        <v>0</v>
      </c>
      <c r="F43" s="44" t="n">
        <v>0</v>
      </c>
      <c r="G43" s="44" t="n">
        <v>0</v>
      </c>
      <c r="H43" s="44" t="n">
        <v>0</v>
      </c>
      <c r="I43" s="44" t="n">
        <v>42</v>
      </c>
      <c r="J43" s="44" t="n">
        <v>11</v>
      </c>
      <c r="K43" s="41" t="inlineStr">
        <is>
          <t>Yes</t>
        </is>
      </c>
      <c r="L43" s="34" t="n"/>
    </row>
    <row r="44">
      <c r="A44" s="44" t="n">
        <v>11</v>
      </c>
      <c r="B44" s="41" t="inlineStr">
        <is>
          <t>M3</t>
        </is>
      </c>
      <c r="C44" s="34" t="inlineStr">
        <is>
          <t>Mei Ling Chong</t>
        </is>
      </c>
      <c r="D44" s="44" t="n">
        <v>4</v>
      </c>
      <c r="E44" s="44" t="n">
        <v>1</v>
      </c>
      <c r="F44" s="44" t="n">
        <v>1</v>
      </c>
      <c r="G44" s="44" t="n">
        <v>1</v>
      </c>
      <c r="H44" s="44" t="n">
        <v>1</v>
      </c>
      <c r="I44" s="44" t="n">
        <v>168</v>
      </c>
      <c r="J44" s="44" t="n">
        <v>44</v>
      </c>
      <c r="K44" s="41" t="inlineStr">
        <is>
          <t>Yes</t>
        </is>
      </c>
      <c r="L44" s="34" t="n"/>
    </row>
    <row r="45">
      <c r="A45" s="44" t="n">
        <v>11</v>
      </c>
      <c r="B45" s="41" t="inlineStr">
        <is>
          <t>M3</t>
        </is>
      </c>
      <c r="C45" s="34" t="inlineStr">
        <is>
          <t>Harith Bin Ismail</t>
        </is>
      </c>
      <c r="D45" s="44" t="n">
        <v>6</v>
      </c>
      <c r="E45" s="44" t="n">
        <v>2</v>
      </c>
      <c r="F45" s="44" t="n">
        <v>1</v>
      </c>
      <c r="G45" s="44" t="n">
        <v>2</v>
      </c>
      <c r="H45" s="44" t="n">
        <v>2</v>
      </c>
      <c r="I45" s="44" t="n">
        <v>252</v>
      </c>
      <c r="J45" s="44" t="n">
        <v>66</v>
      </c>
      <c r="K45" s="41" t="inlineStr">
        <is>
          <t>Yes</t>
        </is>
      </c>
      <c r="L45" s="34" t="n"/>
    </row>
    <row r="46">
      <c r="A46" s="44" t="n">
        <v>11</v>
      </c>
      <c r="B46" s="41" t="inlineStr">
        <is>
          <t>M3</t>
        </is>
      </c>
      <c r="C46" s="34" t="inlineStr">
        <is>
          <t>Priya Nair</t>
        </is>
      </c>
      <c r="D46" s="44" t="n">
        <v>2</v>
      </c>
      <c r="E46" s="44" t="n">
        <v>0</v>
      </c>
      <c r="F46" s="44" t="n">
        <v>0</v>
      </c>
      <c r="G46" s="44" t="n">
        <v>1</v>
      </c>
      <c r="H46" s="44" t="n">
        <v>0</v>
      </c>
      <c r="I46" s="44" t="n">
        <v>84</v>
      </c>
      <c r="J46" s="44" t="n">
        <v>22</v>
      </c>
      <c r="K46" s="41" t="inlineStr">
        <is>
          <t>Yes</t>
        </is>
      </c>
      <c r="L46" s="34" t="n"/>
    </row>
    <row r="47">
      <c r="A47" s="44" t="n">
        <v>12</v>
      </c>
      <c r="B47" s="41" t="inlineStr">
        <is>
          <t>M3</t>
        </is>
      </c>
      <c r="C47" s="34" t="inlineStr">
        <is>
          <t>Aisyah Binti Rahman</t>
        </is>
      </c>
      <c r="D47" s="44" t="n">
        <v>1</v>
      </c>
      <c r="E47" s="44" t="n">
        <v>0</v>
      </c>
      <c r="F47" s="44" t="n">
        <v>0</v>
      </c>
      <c r="G47" s="44" t="n">
        <v>0</v>
      </c>
      <c r="H47" s="44" t="n">
        <v>0</v>
      </c>
      <c r="I47" s="44" t="n">
        <v>42</v>
      </c>
      <c r="J47" s="44" t="n">
        <v>11</v>
      </c>
      <c r="K47" s="41" t="inlineStr">
        <is>
          <t>Yes</t>
        </is>
      </c>
      <c r="L47" s="34" t="n"/>
    </row>
    <row r="48">
      <c r="A48" s="44" t="n">
        <v>12</v>
      </c>
      <c r="B48" s="41" t="inlineStr">
        <is>
          <t>M3</t>
        </is>
      </c>
      <c r="C48" s="34" t="inlineStr">
        <is>
          <t>Daniel Wong Jun Hao</t>
        </is>
      </c>
      <c r="D48" s="44" t="n">
        <v>1</v>
      </c>
      <c r="E48" s="44" t="n">
        <v>0</v>
      </c>
      <c r="F48" s="44" t="n">
        <v>0</v>
      </c>
      <c r="G48" s="44" t="n">
        <v>0</v>
      </c>
      <c r="H48" s="44" t="n">
        <v>0</v>
      </c>
      <c r="I48" s="44" t="n">
        <v>42</v>
      </c>
      <c r="J48" s="44" t="n">
        <v>11</v>
      </c>
      <c r="K48" s="41" t="inlineStr">
        <is>
          <t>Yes</t>
        </is>
      </c>
      <c r="L48" s="34" t="n"/>
    </row>
    <row r="49">
      <c r="A49" s="44" t="n">
        <v>12</v>
      </c>
      <c r="B49" s="41" t="inlineStr">
        <is>
          <t>M3</t>
        </is>
      </c>
      <c r="C49" s="34" t="inlineStr">
        <is>
          <t>Mei Ling Chong</t>
        </is>
      </c>
      <c r="D49" s="44" t="n">
        <v>3</v>
      </c>
      <c r="E49" s="44" t="n">
        <v>1</v>
      </c>
      <c r="F49" s="44" t="n">
        <v>1</v>
      </c>
      <c r="G49" s="44" t="n">
        <v>1</v>
      </c>
      <c r="H49" s="44" t="n">
        <v>1</v>
      </c>
      <c r="I49" s="44" t="n">
        <v>126</v>
      </c>
      <c r="J49" s="44" t="n">
        <v>33</v>
      </c>
      <c r="K49" s="41" t="inlineStr">
        <is>
          <t>Yes</t>
        </is>
      </c>
      <c r="L49" s="34" t="n"/>
    </row>
    <row r="50">
      <c r="A50" s="44" t="n">
        <v>12</v>
      </c>
      <c r="B50" s="41" t="inlineStr">
        <is>
          <t>M3</t>
        </is>
      </c>
      <c r="C50" s="34" t="inlineStr">
        <is>
          <t>Harith Bin Ismail</t>
        </is>
      </c>
      <c r="D50" s="44" t="n">
        <v>5</v>
      </c>
      <c r="E50" s="44" t="n">
        <v>1</v>
      </c>
      <c r="F50" s="44" t="n">
        <v>1</v>
      </c>
      <c r="G50" s="44" t="n">
        <v>2</v>
      </c>
      <c r="H50" s="44" t="n">
        <v>1</v>
      </c>
      <c r="I50" s="44" t="n">
        <v>210</v>
      </c>
      <c r="J50" s="44" t="n">
        <v>55</v>
      </c>
      <c r="K50" s="41" t="inlineStr">
        <is>
          <t>Yes</t>
        </is>
      </c>
      <c r="L50" s="34" t="n"/>
    </row>
    <row r="51">
      <c r="A51" s="44" t="n">
        <v>12</v>
      </c>
      <c r="B51" s="41" t="inlineStr">
        <is>
          <t>M3</t>
        </is>
      </c>
      <c r="C51" s="34" t="inlineStr">
        <is>
          <t>Priya Nair</t>
        </is>
      </c>
      <c r="D51" s="44" t="n">
        <v>1</v>
      </c>
      <c r="E51" s="44" t="n">
        <v>0</v>
      </c>
      <c r="F51" s="44" t="n">
        <v>0</v>
      </c>
      <c r="G51" s="44" t="n">
        <v>0</v>
      </c>
      <c r="H51" s="44" t="n">
        <v>0</v>
      </c>
      <c r="I51" s="44" t="n">
        <v>42</v>
      </c>
      <c r="J51" s="44" t="n">
        <v>11</v>
      </c>
      <c r="K51" s="41" t="inlineStr">
        <is>
          <t>Yes</t>
        </is>
      </c>
      <c r="L51" s="34" t="n"/>
    </row>
    <row r="52">
      <c r="A52" s="44" t="n"/>
      <c r="B52" s="41" t="n"/>
      <c r="C52" s="34" t="n"/>
      <c r="D52" s="44" t="n"/>
      <c r="E52" s="44" t="n"/>
      <c r="F52" s="44" t="n"/>
      <c r="G52" s="44" t="n"/>
      <c r="H52" s="44" t="n"/>
      <c r="I52" s="44" t="n"/>
      <c r="J52" s="44" t="n"/>
      <c r="K52" s="41" t="n"/>
      <c r="L52" s="34" t="n"/>
    </row>
    <row r="53">
      <c r="A53" s="44" t="n"/>
      <c r="B53" s="41" t="n"/>
      <c r="C53" s="34" t="n"/>
      <c r="D53" s="44" t="n"/>
      <c r="E53" s="44" t="n"/>
      <c r="F53" s="44" t="n"/>
      <c r="G53" s="44" t="n"/>
      <c r="H53" s="44" t="n"/>
      <c r="I53" s="44" t="n"/>
      <c r="J53" s="44" t="n"/>
      <c r="K53" s="41" t="n"/>
      <c r="L53" s="34" t="n"/>
    </row>
    <row r="54">
      <c r="A54" s="44" t="n"/>
      <c r="B54" s="41" t="n"/>
      <c r="C54" s="34" t="n"/>
      <c r="D54" s="44" t="n"/>
      <c r="E54" s="44" t="n"/>
      <c r="F54" s="44" t="n"/>
      <c r="G54" s="44" t="n"/>
      <c r="H54" s="44" t="n"/>
      <c r="I54" s="44" t="n"/>
      <c r="J54" s="44" t="n"/>
      <c r="K54" s="41" t="n"/>
      <c r="L54" s="34" t="n"/>
    </row>
    <row r="55">
      <c r="A55" s="44" t="n"/>
      <c r="B55" s="41" t="n"/>
      <c r="C55" s="34" t="n"/>
      <c r="D55" s="44" t="n"/>
      <c r="E55" s="44" t="n"/>
      <c r="F55" s="44" t="n"/>
      <c r="G55" s="44" t="n"/>
      <c r="H55" s="44" t="n"/>
      <c r="I55" s="44" t="n"/>
      <c r="J55" s="44" t="n"/>
      <c r="K55" s="41" t="n"/>
      <c r="L55" s="34" t="n"/>
    </row>
    <row r="56">
      <c r="A56" s="44" t="n"/>
      <c r="B56" s="41" t="n"/>
      <c r="C56" s="34" t="n"/>
      <c r="D56" s="44" t="n"/>
      <c r="E56" s="44" t="n"/>
      <c r="F56" s="44" t="n"/>
      <c r="G56" s="44" t="n"/>
      <c r="H56" s="44" t="n"/>
      <c r="I56" s="44" t="n"/>
      <c r="J56" s="44" t="n"/>
      <c r="K56" s="41" t="n"/>
      <c r="L56" s="34" t="n"/>
    </row>
    <row r="57">
      <c r="A57" s="44" t="n"/>
      <c r="B57" s="41" t="n"/>
      <c r="C57" s="34" t="n"/>
      <c r="D57" s="44" t="n"/>
      <c r="E57" s="44" t="n"/>
      <c r="F57" s="44" t="n"/>
      <c r="G57" s="44" t="n"/>
      <c r="H57" s="44" t="n"/>
      <c r="I57" s="44" t="n"/>
      <c r="J57" s="44" t="n"/>
      <c r="K57" s="41" t="n"/>
      <c r="L57" s="34" t="n"/>
    </row>
    <row r="58">
      <c r="A58" s="44" t="n"/>
      <c r="B58" s="41" t="n"/>
      <c r="C58" s="34" t="n"/>
      <c r="D58" s="44" t="n"/>
      <c r="E58" s="44" t="n"/>
      <c r="F58" s="44" t="n"/>
      <c r="G58" s="44" t="n"/>
      <c r="H58" s="44" t="n"/>
      <c r="I58" s="44" t="n"/>
      <c r="J58" s="44" t="n"/>
      <c r="K58" s="41" t="n"/>
      <c r="L58" s="34" t="n"/>
    </row>
    <row r="59">
      <c r="A59" s="44" t="n"/>
      <c r="B59" s="41" t="n"/>
      <c r="C59" s="34" t="n"/>
      <c r="D59" s="44" t="n"/>
      <c r="E59" s="44" t="n"/>
      <c r="F59" s="44" t="n"/>
      <c r="G59" s="44" t="n"/>
      <c r="H59" s="44" t="n"/>
      <c r="I59" s="44" t="n"/>
      <c r="J59" s="44" t="n"/>
      <c r="K59" s="41" t="n"/>
      <c r="L59" s="34" t="n"/>
    </row>
    <row r="60">
      <c r="A60" s="44" t="n"/>
      <c r="B60" s="41" t="n"/>
      <c r="C60" s="34" t="n"/>
      <c r="D60" s="44" t="n"/>
      <c r="E60" s="44" t="n"/>
      <c r="F60" s="44" t="n"/>
      <c r="G60" s="44" t="n"/>
      <c r="H60" s="44" t="n"/>
      <c r="I60" s="44" t="n"/>
      <c r="J60" s="44" t="n"/>
      <c r="K60" s="41" t="n"/>
      <c r="L60" s="34" t="n"/>
    </row>
    <row r="61">
      <c r="A61" s="44" t="n"/>
      <c r="B61" s="41" t="n"/>
      <c r="C61" s="34" t="n"/>
      <c r="D61" s="44" t="n"/>
      <c r="E61" s="44" t="n"/>
      <c r="F61" s="44" t="n"/>
      <c r="G61" s="44" t="n"/>
      <c r="H61" s="44" t="n"/>
      <c r="I61" s="44" t="n"/>
      <c r="J61" s="44" t="n"/>
      <c r="K61" s="41" t="n"/>
      <c r="L61" s="34" t="n"/>
    </row>
    <row r="62">
      <c r="A62" s="44" t="n"/>
      <c r="B62" s="41" t="n"/>
      <c r="C62" s="34" t="n"/>
      <c r="D62" s="44" t="n"/>
      <c r="E62" s="44" t="n"/>
      <c r="F62" s="44" t="n"/>
      <c r="G62" s="44" t="n"/>
      <c r="H62" s="44" t="n"/>
      <c r="I62" s="44" t="n"/>
      <c r="J62" s="44" t="n"/>
      <c r="K62" s="41" t="n"/>
      <c r="L62" s="34" t="n"/>
    </row>
    <row r="63">
      <c r="A63" s="44" t="n"/>
      <c r="B63" s="41" t="n"/>
      <c r="C63" s="34" t="n"/>
      <c r="D63" s="44" t="n"/>
      <c r="E63" s="44" t="n"/>
      <c r="F63" s="44" t="n"/>
      <c r="G63" s="44" t="n"/>
      <c r="H63" s="44" t="n"/>
      <c r="I63" s="44" t="n"/>
      <c r="J63" s="44" t="n"/>
      <c r="K63" s="41" t="n"/>
      <c r="L63" s="34" t="n"/>
    </row>
    <row r="64">
      <c r="A64" s="44" t="n"/>
      <c r="B64" s="41" t="n"/>
      <c r="C64" s="34" t="n"/>
      <c r="D64" s="44" t="n"/>
      <c r="E64" s="44" t="n"/>
      <c r="F64" s="44" t="n"/>
      <c r="G64" s="44" t="n"/>
      <c r="H64" s="44" t="n"/>
      <c r="I64" s="44" t="n"/>
      <c r="J64" s="44" t="n"/>
      <c r="K64" s="41" t="n"/>
      <c r="L64" s="34" t="n"/>
    </row>
    <row r="65">
      <c r="A65" s="44" t="n"/>
      <c r="B65" s="41" t="n"/>
      <c r="C65" s="34" t="n"/>
      <c r="D65" s="44" t="n"/>
      <c r="E65" s="44" t="n"/>
      <c r="F65" s="44" t="n"/>
      <c r="G65" s="44" t="n"/>
      <c r="H65" s="44" t="n"/>
      <c r="I65" s="44" t="n"/>
      <c r="J65" s="44" t="n"/>
      <c r="K65" s="41" t="n"/>
      <c r="L65" s="34" t="n"/>
    </row>
    <row r="66">
      <c r="A66" s="44" t="n"/>
      <c r="B66" s="41" t="n"/>
      <c r="C66" s="34" t="n"/>
      <c r="D66" s="44" t="n"/>
      <c r="E66" s="44" t="n"/>
      <c r="F66" s="44" t="n"/>
      <c r="G66" s="44" t="n"/>
      <c r="H66" s="44" t="n"/>
      <c r="I66" s="44" t="n"/>
      <c r="J66" s="44" t="n"/>
      <c r="K66" s="41" t="n"/>
      <c r="L66" s="34" t="n"/>
    </row>
    <row r="67">
      <c r="A67" s="44" t="n"/>
      <c r="B67" s="41" t="n"/>
      <c r="C67" s="34" t="n"/>
      <c r="D67" s="44" t="n"/>
      <c r="E67" s="44" t="n"/>
      <c r="F67" s="44" t="n"/>
      <c r="G67" s="44" t="n"/>
      <c r="H67" s="44" t="n"/>
      <c r="I67" s="44" t="n"/>
      <c r="J67" s="44" t="n"/>
      <c r="K67" s="41" t="n"/>
      <c r="L67" s="34" t="n"/>
    </row>
    <row r="68">
      <c r="A68" s="44" t="n"/>
      <c r="B68" s="41" t="n"/>
      <c r="C68" s="34" t="n"/>
      <c r="D68" s="44" t="n"/>
      <c r="E68" s="44" t="n"/>
      <c r="F68" s="44" t="n"/>
      <c r="G68" s="44" t="n"/>
      <c r="H68" s="44" t="n"/>
      <c r="I68" s="44" t="n"/>
      <c r="J68" s="44" t="n"/>
      <c r="K68" s="41" t="n"/>
      <c r="L68" s="34" t="n"/>
    </row>
    <row r="69">
      <c r="A69" s="44" t="n"/>
      <c r="B69" s="41" t="n"/>
      <c r="C69" s="34" t="n"/>
      <c r="D69" s="44" t="n"/>
      <c r="E69" s="44" t="n"/>
      <c r="F69" s="44" t="n"/>
      <c r="G69" s="44" t="n"/>
      <c r="H69" s="44" t="n"/>
      <c r="I69" s="44" t="n"/>
      <c r="J69" s="44" t="n"/>
      <c r="K69" s="41" t="n"/>
      <c r="L69" s="34" t="n"/>
    </row>
    <row r="70">
      <c r="A70" s="44" t="n"/>
      <c r="B70" s="41" t="n"/>
      <c r="C70" s="34" t="n"/>
      <c r="D70" s="44" t="n"/>
      <c r="E70" s="44" t="n"/>
      <c r="F70" s="44" t="n"/>
      <c r="G70" s="44" t="n"/>
      <c r="H70" s="44" t="n"/>
      <c r="I70" s="44" t="n"/>
      <c r="J70" s="44" t="n"/>
      <c r="K70" s="41" t="n"/>
      <c r="L70" s="34" t="n"/>
    </row>
    <row r="71">
      <c r="A71" s="44" t="n"/>
      <c r="B71" s="41" t="n"/>
      <c r="C71" s="34" t="n"/>
      <c r="D71" s="44" t="n"/>
      <c r="E71" s="44" t="n"/>
      <c r="F71" s="44" t="n"/>
      <c r="G71" s="44" t="n"/>
      <c r="H71" s="44" t="n"/>
      <c r="I71" s="44" t="n"/>
      <c r="J71" s="44" t="n"/>
      <c r="K71" s="41" t="n"/>
      <c r="L71" s="34" t="n"/>
    </row>
    <row r="72">
      <c r="A72" s="44" t="n"/>
      <c r="B72" s="41" t="n"/>
      <c r="C72" s="34" t="n"/>
      <c r="D72" s="44" t="n"/>
      <c r="E72" s="44" t="n"/>
      <c r="F72" s="44" t="n"/>
      <c r="G72" s="44" t="n"/>
      <c r="H72" s="44" t="n"/>
      <c r="I72" s="44" t="n"/>
      <c r="J72" s="44" t="n"/>
      <c r="K72" s="41" t="n"/>
      <c r="L72" s="34" t="n"/>
    </row>
    <row r="73">
      <c r="A73" s="44" t="n"/>
      <c r="B73" s="41" t="n"/>
      <c r="C73" s="34" t="n"/>
      <c r="D73" s="44" t="n"/>
      <c r="E73" s="44" t="n"/>
      <c r="F73" s="44" t="n"/>
      <c r="G73" s="44" t="n"/>
      <c r="H73" s="44" t="n"/>
      <c r="I73" s="44" t="n"/>
      <c r="J73" s="44" t="n"/>
      <c r="K73" s="41" t="n"/>
      <c r="L73" s="34" t="n"/>
    </row>
    <row r="74">
      <c r="A74" s="44" t="n"/>
      <c r="B74" s="41" t="n"/>
      <c r="C74" s="34" t="n"/>
      <c r="D74" s="44" t="n"/>
      <c r="E74" s="44" t="n"/>
      <c r="F74" s="44" t="n"/>
      <c r="G74" s="44" t="n"/>
      <c r="H74" s="44" t="n"/>
      <c r="I74" s="44" t="n"/>
      <c r="J74" s="44" t="n"/>
      <c r="K74" s="41" t="n"/>
      <c r="L74" s="34" t="n"/>
    </row>
    <row r="75">
      <c r="A75" s="44" t="n"/>
      <c r="B75" s="41" t="n"/>
      <c r="C75" s="34" t="n"/>
      <c r="D75" s="44" t="n"/>
      <c r="E75" s="44" t="n"/>
      <c r="F75" s="44" t="n"/>
      <c r="G75" s="44" t="n"/>
      <c r="H75" s="44" t="n"/>
      <c r="I75" s="44" t="n"/>
      <c r="J75" s="44" t="n"/>
      <c r="K75" s="41" t="n"/>
      <c r="L75" s="34" t="n"/>
    </row>
    <row r="76">
      <c r="A76" s="44" t="n"/>
      <c r="B76" s="41" t="n"/>
      <c r="C76" s="34" t="n"/>
      <c r="D76" s="44" t="n"/>
      <c r="E76" s="44" t="n"/>
      <c r="F76" s="44" t="n"/>
      <c r="G76" s="44" t="n"/>
      <c r="H76" s="44" t="n"/>
      <c r="I76" s="44" t="n"/>
      <c r="J76" s="44" t="n"/>
      <c r="K76" s="41" t="n"/>
      <c r="L76" s="34" t="n"/>
    </row>
    <row r="77">
      <c r="A77" s="44" t="n"/>
      <c r="B77" s="41" t="n"/>
      <c r="C77" s="34" t="n"/>
      <c r="D77" s="44" t="n"/>
      <c r="E77" s="44" t="n"/>
      <c r="F77" s="44" t="n"/>
      <c r="G77" s="44" t="n"/>
      <c r="H77" s="44" t="n"/>
      <c r="I77" s="44" t="n"/>
      <c r="J77" s="44" t="n"/>
      <c r="K77" s="41" t="n"/>
      <c r="L77" s="34" t="n"/>
    </row>
    <row r="78">
      <c r="A78" s="44" t="n"/>
      <c r="B78" s="41" t="n"/>
      <c r="C78" s="34" t="n"/>
      <c r="D78" s="44" t="n"/>
      <c r="E78" s="44" t="n"/>
      <c r="F78" s="44" t="n"/>
      <c r="G78" s="44" t="n"/>
      <c r="H78" s="44" t="n"/>
      <c r="I78" s="44" t="n"/>
      <c r="J78" s="44" t="n"/>
      <c r="K78" s="41" t="n"/>
      <c r="L78" s="34" t="n"/>
    </row>
    <row r="79">
      <c r="A79" s="44" t="n"/>
      <c r="B79" s="41" t="n"/>
      <c r="C79" s="34" t="n"/>
      <c r="D79" s="44" t="n"/>
      <c r="E79" s="44" t="n"/>
      <c r="F79" s="44" t="n"/>
      <c r="G79" s="44" t="n"/>
      <c r="H79" s="44" t="n"/>
      <c r="I79" s="44" t="n"/>
      <c r="J79" s="44" t="n"/>
      <c r="K79" s="41" t="n"/>
      <c r="L79" s="34" t="n"/>
    </row>
    <row r="80">
      <c r="A80" s="44" t="n"/>
      <c r="B80" s="41" t="n"/>
      <c r="C80" s="34" t="n"/>
      <c r="D80" s="44" t="n"/>
      <c r="E80" s="44" t="n"/>
      <c r="F80" s="44" t="n"/>
      <c r="G80" s="44" t="n"/>
      <c r="H80" s="44" t="n"/>
      <c r="I80" s="44" t="n"/>
      <c r="J80" s="44" t="n"/>
      <c r="K80" s="41" t="n"/>
      <c r="L80" s="34" t="n"/>
    </row>
    <row r="81">
      <c r="A81" s="44" t="n"/>
      <c r="B81" s="41" t="n"/>
      <c r="C81" s="34" t="n"/>
      <c r="D81" s="44" t="n"/>
      <c r="E81" s="44" t="n"/>
      <c r="F81" s="44" t="n"/>
      <c r="G81" s="44" t="n"/>
      <c r="H81" s="44" t="n"/>
      <c r="I81" s="44" t="n"/>
      <c r="J81" s="44" t="n"/>
      <c r="K81" s="41" t="n"/>
      <c r="L81" s="34" t="n"/>
    </row>
    <row r="82">
      <c r="A82" s="44" t="n"/>
      <c r="B82" s="41" t="n"/>
      <c r="C82" s="34" t="n"/>
      <c r="D82" s="44" t="n"/>
      <c r="E82" s="44" t="n"/>
      <c r="F82" s="44" t="n"/>
      <c r="G82" s="44" t="n"/>
      <c r="H82" s="44" t="n"/>
      <c r="I82" s="44" t="n"/>
      <c r="J82" s="44" t="n"/>
      <c r="K82" s="41" t="n"/>
      <c r="L82" s="34" t="n"/>
    </row>
    <row r="83">
      <c r="A83" s="44" t="n"/>
      <c r="B83" s="41" t="n"/>
      <c r="C83" s="34" t="n"/>
      <c r="D83" s="44" t="n"/>
      <c r="E83" s="44" t="n"/>
      <c r="F83" s="44" t="n"/>
      <c r="G83" s="44" t="n"/>
      <c r="H83" s="44" t="n"/>
      <c r="I83" s="44" t="n"/>
      <c r="J83" s="44" t="n"/>
      <c r="K83" s="41" t="n"/>
      <c r="L83" s="34" t="n"/>
    </row>
    <row r="84">
      <c r="A84" s="44" t="n"/>
      <c r="B84" s="41" t="n"/>
      <c r="C84" s="34" t="n"/>
      <c r="D84" s="44" t="n"/>
      <c r="E84" s="44" t="n"/>
      <c r="F84" s="44" t="n"/>
      <c r="G84" s="44" t="n"/>
      <c r="H84" s="44" t="n"/>
      <c r="I84" s="44" t="n"/>
      <c r="J84" s="44" t="n"/>
      <c r="K84" s="41" t="n"/>
      <c r="L84" s="34" t="n"/>
    </row>
    <row r="85">
      <c r="A85" s="44" t="n"/>
      <c r="B85" s="41" t="n"/>
      <c r="C85" s="34" t="n"/>
      <c r="D85" s="44" t="n"/>
      <c r="E85" s="44" t="n"/>
      <c r="F85" s="44" t="n"/>
      <c r="G85" s="44" t="n"/>
      <c r="H85" s="44" t="n"/>
      <c r="I85" s="44" t="n"/>
      <c r="J85" s="44" t="n"/>
      <c r="K85" s="41" t="n"/>
      <c r="L85" s="34" t="n"/>
    </row>
    <row r="86">
      <c r="A86" s="44" t="n"/>
      <c r="B86" s="41" t="n"/>
      <c r="C86" s="34" t="n"/>
      <c r="D86" s="44" t="n"/>
      <c r="E86" s="44" t="n"/>
      <c r="F86" s="44" t="n"/>
      <c r="G86" s="44" t="n"/>
      <c r="H86" s="44" t="n"/>
      <c r="I86" s="44" t="n"/>
      <c r="J86" s="44" t="n"/>
      <c r="K86" s="41" t="n"/>
      <c r="L86" s="34" t="n"/>
    </row>
  </sheetData>
  <mergeCells count="2">
    <mergeCell ref="A2:L2"/>
    <mergeCell ref="A1:L1"/>
  </mergeCells>
  <dataValidations count="4">
    <dataValidation sqref="A7:A86" showDropDown="0" showInputMessage="0" showErrorMessage="0" allowBlank="1" error="Pick a value from the list." promptTitle="Week" type="list">
      <formula1>=LISTS!$K$5:$K$17</formula1>
    </dataValidation>
    <dataValidation sqref="B7:B86" showDropDown="0" showInputMessage="0" showErrorMessage="0" allowBlank="1" error="Pick a value from the list." promptTitle="Milestone" type="list">
      <formula1>=LISTS!$D$5:$D$8</formula1>
    </dataValidation>
    <dataValidation sqref="C7:C86" showDropDown="0" showInputMessage="0" showErrorMessage="0" allowBlank="1" error="Pick a value from the list." promptTitle="Member" type="list">
      <formula1>=LISTS!$H$5:$H$10</formula1>
    </dataValidation>
    <dataValidation sqref="K7:K86" showDropDown="0" showInputMessage="0" showErrorMessage="0" allowBlank="1" error="Pick a value from the list." promptTitle="CI green?" type="list">
      <formula1>=LISTS!$I$5:$I$6</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18.xml><?xml version="1.0" encoding="utf-8"?>
<worksheet xmlns="http://schemas.openxmlformats.org/spreadsheetml/2006/main">
  <sheetPr>
    <tabColor rgb="0014505C"/>
    <outlinePr summaryBelow="1" summaryRight="1"/>
    <pageSetUpPr fitToPage="1"/>
  </sheetPr>
  <dimension ref="A1:N20"/>
  <sheetViews>
    <sheetView showGridLines="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outlineLevelCol="0"/>
  <cols>
    <col width="7" customWidth="1" min="1" max="1"/>
    <col width="13" customWidth="1" min="2" max="2"/>
    <col width="9" customWidth="1" min="3" max="3"/>
    <col width="9"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3" customWidth="1" min="12" max="12"/>
    <col width="34" customWidth="1" min="13" max="13"/>
    <col width="34" customWidth="1" min="14" max="14"/>
  </cols>
  <sheetData>
    <row r="1" ht="30" customHeight="1">
      <c r="A1" s="1" t="inlineStr">
        <is>
          <t>Form WEEK  -  Weekly Status Report</t>
        </is>
      </c>
    </row>
    <row r="2" ht="16" customHeight="1">
      <c r="A2" s="2" t="inlineStr">
        <is>
          <t>Filled in at the weekly team meeting. This is the record the instructor and demonstrator read.</t>
        </is>
      </c>
    </row>
    <row r="4">
      <c r="A4" s="23" t="inlineStr">
        <is>
          <t>Team</t>
        </is>
      </c>
      <c r="B4" s="24">
        <f>SETUP!$C$10</f>
        <v/>
      </c>
      <c r="F4" s="23" t="inlineStr">
        <is>
          <t>Meetings held</t>
        </is>
      </c>
      <c r="G4" s="67">
        <f>COUNTIF(D8:D20,"Yes")</f>
        <v/>
      </c>
    </row>
    <row r="7" ht="34" customHeight="1">
      <c r="A7" s="6" t="inlineStr">
        <is>
          <t>Week</t>
        </is>
      </c>
      <c r="B7" s="6" t="inlineStr">
        <is>
          <t>Week starting</t>
        </is>
      </c>
      <c r="C7" s="6" t="inlineStr">
        <is>
          <t>M/stone</t>
        </is>
      </c>
      <c r="D7" s="6" t="inlineStr">
        <is>
          <t>Met?</t>
        </is>
      </c>
      <c r="E7" s="6" t="inlineStr">
        <is>
          <t>Present</t>
        </is>
      </c>
      <c r="F7" s="6" t="inlineStr">
        <is>
          <t>Plan hrs</t>
        </is>
      </c>
      <c r="G7" s="6" t="inlineStr">
        <is>
          <t>Actual hrs</t>
        </is>
      </c>
      <c r="H7" s="6" t="inlineStr">
        <is>
          <t>Act/Plan</t>
        </is>
      </c>
      <c r="I7" s="6" t="inlineStr">
        <is>
          <t>Cum PV</t>
        </is>
      </c>
      <c r="J7" s="6" t="inlineStr">
        <is>
          <t>Cum EV</t>
        </is>
      </c>
      <c r="K7" s="6" t="inlineStr">
        <is>
          <t>EV variance</t>
        </is>
      </c>
      <c r="L7" s="6" t="inlineStr">
        <is>
          <t>Status</t>
        </is>
      </c>
      <c r="M7" s="6" t="inlineStr">
        <is>
          <t>Biggest risk or issue this week</t>
        </is>
      </c>
      <c r="N7" s="6" t="inlineStr">
        <is>
          <t>Commitment for next week</t>
        </is>
      </c>
    </row>
    <row r="8" ht="30" customHeight="1">
      <c r="A8" s="71" t="n">
        <v>3</v>
      </c>
      <c r="B8" s="136" t="n">
        <v>46300</v>
      </c>
      <c r="C8" s="41" t="inlineStr">
        <is>
          <t>M1</t>
        </is>
      </c>
      <c r="D8" s="41" t="inlineStr">
        <is>
          <t>Yes</t>
        </is>
      </c>
      <c r="E8" s="44" t="n">
        <v>5</v>
      </c>
      <c r="F8" s="134">
        <f>SCHEDULE!$C$8</f>
        <v/>
      </c>
      <c r="G8" s="134">
        <f>SCHEDULE!$E$8</f>
        <v/>
      </c>
      <c r="H8" s="77">
        <f>IF(N($F8)=0,"",$G8/$F8)</f>
        <v/>
      </c>
      <c r="I8" s="135">
        <f>SCHEDULE!$H$8</f>
        <v/>
      </c>
      <c r="J8" s="135">
        <f>SCHEDULE!$J$8</f>
        <v/>
      </c>
      <c r="K8" s="135">
        <f>SCHEDULE!$K$8</f>
        <v/>
      </c>
      <c r="L8" s="51">
        <f>IF($A8&gt;MAX(IF(LOGT!$D$7:$D$406&lt;&gt;"",LOGT!$D$7:$D$406)),"",IF($K8&lt;-0.1,"BEHIND",IF($K8&lt;-0.02,"AT RISK","ON TRACK")))</f>
        <v/>
      </c>
      <c r="M8" s="66" t="inlineStr">
        <is>
          <t>Client not yet confirmed - no signed approval form</t>
        </is>
      </c>
      <c r="N8" s="66" t="inlineStr">
        <is>
          <t>Submit the client approval form and open the repo</t>
        </is>
      </c>
    </row>
    <row r="9" ht="30" customHeight="1">
      <c r="A9" s="71" t="n">
        <v>4</v>
      </c>
      <c r="B9" s="136" t="n">
        <v>46307</v>
      </c>
      <c r="C9" s="41" t="inlineStr">
        <is>
          <t>M1</t>
        </is>
      </c>
      <c r="D9" s="41" t="inlineStr">
        <is>
          <t>Yes</t>
        </is>
      </c>
      <c r="E9" s="44" t="n">
        <v>5</v>
      </c>
      <c r="F9" s="134">
        <f>SCHEDULE!$C$9</f>
        <v/>
      </c>
      <c r="G9" s="134">
        <f>SCHEDULE!$E$9</f>
        <v/>
      </c>
      <c r="H9" s="77">
        <f>IF(N($F9)=0,"",$G9/$F9)</f>
        <v/>
      </c>
      <c r="I9" s="135">
        <f>SCHEDULE!$H$9</f>
        <v/>
      </c>
      <c r="J9" s="135">
        <f>SCHEDULE!$J$9</f>
        <v/>
      </c>
      <c r="K9" s="135">
        <f>SCHEDULE!$K$9</f>
        <v/>
      </c>
      <c r="L9" s="51">
        <f>IF($A9&gt;MAX(IF(LOGT!$D$7:$D$406&lt;&gt;"",LOGT!$D$7:$D$406)),"",IF($K9&lt;-0.1,"BEHIND",IF($K9&lt;-0.02,"AT RISK","ON TRACK")))</f>
        <v/>
      </c>
      <c r="M9" s="66" t="inlineStr">
        <is>
          <t>Requirements still vague on pricing</t>
        </is>
      </c>
      <c r="N9" s="66" t="inlineStr">
        <is>
          <t>Finish the SRS draft and book the mock-up review</t>
        </is>
      </c>
    </row>
    <row r="10" ht="30" customHeight="1">
      <c r="A10" s="71" t="n">
        <v>5</v>
      </c>
      <c r="B10" s="136" t="n">
        <v>46314</v>
      </c>
      <c r="C10" s="41" t="inlineStr">
        <is>
          <t>M1</t>
        </is>
      </c>
      <c r="D10" s="41" t="inlineStr">
        <is>
          <t>Yes</t>
        </is>
      </c>
      <c r="E10" s="44" t="n">
        <v>5</v>
      </c>
      <c r="F10" s="134">
        <f>SCHEDULE!$C$10</f>
        <v/>
      </c>
      <c r="G10" s="134">
        <f>SCHEDULE!$E$10</f>
        <v/>
      </c>
      <c r="H10" s="77">
        <f>IF(N($F10)=0,"",$G10/$F10)</f>
        <v/>
      </c>
      <c r="I10" s="135">
        <f>SCHEDULE!$H$10</f>
        <v/>
      </c>
      <c r="J10" s="135">
        <f>SCHEDULE!$J$10</f>
        <v/>
      </c>
      <c r="K10" s="135">
        <f>SCHEDULE!$K$10</f>
        <v/>
      </c>
      <c r="L10" s="51">
        <f>IF($A10&gt;MAX(IF(LOGT!$D$7:$D$406&lt;&gt;"",LOGT!$D$7:$D$406)),"",IF($K10&lt;-0.1,"BEHIND",IF($K10&lt;-0.02,"AT RISK","ON TRACK")))</f>
        <v/>
      </c>
      <c r="M10" s="66" t="inlineStr">
        <is>
          <t>M1 due Saturday; SRS inspection not scheduled yet</t>
        </is>
      </c>
      <c r="N10" s="66" t="inlineStr">
        <is>
          <t>Submit M1: proposal, SRS, charter, repo</t>
        </is>
      </c>
    </row>
    <row r="11" ht="30" customHeight="1">
      <c r="A11" s="71" t="n">
        <v>6</v>
      </c>
      <c r="B11" s="136" t="n">
        <v>46321</v>
      </c>
      <c r="C11" s="41" t="inlineStr">
        <is>
          <t>M2</t>
        </is>
      </c>
      <c r="D11" s="41" t="inlineStr">
        <is>
          <t>Yes</t>
        </is>
      </c>
      <c r="E11" s="44" t="n">
        <v>4</v>
      </c>
      <c r="F11" s="134">
        <f>SCHEDULE!$C$11</f>
        <v/>
      </c>
      <c r="G11" s="134">
        <f>SCHEDULE!$E$11</f>
        <v/>
      </c>
      <c r="H11" s="77">
        <f>IF(N($F11)=0,"",$G11/$F11)</f>
        <v/>
      </c>
      <c r="I11" s="135">
        <f>SCHEDULE!$H$11</f>
        <v/>
      </c>
      <c r="J11" s="135">
        <f>SCHEDULE!$J$11</f>
        <v/>
      </c>
      <c r="K11" s="135">
        <f>SCHEDULE!$K$11</f>
        <v/>
      </c>
      <c r="L11" s="51">
        <f>IF($A11&gt;MAX(IF(LOGT!$D$7:$D$406&lt;&gt;"",LOGT!$D$7:$D$406)),"",IF($K11&lt;-0.1,"BEHIND",IF($K11&lt;-0.02,"AT RISK","ON TRACK")))</f>
        <v/>
      </c>
      <c r="M11" s="66" t="inlineStr">
        <is>
          <t>Daniel missed two sessions - no commits this week</t>
        </is>
      </c>
      <c r="N11" s="66" t="inlineStr">
        <is>
          <t>Daniel to pick up the price repository and report Wednesday</t>
        </is>
      </c>
    </row>
    <row r="12" ht="30" customHeight="1">
      <c r="A12" s="71" t="n">
        <v>7</v>
      </c>
      <c r="B12" s="136" t="n">
        <v>46328</v>
      </c>
      <c r="C12" s="41" t="inlineStr">
        <is>
          <t>M2</t>
        </is>
      </c>
      <c r="D12" s="41" t="inlineStr">
        <is>
          <t>Yes</t>
        </is>
      </c>
      <c r="E12" s="44" t="n">
        <v>5</v>
      </c>
      <c r="F12" s="134">
        <f>SCHEDULE!$C$12</f>
        <v/>
      </c>
      <c r="G12" s="134">
        <f>SCHEDULE!$E$12</f>
        <v/>
      </c>
      <c r="H12" s="77">
        <f>IF(N($F12)=0,"",$G12/$F12)</f>
        <v/>
      </c>
      <c r="I12" s="135">
        <f>SCHEDULE!$H$12</f>
        <v/>
      </c>
      <c r="J12" s="135">
        <f>SCHEDULE!$J$12</f>
        <v/>
      </c>
      <c r="K12" s="135">
        <f>SCHEDULE!$K$12</f>
        <v/>
      </c>
      <c r="L12" s="51">
        <f>IF($A12&gt;MAX(IF(LOGT!$D$7:$D$406&lt;&gt;"",LOGT!$D$7:$D$406)),"",IF($K12&lt;-0.1,"BEHIND",IF($K12&lt;-0.02,"AT RISK","ON TRACK")))</f>
        <v/>
      </c>
      <c r="M12" s="66" t="inlineStr">
        <is>
          <t>Dated-price change may not fit before M2</t>
        </is>
      </c>
      <c r="N12" s="66" t="inlineStr">
        <is>
          <t>Finish the order screen and the catalogue service</t>
        </is>
      </c>
    </row>
    <row r="13" ht="30" customHeight="1">
      <c r="A13" s="71" t="n">
        <v>8</v>
      </c>
      <c r="B13" s="136" t="n">
        <v>46335</v>
      </c>
      <c r="C13" s="41" t="inlineStr">
        <is>
          <t>M2</t>
        </is>
      </c>
      <c r="D13" s="41" t="inlineStr">
        <is>
          <t>No</t>
        </is>
      </c>
      <c r="E13" s="44" t="n">
        <v>0</v>
      </c>
      <c r="F13" s="134">
        <f>SCHEDULE!$C$13</f>
        <v/>
      </c>
      <c r="G13" s="134">
        <f>SCHEDULE!$E$13</f>
        <v/>
      </c>
      <c r="H13" s="77">
        <f>IF(N($F13)=0,"",$G13/$F13)</f>
        <v/>
      </c>
      <c r="I13" s="135">
        <f>SCHEDULE!$H$13</f>
        <v/>
      </c>
      <c r="J13" s="135">
        <f>SCHEDULE!$J$13</f>
        <v/>
      </c>
      <c r="K13" s="135">
        <f>SCHEDULE!$K$13</f>
        <v/>
      </c>
      <c r="L13" s="51">
        <f>IF($A13&gt;MAX(IF(LOGT!$D$7:$D$406&lt;&gt;"",LOGT!$D$7:$D$406)),"",IF($K13&lt;-0.1,"BEHIND",IF($K13&lt;-0.02,"AT RISK","ON TRACK")))</f>
        <v/>
      </c>
      <c r="M13" s="66" t="inlineStr">
        <is>
          <t>Mid-semester break - no work planned</t>
        </is>
      </c>
      <c r="N13" s="66" t="inlineStr">
        <is>
          <t>Resume Wednesday of week 9</t>
        </is>
      </c>
    </row>
    <row r="14" ht="30" customHeight="1">
      <c r="A14" s="71" t="n">
        <v>9</v>
      </c>
      <c r="B14" s="136" t="n">
        <v>46342</v>
      </c>
      <c r="C14" s="41" t="inlineStr">
        <is>
          <t>M2</t>
        </is>
      </c>
      <c r="D14" s="41" t="inlineStr">
        <is>
          <t>Yes</t>
        </is>
      </c>
      <c r="E14" s="44" t="n">
        <v>5</v>
      </c>
      <c r="F14" s="134">
        <f>SCHEDULE!$C$14</f>
        <v/>
      </c>
      <c r="G14" s="134">
        <f>SCHEDULE!$E$14</f>
        <v/>
      </c>
      <c r="H14" s="77">
        <f>IF(N($F14)=0,"",$G14/$F14)</f>
        <v/>
      </c>
      <c r="I14" s="135">
        <f>SCHEDULE!$H$14</f>
        <v/>
      </c>
      <c r="J14" s="135">
        <f>SCHEDULE!$J$14</f>
        <v/>
      </c>
      <c r="K14" s="135">
        <f>SCHEDULE!$K$14</f>
        <v/>
      </c>
      <c r="L14" s="51">
        <f>IF($A14&gt;MAX(IF(LOGT!$D$7:$D$406&lt;&gt;"",LOGT!$D$7:$D$406)),"",IF($K14&lt;-0.1,"BEHIND",IF($K14&lt;-0.02,"AT RISK","ON TRACK")))</f>
        <v/>
      </c>
      <c r="M14" s="66" t="inlineStr">
        <is>
          <t>CI red for two days; contribution is very uneven</t>
        </is>
      </c>
      <c r="N14" s="66" t="inlineStr">
        <is>
          <t>Submit M2; Aisyah to fix CI; raise contribution at the meeting</t>
        </is>
      </c>
    </row>
    <row r="15" ht="30" customHeight="1">
      <c r="A15" s="71" t="n">
        <v>10</v>
      </c>
      <c r="B15" s="136" t="n">
        <v>46349</v>
      </c>
      <c r="C15" s="41" t="inlineStr">
        <is>
          <t>M3</t>
        </is>
      </c>
      <c r="D15" s="41" t="inlineStr">
        <is>
          <t>Yes</t>
        </is>
      </c>
      <c r="E15" s="44" t="n">
        <v>5</v>
      </c>
      <c r="F15" s="134">
        <f>SCHEDULE!$C$15</f>
        <v/>
      </c>
      <c r="G15" s="134">
        <f>SCHEDULE!$E$15</f>
        <v/>
      </c>
      <c r="H15" s="77">
        <f>IF(N($F15)=0,"",$G15/$F15)</f>
        <v/>
      </c>
      <c r="I15" s="135">
        <f>SCHEDULE!$H$15</f>
        <v/>
      </c>
      <c r="J15" s="135">
        <f>SCHEDULE!$J$15</f>
        <v/>
      </c>
      <c r="K15" s="135">
        <f>SCHEDULE!$K$15</f>
        <v/>
      </c>
      <c r="L15" s="51">
        <f>IF($A15&gt;MAX(IF(LOGT!$D$7:$D$406&lt;&gt;"",LOGT!$D$7:$D$406)),"",IF($K15&lt;-0.1,"BEHIND",IF($K15&lt;-0.02,"AT RISK","ON TRACK")))</f>
        <v/>
      </c>
      <c r="M15" s="66" t="inlineStr">
        <is>
          <t>Harith is carrying far too much of the work</t>
        </is>
      </c>
      <c r="N15" s="66" t="inlineStr">
        <is>
          <t>Redistribute the sync tasks; Mei Ling takes the widget tests</t>
        </is>
      </c>
    </row>
    <row r="16" ht="30" customHeight="1">
      <c r="A16" s="71" t="n">
        <v>11</v>
      </c>
      <c r="B16" s="136" t="n">
        <v>46356</v>
      </c>
      <c r="C16" s="41" t="inlineStr">
        <is>
          <t>M3</t>
        </is>
      </c>
      <c r="D16" s="41" t="inlineStr">
        <is>
          <t>Yes</t>
        </is>
      </c>
      <c r="E16" s="44" t="n">
        <v>5</v>
      </c>
      <c r="F16" s="134">
        <f>SCHEDULE!$C$16</f>
        <v/>
      </c>
      <c r="G16" s="134">
        <f>SCHEDULE!$E$16</f>
        <v/>
      </c>
      <c r="H16" s="77">
        <f>IF(N($F16)=0,"",$G16/$F16)</f>
        <v/>
      </c>
      <c r="I16" s="135">
        <f>SCHEDULE!$H$16</f>
        <v/>
      </c>
      <c r="J16" s="135">
        <f>SCHEDULE!$J$16</f>
        <v/>
      </c>
      <c r="K16" s="135">
        <f>SCHEDULE!$K$16</f>
        <v/>
      </c>
      <c r="L16" s="51">
        <f>IF($A16&gt;MAX(IF(LOGT!$D$7:$D$406&lt;&gt;"",LOGT!$D$7:$D$406)),"",IF($K16&lt;-0.1,"BEHIND",IF($K16&lt;-0.02,"AT RISK","ON TRACK")))</f>
        <v/>
      </c>
      <c r="M16" s="66" t="inlineStr">
        <is>
          <t>Coverage at 58%, below the 60% floor</t>
        </is>
      </c>
      <c r="N16" s="66" t="inlineStr">
        <is>
          <t>Add tests for the write queue and the price repository</t>
        </is>
      </c>
    </row>
    <row r="17" ht="30" customHeight="1">
      <c r="A17" s="71" t="n">
        <v>12</v>
      </c>
      <c r="B17" s="136" t="n">
        <v>46363</v>
      </c>
      <c r="C17" s="41" t="inlineStr">
        <is>
          <t>M3</t>
        </is>
      </c>
      <c r="D17" s="41" t="inlineStr">
        <is>
          <t>Yes</t>
        </is>
      </c>
      <c r="E17" s="44" t="n">
        <v>5</v>
      </c>
      <c r="F17" s="134">
        <f>SCHEDULE!$C$17</f>
        <v/>
      </c>
      <c r="G17" s="134">
        <f>SCHEDULE!$E$17</f>
        <v/>
      </c>
      <c r="H17" s="77">
        <f>IF(N($F17)=0,"",$G17/$F17)</f>
        <v/>
      </c>
      <c r="I17" s="135">
        <f>SCHEDULE!$H$17</f>
        <v/>
      </c>
      <c r="J17" s="135">
        <f>SCHEDULE!$J$17</f>
        <v/>
      </c>
      <c r="K17" s="135">
        <f>SCHEDULE!$K$17</f>
        <v/>
      </c>
      <c r="L17" s="51">
        <f>IF($A17&gt;MAX(IF(LOGT!$D$7:$D$406&lt;&gt;"",LOGT!$D$7:$D$406)),"",IF($K17&lt;-0.1,"BEHIND",IF($K17&lt;-0.02,"AT RISK","ON TRACK")))</f>
        <v/>
      </c>
      <c r="M17" s="66" t="inlineStr">
        <is>
          <t>Acceptance test revealed a font size issue</t>
        </is>
      </c>
      <c r="N17" s="66" t="inlineStr">
        <is>
          <t>Fix the font, finish system test, prepare M3</t>
        </is>
      </c>
    </row>
    <row r="18" ht="30" customHeight="1">
      <c r="A18" s="71" t="n">
        <v>13</v>
      </c>
      <c r="B18" s="136" t="n">
        <v>46370</v>
      </c>
      <c r="C18" s="41" t="inlineStr">
        <is>
          <t>M3</t>
        </is>
      </c>
      <c r="D18" s="41" t="inlineStr">
        <is>
          <t>Yes</t>
        </is>
      </c>
      <c r="E18" s="44" t="n">
        <v>5</v>
      </c>
      <c r="F18" s="134">
        <f>SCHEDULE!$C$18</f>
        <v/>
      </c>
      <c r="G18" s="134">
        <f>SCHEDULE!$E$18</f>
        <v/>
      </c>
      <c r="H18" s="77">
        <f>IF(N($F18)=0,"",$G18/$F18)</f>
        <v/>
      </c>
      <c r="I18" s="135">
        <f>SCHEDULE!$H$18</f>
        <v/>
      </c>
      <c r="J18" s="135">
        <f>SCHEDULE!$J$18</f>
        <v/>
      </c>
      <c r="K18" s="135">
        <f>SCHEDULE!$K$18</f>
        <v/>
      </c>
      <c r="L18" s="51">
        <f>IF($A18&gt;MAX(IF(LOGT!$D$7:$D$406&lt;&gt;"",LOGT!$D$7:$D$406)),"",IF($K18&lt;-0.1,"BEHIND",IF($K18&lt;-0.02,"AT RISK","ON TRACK")))</f>
        <v/>
      </c>
      <c r="M18" s="66" t="inlineStr">
        <is>
          <t>None - M3 submitted on time</t>
        </is>
      </c>
      <c r="N18" s="66" t="inlineStr">
        <is>
          <t>Start the final report and the demo video</t>
        </is>
      </c>
    </row>
    <row r="19" ht="30" customHeight="1">
      <c r="A19" s="71" t="n">
        <v>14</v>
      </c>
      <c r="B19" s="136" t="n">
        <v>46377</v>
      </c>
      <c r="C19" s="41" t="inlineStr">
        <is>
          <t>M4</t>
        </is>
      </c>
      <c r="D19" s="41" t="inlineStr">
        <is>
          <t>Yes</t>
        </is>
      </c>
      <c r="E19" s="44" t="n">
        <v>5</v>
      </c>
      <c r="F19" s="134">
        <f>SCHEDULE!$C$19</f>
        <v/>
      </c>
      <c r="G19" s="134">
        <f>SCHEDULE!$E$19</f>
        <v/>
      </c>
      <c r="H19" s="77">
        <f>IF(N($F19)=0,"",$G19/$F19)</f>
        <v/>
      </c>
      <c r="I19" s="135">
        <f>SCHEDULE!$H$19</f>
        <v/>
      </c>
      <c r="J19" s="135">
        <f>SCHEDULE!$J$19</f>
        <v/>
      </c>
      <c r="K19" s="135">
        <f>SCHEDULE!$K$19</f>
        <v/>
      </c>
      <c r="L19" s="51">
        <f>IF($A19&gt;MAX(IF(LOGT!$D$7:$D$406&lt;&gt;"",LOGT!$D$7:$D$406)),"",IF($K19&lt;-0.1,"BEHIND",IF($K19&lt;-0.02,"AT RISK","ON TRACK")))</f>
        <v/>
      </c>
      <c r="M19" s="66" t="inlineStr">
        <is>
          <t>Demo video not started</t>
        </is>
      </c>
      <c r="N19" s="66" t="inlineStr">
        <is>
          <t>Record the demo and rehearse the presentation</t>
        </is>
      </c>
    </row>
    <row r="20" ht="30" customHeight="1">
      <c r="A20" s="71" t="n">
        <v>15</v>
      </c>
      <c r="B20" s="136" t="n">
        <v>46384</v>
      </c>
      <c r="C20" s="41" t="inlineStr">
        <is>
          <t>M4</t>
        </is>
      </c>
      <c r="D20" s="41" t="inlineStr">
        <is>
          <t>Yes</t>
        </is>
      </c>
      <c r="E20" s="44" t="n">
        <v>5</v>
      </c>
      <c r="F20" s="134">
        <f>SCHEDULE!$C$20</f>
        <v/>
      </c>
      <c r="G20" s="134">
        <f>SCHEDULE!$E$20</f>
        <v/>
      </c>
      <c r="H20" s="77">
        <f>IF(N($F20)=0,"",$G20/$F20)</f>
        <v/>
      </c>
      <c r="I20" s="135">
        <f>SCHEDULE!$H$20</f>
        <v/>
      </c>
      <c r="J20" s="135">
        <f>SCHEDULE!$J$20</f>
        <v/>
      </c>
      <c r="K20" s="135">
        <f>SCHEDULE!$K$20</f>
        <v/>
      </c>
      <c r="L20" s="51">
        <f>IF($A20&gt;MAX(IF(LOGT!$D$7:$D$406&lt;&gt;"",LOGT!$D$7:$D$406)),"",IF($K20&lt;-0.1,"BEHIND",IF($K20&lt;-0.02,"AT RISK","ON TRACK")))</f>
        <v/>
      </c>
      <c r="M20" s="66" t="inlineStr">
        <is>
          <t>None - handover complete</t>
        </is>
      </c>
      <c r="N20" s="66" t="inlineStr">
        <is>
          <t>Submit M4 and close the repository at v1.0.0</t>
        </is>
      </c>
    </row>
  </sheetData>
  <mergeCells count="2">
    <mergeCell ref="A2:N2"/>
    <mergeCell ref="A1:N1"/>
  </mergeCells>
  <conditionalFormatting sqref="L8:L20">
    <cfRule type="cellIs" priority="1" operator="equal" dxfId="7">
      <formula>"BEHIND"</formula>
    </cfRule>
    <cfRule type="cellIs" priority="2" operator="equal" dxfId="8">
      <formula>"AT RISK"</formula>
    </cfRule>
    <cfRule type="cellIs" priority="3" operator="equal" dxfId="9">
      <formula>"ON TRACK"</formula>
    </cfRule>
  </conditionalFormatting>
  <dataValidations count="2">
    <dataValidation sqref="C8:C20" showDropDown="0" showInputMessage="0" showErrorMessage="0" allowBlank="1" error="Pick a value from the list." promptTitle="Milestone" type="list">
      <formula1>=LISTS!$D$5:$D$8</formula1>
    </dataValidation>
    <dataValidation sqref="D8:D20" showDropDown="0" showInputMessage="0" showErrorMessage="0" allowBlank="1" error="Pick a value from the list." promptTitle="Meeting held?" type="list">
      <formula1>=LISTS!$I$5:$I$6</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19.xml><?xml version="1.0" encoding="utf-8"?>
<worksheet xmlns="http://schemas.openxmlformats.org/spreadsheetml/2006/main">
  <sheetPr>
    <tabColor rgb="0014505C"/>
    <outlinePr summaryBelow="1" summaryRight="1"/>
    <pageSetUpPr fitToPage="1"/>
  </sheetPr>
  <dimension ref="A1:M46"/>
  <sheetViews>
    <sheetView showGridLines="0" workbookViewId="0">
      <pane ySplit="6" topLeftCell="A7" activePane="bottomLeft" state="frozen"/>
      <selection pane="bottomLeft" activeCell="A1" sqref="A1"/>
    </sheetView>
  </sheetViews>
  <sheetFormatPr baseColWidth="8" defaultRowHeight="15" outlineLevelCol="0"/>
  <cols>
    <col width="8" customWidth="1" min="1" max="1"/>
    <col width="11" customWidth="1" min="2" max="2"/>
    <col width="9" customWidth="1" min="3" max="3"/>
    <col width="11" customWidth="1" min="4" max="4"/>
    <col width="44" customWidth="1" min="5" max="5"/>
    <col width="11" customWidth="1" min="6" max="6"/>
    <col width="9" customWidth="1" min="7" max="7"/>
    <col width="9" customWidth="1" min="8" max="8"/>
    <col width="19" customWidth="1" min="9" max="9"/>
    <col width="40" customWidth="1" min="10" max="10"/>
    <col width="12" customWidth="1" min="11" max="11"/>
    <col width="12" customWidth="1" min="12" max="12"/>
    <col width="12" customWidth="1" min="13" max="13"/>
  </cols>
  <sheetData>
    <row r="1" ht="30" customHeight="1">
      <c r="A1" s="1" t="inlineStr">
        <is>
          <t>Form IRTL  -  Issue &amp; Risk Tracking Log</t>
        </is>
      </c>
    </row>
    <row r="2" ht="16" customHeight="1">
      <c r="A2" s="2" t="inlineStr">
        <is>
          <t>A risk might happen; an issue already has. Both need an owner and a date, or they are just worry.</t>
        </is>
      </c>
    </row>
    <row r="4">
      <c r="A4" s="23" t="inlineStr">
        <is>
          <t>Team</t>
        </is>
      </c>
      <c r="B4" s="24">
        <f>SETUP!$C$10</f>
        <v/>
      </c>
      <c r="E4" s="23" t="inlineStr">
        <is>
          <t>Open</t>
        </is>
      </c>
      <c r="F4" s="67">
        <f>COUNTIFS(L7:L46,"&lt;&gt;Complete",A7:A46,"&lt;&gt;")</f>
        <v/>
      </c>
      <c r="G4" s="23" t="inlineStr">
        <is>
          <t>High priority</t>
        </is>
      </c>
      <c r="H4" s="67">
        <f>COUNTIFS(H7:H46,"&gt;=6",L7:L46,"&lt;&gt;Complete")</f>
        <v/>
      </c>
    </row>
    <row r="6" ht="32" customHeight="1">
      <c r="A6" s="6" t="inlineStr">
        <is>
          <t>ID</t>
        </is>
      </c>
      <c r="B6" s="6" t="inlineStr">
        <is>
          <t>Date raised</t>
        </is>
      </c>
      <c r="C6" s="6" t="inlineStr">
        <is>
          <t>Type</t>
        </is>
      </c>
      <c r="D6" s="6" t="inlineStr">
        <is>
          <t>Scope</t>
        </is>
      </c>
      <c r="E6" s="6" t="inlineStr">
        <is>
          <t>Description</t>
        </is>
      </c>
      <c r="F6" s="6" t="inlineStr">
        <is>
          <t>Likelihood</t>
        </is>
      </c>
      <c r="G6" s="6" t="inlineStr">
        <is>
          <t>Impact</t>
        </is>
      </c>
      <c r="H6" s="6" t="inlineStr">
        <is>
          <t>Priority</t>
        </is>
      </c>
      <c r="I6" s="6" t="inlineStr">
        <is>
          <t>Owner</t>
        </is>
      </c>
      <c r="J6" s="6" t="inlineStr">
        <is>
          <t>Mitigation / action taken</t>
        </is>
      </c>
      <c r="K6" s="6" t="inlineStr">
        <is>
          <t>Follow-up</t>
        </is>
      </c>
      <c r="L6" s="6" t="inlineStr">
        <is>
          <t>Status</t>
        </is>
      </c>
      <c r="M6" s="6" t="inlineStr">
        <is>
          <t>Date closed</t>
        </is>
      </c>
    </row>
    <row r="7" ht="26" customHeight="1">
      <c r="A7" s="41" t="inlineStr">
        <is>
          <t>R01</t>
        </is>
      </c>
      <c r="B7" s="132" t="n">
        <v>46302</v>
      </c>
      <c r="C7" s="41" t="inlineStr">
        <is>
          <t>Risk</t>
        </is>
      </c>
      <c r="D7" s="41" t="inlineStr">
        <is>
          <t>Client</t>
        </is>
      </c>
      <c r="E7" s="66" t="inlineStr">
        <is>
          <t>SeaFresh may not sign the client approval form in time</t>
        </is>
      </c>
      <c r="F7" s="41" t="inlineStr">
        <is>
          <t>Medium</t>
        </is>
      </c>
      <c r="G7" s="41" t="inlineStr">
        <is>
          <t>High</t>
        </is>
      </c>
      <c r="H7" s="26">
        <f>IF(OR($F7="",$G7=""),"",(IF($F7="High",3,IF($F7="Medium",2,1)))*(IF($G7="High",3,IF($G7="Medium",2,1))))</f>
        <v/>
      </c>
      <c r="I7" s="34" t="inlineStr">
        <is>
          <t>Harith Bin Ismail</t>
        </is>
      </c>
      <c r="J7" s="66" t="inlineStr">
        <is>
          <t>Visited the shop twice in week 3; form signed on 10 Oct</t>
        </is>
      </c>
      <c r="K7" s="132" t="n">
        <v>46316</v>
      </c>
      <c r="L7" s="41" t="inlineStr">
        <is>
          <t>Complete</t>
        </is>
      </c>
      <c r="M7" s="132" t="n">
        <v>46318</v>
      </c>
    </row>
    <row r="8" ht="26" customHeight="1">
      <c r="A8" s="41" t="inlineStr">
        <is>
          <t>R02</t>
        </is>
      </c>
      <c r="B8" s="132" t="n">
        <v>46309</v>
      </c>
      <c r="C8" s="41" t="inlineStr">
        <is>
          <t>Risk</t>
        </is>
      </c>
      <c r="D8" s="41" t="inlineStr">
        <is>
          <t>Technical</t>
        </is>
      </c>
      <c r="E8" s="66" t="inlineStr">
        <is>
          <t>The shop loses signal daily; orders could be lost mid-entry</t>
        </is>
      </c>
      <c r="F8" s="41" t="inlineStr">
        <is>
          <t>High</t>
        </is>
      </c>
      <c r="G8" s="41" t="inlineStr">
        <is>
          <t>High</t>
        </is>
      </c>
      <c r="H8" s="26">
        <f>IF(OR($F8="",$G8=""),"",(IF($F8="High",3,IF($F8="Medium",2,1)))*(IF($G8="High",3,IF($G8="Medium",2,1))))</f>
        <v/>
      </c>
      <c r="I8" s="34" t="inlineStr">
        <is>
          <t>Mei Ling Chong</t>
        </is>
      </c>
      <c r="J8" s="66" t="inlineStr">
        <is>
          <t>Offline-first write queue built in M2; integration test simulates loss of connection</t>
        </is>
      </c>
      <c r="K8" s="132" t="n">
        <v>46358</v>
      </c>
      <c r="L8" s="41" t="inlineStr">
        <is>
          <t>Complete</t>
        </is>
      </c>
      <c r="M8" s="132" t="n">
        <v>46360</v>
      </c>
    </row>
    <row r="9" ht="26" customHeight="1">
      <c r="A9" s="41" t="inlineStr">
        <is>
          <t>I01</t>
        </is>
      </c>
      <c r="B9" s="132" t="n">
        <v>46323</v>
      </c>
      <c r="C9" s="41" t="inlineStr">
        <is>
          <t>Issue</t>
        </is>
      </c>
      <c r="D9" s="41" t="inlineStr">
        <is>
          <t>Team</t>
        </is>
      </c>
      <c r="E9" s="66" t="inlineStr">
        <is>
          <t>Daniel logged no hours and no commits in week 6</t>
        </is>
      </c>
      <c r="F9" s="41" t="inlineStr">
        <is>
          <t>High</t>
        </is>
      </c>
      <c r="G9" s="41" t="inlineStr">
        <is>
          <t>Medium</t>
        </is>
      </c>
      <c r="H9" s="26">
        <f>IF(OR($F9="",$G9=""),"",(IF($F9="High",3,IF($F9="Medium",2,1)))*(IF($G9="High",3,IF($G9="Medium",2,1))))</f>
        <v/>
      </c>
      <c r="I9" s="34" t="inlineStr">
        <is>
          <t>Aisyah Binti Rahman</t>
        </is>
      </c>
      <c r="J9" s="66" t="inlineStr">
        <is>
          <t>Raised at the week 6 meeting; Daniel took the price repository and reported weekly after</t>
        </is>
      </c>
      <c r="K9" s="132" t="n">
        <v>46344</v>
      </c>
      <c r="L9" s="41" t="inlineStr">
        <is>
          <t>Complete</t>
        </is>
      </c>
      <c r="M9" s="132" t="n">
        <v>46346</v>
      </c>
    </row>
    <row r="10" ht="26" customHeight="1">
      <c r="A10" s="41" t="inlineStr">
        <is>
          <t>I02</t>
        </is>
      </c>
      <c r="B10" s="132" t="n">
        <v>46330</v>
      </c>
      <c r="C10" s="41" t="inlineStr">
        <is>
          <t>Issue</t>
        </is>
      </c>
      <c r="D10" s="41" t="inlineStr">
        <is>
          <t>Client</t>
        </is>
      </c>
      <c r="E10" s="66" t="inlineStr">
        <is>
          <t>Prices change weekly - the data model assumed they were static</t>
        </is>
      </c>
      <c r="F10" s="41" t="inlineStr">
        <is>
          <t>High</t>
        </is>
      </c>
      <c r="G10" s="41" t="inlineStr">
        <is>
          <t>High</t>
        </is>
      </c>
      <c r="H10" s="26">
        <f>IF(OR($F10="",$G10=""),"",(IF($F10="High",3,IF($F10="Medium",2,1)))*(IF($G10="High",3,IF($G10="Medium",2,1))))</f>
        <v/>
      </c>
      <c r="I10" s="34" t="inlineStr">
        <is>
          <t>Daniel Wong Jun Hao</t>
        </is>
      </c>
      <c r="J10" s="66" t="inlineStr">
        <is>
          <t>CCR-02 raised and approved; model changed to dated price records</t>
        </is>
      </c>
      <c r="K10" s="132" t="n">
        <v>46344</v>
      </c>
      <c r="L10" s="41" t="inlineStr">
        <is>
          <t>Complete</t>
        </is>
      </c>
      <c r="M10" s="132" t="n">
        <v>46346</v>
      </c>
    </row>
    <row r="11" ht="26" customHeight="1">
      <c r="A11" s="41" t="inlineStr">
        <is>
          <t>R03</t>
        </is>
      </c>
      <c r="B11" s="132" t="n">
        <v>46344</v>
      </c>
      <c r="C11" s="41" t="inlineStr">
        <is>
          <t>Risk</t>
        </is>
      </c>
      <c r="D11" s="41" t="inlineStr">
        <is>
          <t>Technical</t>
        </is>
      </c>
      <c r="E11" s="66" t="inlineStr">
        <is>
          <t>Gemini API cost and latency unknown at the shop's connection speed</t>
        </is>
      </c>
      <c r="F11" s="41" t="inlineStr">
        <is>
          <t>Medium</t>
        </is>
      </c>
      <c r="G11" s="41" t="inlineStr">
        <is>
          <t>Medium</t>
        </is>
      </c>
      <c r="H11" s="26">
        <f>IF(OR($F11="",$G11=""),"",(IF($F11="High",3,IF($F11="Medium",2,1)))*(IF($G11="High",3,IF($G11="Medium",2,1))))</f>
        <v/>
      </c>
      <c r="I11" s="34" t="inlineStr">
        <is>
          <t>Priya Nair</t>
        </is>
      </c>
      <c r="J11" s="66" t="inlineStr">
        <is>
          <t>Measured over a week; parser made optional with a manual fallback</t>
        </is>
      </c>
      <c r="K11" s="132" t="n">
        <v>46358</v>
      </c>
      <c r="L11" s="41" t="inlineStr">
        <is>
          <t>Complete</t>
        </is>
      </c>
      <c r="M11" s="132" t="n">
        <v>46360</v>
      </c>
    </row>
    <row r="12" ht="26" customHeight="1">
      <c r="A12" s="41" t="inlineStr">
        <is>
          <t>I03</t>
        </is>
      </c>
      <c r="B12" s="132" t="n">
        <v>46344</v>
      </c>
      <c r="C12" s="41" t="inlineStr">
        <is>
          <t>Issue</t>
        </is>
      </c>
      <c r="D12" s="41" t="inlineStr">
        <is>
          <t>Team</t>
        </is>
      </c>
      <c r="E12" s="66" t="inlineStr">
        <is>
          <t>Work is very unevenly shared - one member has logged 45% of all hours</t>
        </is>
      </c>
      <c r="F12" s="41" t="inlineStr">
        <is>
          <t>High</t>
        </is>
      </c>
      <c r="G12" s="41" t="inlineStr">
        <is>
          <t>High</t>
        </is>
      </c>
      <c r="H12" s="26">
        <f>IF(OR($F12="",$G12=""),"",(IF($F12="High",3,IF($F12="Medium",2,1)))*(IF($G12="High",3,IF($G12="Medium",2,1))))</f>
        <v/>
      </c>
      <c r="I12" s="34" t="inlineStr">
        <is>
          <t>Aisyah Binti Rahman</t>
        </is>
      </c>
      <c r="J12" s="66" t="inlineStr">
        <is>
          <t>Tasks redistributed in week 10; still uneven at M3, reported honestly in the peer evaluation</t>
        </is>
      </c>
      <c r="K12" s="132" t="n">
        <v>46372</v>
      </c>
      <c r="L12" s="41" t="inlineStr">
        <is>
          <t>In progress</t>
        </is>
      </c>
      <c r="M12" s="132" t="n"/>
    </row>
    <row r="13" ht="26" customHeight="1">
      <c r="A13" s="41" t="inlineStr">
        <is>
          <t>I04</t>
        </is>
      </c>
      <c r="B13" s="132" t="n">
        <v>46344</v>
      </c>
      <c r="C13" s="41" t="inlineStr">
        <is>
          <t>Issue</t>
        </is>
      </c>
      <c r="D13" s="41" t="inlineStr">
        <is>
          <t>Technical</t>
        </is>
      </c>
      <c r="E13" s="66" t="inlineStr">
        <is>
          <t>CI red for two days after an intl version conflict</t>
        </is>
      </c>
      <c r="F13" s="41" t="inlineStr">
        <is>
          <t>Medium</t>
        </is>
      </c>
      <c r="G13" s="41" t="inlineStr">
        <is>
          <t>Medium</t>
        </is>
      </c>
      <c r="H13" s="26">
        <f>IF(OR($F13="",$G13=""),"",(IF($F13="High",3,IF($F13="Medium",2,1)))*(IF($G13="High",3,IF($G13="Medium",2,1))))</f>
        <v/>
      </c>
      <c r="I13" s="34" t="inlineStr">
        <is>
          <t>Aisyah Binti Rahman</t>
        </is>
      </c>
      <c r="J13" s="66" t="inlineStr">
        <is>
          <t>Dependency pinned; a weekly dependency check added to the workflow</t>
        </is>
      </c>
      <c r="K13" s="132" t="n">
        <v>46351</v>
      </c>
      <c r="L13" s="41" t="inlineStr">
        <is>
          <t>Complete</t>
        </is>
      </c>
      <c r="M13" s="132" t="n">
        <v>46353</v>
      </c>
    </row>
    <row r="14" ht="26" customHeight="1">
      <c r="A14" s="41" t="inlineStr">
        <is>
          <t>R04</t>
        </is>
      </c>
      <c r="B14" s="132" t="n">
        <v>46358</v>
      </c>
      <c r="C14" s="41" t="inlineStr">
        <is>
          <t>Risk</t>
        </is>
      </c>
      <c r="D14" s="41" t="inlineStr">
        <is>
          <t>Project</t>
        </is>
      </c>
      <c r="E14" s="66" t="inlineStr">
        <is>
          <t>Coverage below the 60% floor with two weeks to M3</t>
        </is>
      </c>
      <c r="F14" s="41" t="inlineStr">
        <is>
          <t>Medium</t>
        </is>
      </c>
      <c r="G14" s="41" t="inlineStr">
        <is>
          <t>High</t>
        </is>
      </c>
      <c r="H14" s="26">
        <f>IF(OR($F14="",$G14=""),"",(IF($F14="High",3,IF($F14="Medium",2,1)))*(IF($G14="High",3,IF($G14="Medium",2,1))))</f>
        <v/>
      </c>
      <c r="I14" s="34" t="inlineStr">
        <is>
          <t>Mei Ling Chong</t>
        </is>
      </c>
      <c r="J14" s="66" t="inlineStr">
        <is>
          <t>Mei Ling took the widget tests; coverage reached 64% by week 12</t>
        </is>
      </c>
      <c r="K14" s="132" t="n">
        <v>46365</v>
      </c>
      <c r="L14" s="41" t="inlineStr">
        <is>
          <t>Complete</t>
        </is>
      </c>
      <c r="M14" s="132" t="n">
        <v>46367</v>
      </c>
    </row>
    <row r="15" ht="26" customHeight="1">
      <c r="A15" s="41" t="inlineStr">
        <is>
          <t>R05</t>
        </is>
      </c>
      <c r="B15" s="132" t="n">
        <v>46372</v>
      </c>
      <c r="C15" s="41" t="inlineStr">
        <is>
          <t>Risk</t>
        </is>
      </c>
      <c r="D15" s="41" t="inlineStr">
        <is>
          <t>Client</t>
        </is>
      </c>
      <c r="E15" s="66" t="inlineStr">
        <is>
          <t>Counter staff may not adopt the app after handover</t>
        </is>
      </c>
      <c r="F15" s="41" t="inlineStr">
        <is>
          <t>Medium</t>
        </is>
      </c>
      <c r="G15" s="41" t="inlineStr">
        <is>
          <t>High</t>
        </is>
      </c>
      <c r="H15" s="26">
        <f>IF(OR($F15="",$G15=""),"",(IF($F15="High",3,IF($F15="Medium",2,1)))*(IF($G15="High",3,IF($G15="Medium",2,1))))</f>
        <v/>
      </c>
      <c r="I15" s="34" t="inlineStr">
        <is>
          <t>Harith Bin Ismail</t>
        </is>
      </c>
      <c r="J15" s="66" t="inlineStr">
        <is>
          <t>Two staff trained in person at handover; one-page card left at the till</t>
        </is>
      </c>
      <c r="K15" s="132" t="n">
        <v>46386</v>
      </c>
      <c r="L15" s="41" t="inlineStr">
        <is>
          <t>Complete</t>
        </is>
      </c>
      <c r="M15" s="132" t="n">
        <v>46388</v>
      </c>
    </row>
    <row r="16" ht="26" customHeight="1">
      <c r="A16" s="41" t="n"/>
      <c r="B16" s="132" t="n"/>
      <c r="C16" s="41" t="n"/>
      <c r="D16" s="41" t="n"/>
      <c r="E16" s="66" t="n"/>
      <c r="F16" s="41" t="n"/>
      <c r="G16" s="41" t="n"/>
      <c r="H16" s="26">
        <f>IF(OR($F16="",$G16=""),"",(IF($F16="High",3,IF($F16="Medium",2,1)))*(IF($G16="High",3,IF($G16="Medium",2,1))))</f>
        <v/>
      </c>
      <c r="I16" s="34" t="n"/>
      <c r="J16" s="66" t="n"/>
      <c r="K16" s="132" t="n"/>
      <c r="L16" s="41" t="n"/>
      <c r="M16" s="132" t="n"/>
    </row>
    <row r="17" ht="26" customHeight="1">
      <c r="A17" s="41" t="n"/>
      <c r="B17" s="132" t="n"/>
      <c r="C17" s="41" t="n"/>
      <c r="D17" s="41" t="n"/>
      <c r="E17" s="66" t="n"/>
      <c r="F17" s="41" t="n"/>
      <c r="G17" s="41" t="n"/>
      <c r="H17" s="26">
        <f>IF(OR($F17="",$G17=""),"",(IF($F17="High",3,IF($F17="Medium",2,1)))*(IF($G17="High",3,IF($G17="Medium",2,1))))</f>
        <v/>
      </c>
      <c r="I17" s="34" t="n"/>
      <c r="J17" s="66" t="n"/>
      <c r="K17" s="132" t="n"/>
      <c r="L17" s="41" t="n"/>
      <c r="M17" s="132" t="n"/>
    </row>
    <row r="18" ht="26" customHeight="1">
      <c r="A18" s="41" t="n"/>
      <c r="B18" s="132" t="n"/>
      <c r="C18" s="41" t="n"/>
      <c r="D18" s="41" t="n"/>
      <c r="E18" s="66" t="n"/>
      <c r="F18" s="41" t="n"/>
      <c r="G18" s="41" t="n"/>
      <c r="H18" s="26">
        <f>IF(OR($F18="",$G18=""),"",(IF($F18="High",3,IF($F18="Medium",2,1)))*(IF($G18="High",3,IF($G18="Medium",2,1))))</f>
        <v/>
      </c>
      <c r="I18" s="34" t="n"/>
      <c r="J18" s="66" t="n"/>
      <c r="K18" s="132" t="n"/>
      <c r="L18" s="41" t="n"/>
      <c r="M18" s="132" t="n"/>
    </row>
    <row r="19" ht="26" customHeight="1">
      <c r="A19" s="41" t="n"/>
      <c r="B19" s="132" t="n"/>
      <c r="C19" s="41" t="n"/>
      <c r="D19" s="41" t="n"/>
      <c r="E19" s="66" t="n"/>
      <c r="F19" s="41" t="n"/>
      <c r="G19" s="41" t="n"/>
      <c r="H19" s="26">
        <f>IF(OR($F19="",$G19=""),"",(IF($F19="High",3,IF($F19="Medium",2,1)))*(IF($G19="High",3,IF($G19="Medium",2,1))))</f>
        <v/>
      </c>
      <c r="I19" s="34" t="n"/>
      <c r="J19" s="66" t="n"/>
      <c r="K19" s="132" t="n"/>
      <c r="L19" s="41" t="n"/>
      <c r="M19" s="132" t="n"/>
    </row>
    <row r="20" ht="26" customHeight="1">
      <c r="A20" s="41" t="n"/>
      <c r="B20" s="132" t="n"/>
      <c r="C20" s="41" t="n"/>
      <c r="D20" s="41" t="n"/>
      <c r="E20" s="66" t="n"/>
      <c r="F20" s="41" t="n"/>
      <c r="G20" s="41" t="n"/>
      <c r="H20" s="26">
        <f>IF(OR($F20="",$G20=""),"",(IF($F20="High",3,IF($F20="Medium",2,1)))*(IF($G20="High",3,IF($G20="Medium",2,1))))</f>
        <v/>
      </c>
      <c r="I20" s="34" t="n"/>
      <c r="J20" s="66" t="n"/>
      <c r="K20" s="132" t="n"/>
      <c r="L20" s="41" t="n"/>
      <c r="M20" s="132" t="n"/>
    </row>
    <row r="21" ht="26" customHeight="1">
      <c r="A21" s="41" t="n"/>
      <c r="B21" s="132" t="n"/>
      <c r="C21" s="41" t="n"/>
      <c r="D21" s="41" t="n"/>
      <c r="E21" s="66" t="n"/>
      <c r="F21" s="41" t="n"/>
      <c r="G21" s="41" t="n"/>
      <c r="H21" s="26">
        <f>IF(OR($F21="",$G21=""),"",(IF($F21="High",3,IF($F21="Medium",2,1)))*(IF($G21="High",3,IF($G21="Medium",2,1))))</f>
        <v/>
      </c>
      <c r="I21" s="34" t="n"/>
      <c r="J21" s="66" t="n"/>
      <c r="K21" s="132" t="n"/>
      <c r="L21" s="41" t="n"/>
      <c r="M21" s="132" t="n"/>
    </row>
    <row r="22" ht="26" customHeight="1">
      <c r="A22" s="41" t="n"/>
      <c r="B22" s="132" t="n"/>
      <c r="C22" s="41" t="n"/>
      <c r="D22" s="41" t="n"/>
      <c r="E22" s="66" t="n"/>
      <c r="F22" s="41" t="n"/>
      <c r="G22" s="41" t="n"/>
      <c r="H22" s="26">
        <f>IF(OR($F22="",$G22=""),"",(IF($F22="High",3,IF($F22="Medium",2,1)))*(IF($G22="High",3,IF($G22="Medium",2,1))))</f>
        <v/>
      </c>
      <c r="I22" s="34" t="n"/>
      <c r="J22" s="66" t="n"/>
      <c r="K22" s="132" t="n"/>
      <c r="L22" s="41" t="n"/>
      <c r="M22" s="132" t="n"/>
    </row>
    <row r="23" ht="26" customHeight="1">
      <c r="A23" s="41" t="n"/>
      <c r="B23" s="132" t="n"/>
      <c r="C23" s="41" t="n"/>
      <c r="D23" s="41" t="n"/>
      <c r="E23" s="66" t="n"/>
      <c r="F23" s="41" t="n"/>
      <c r="G23" s="41" t="n"/>
      <c r="H23" s="26">
        <f>IF(OR($F23="",$G23=""),"",(IF($F23="High",3,IF($F23="Medium",2,1)))*(IF($G23="High",3,IF($G23="Medium",2,1))))</f>
        <v/>
      </c>
      <c r="I23" s="34" t="n"/>
      <c r="J23" s="66" t="n"/>
      <c r="K23" s="132" t="n"/>
      <c r="L23" s="41" t="n"/>
      <c r="M23" s="132" t="n"/>
    </row>
    <row r="24" ht="26" customHeight="1">
      <c r="A24" s="41" t="n"/>
      <c r="B24" s="132" t="n"/>
      <c r="C24" s="41" t="n"/>
      <c r="D24" s="41" t="n"/>
      <c r="E24" s="66" t="n"/>
      <c r="F24" s="41" t="n"/>
      <c r="G24" s="41" t="n"/>
      <c r="H24" s="26">
        <f>IF(OR($F24="",$G24=""),"",(IF($F24="High",3,IF($F24="Medium",2,1)))*(IF($G24="High",3,IF($G24="Medium",2,1))))</f>
        <v/>
      </c>
      <c r="I24" s="34" t="n"/>
      <c r="J24" s="66" t="n"/>
      <c r="K24" s="132" t="n"/>
      <c r="L24" s="41" t="n"/>
      <c r="M24" s="132" t="n"/>
    </row>
    <row r="25" ht="26" customHeight="1">
      <c r="A25" s="41" t="n"/>
      <c r="B25" s="132" t="n"/>
      <c r="C25" s="41" t="n"/>
      <c r="D25" s="41" t="n"/>
      <c r="E25" s="66" t="n"/>
      <c r="F25" s="41" t="n"/>
      <c r="G25" s="41" t="n"/>
      <c r="H25" s="26">
        <f>IF(OR($F25="",$G25=""),"",(IF($F25="High",3,IF($F25="Medium",2,1)))*(IF($G25="High",3,IF($G25="Medium",2,1))))</f>
        <v/>
      </c>
      <c r="I25" s="34" t="n"/>
      <c r="J25" s="66" t="n"/>
      <c r="K25" s="132" t="n"/>
      <c r="L25" s="41" t="n"/>
      <c r="M25" s="132" t="n"/>
    </row>
    <row r="26" ht="26" customHeight="1">
      <c r="A26" s="41" t="n"/>
      <c r="B26" s="132" t="n"/>
      <c r="C26" s="41" t="n"/>
      <c r="D26" s="41" t="n"/>
      <c r="E26" s="66" t="n"/>
      <c r="F26" s="41" t="n"/>
      <c r="G26" s="41" t="n"/>
      <c r="H26" s="26">
        <f>IF(OR($F26="",$G26=""),"",(IF($F26="High",3,IF($F26="Medium",2,1)))*(IF($G26="High",3,IF($G26="Medium",2,1))))</f>
        <v/>
      </c>
      <c r="I26" s="34" t="n"/>
      <c r="J26" s="66" t="n"/>
      <c r="K26" s="132" t="n"/>
      <c r="L26" s="41" t="n"/>
      <c r="M26" s="132" t="n"/>
    </row>
    <row r="27" ht="26" customHeight="1">
      <c r="A27" s="41" t="n"/>
      <c r="B27" s="132" t="n"/>
      <c r="C27" s="41" t="n"/>
      <c r="D27" s="41" t="n"/>
      <c r="E27" s="66" t="n"/>
      <c r="F27" s="41" t="n"/>
      <c r="G27" s="41" t="n"/>
      <c r="H27" s="26">
        <f>IF(OR($F27="",$G27=""),"",(IF($F27="High",3,IF($F27="Medium",2,1)))*(IF($G27="High",3,IF($G27="Medium",2,1))))</f>
        <v/>
      </c>
      <c r="I27" s="34" t="n"/>
      <c r="J27" s="66" t="n"/>
      <c r="K27" s="132" t="n"/>
      <c r="L27" s="41" t="n"/>
      <c r="M27" s="132" t="n"/>
    </row>
    <row r="28" ht="26" customHeight="1">
      <c r="A28" s="41" t="n"/>
      <c r="B28" s="132" t="n"/>
      <c r="C28" s="41" t="n"/>
      <c r="D28" s="41" t="n"/>
      <c r="E28" s="66" t="n"/>
      <c r="F28" s="41" t="n"/>
      <c r="G28" s="41" t="n"/>
      <c r="H28" s="26">
        <f>IF(OR($F28="",$G28=""),"",(IF($F28="High",3,IF($F28="Medium",2,1)))*(IF($G28="High",3,IF($G28="Medium",2,1))))</f>
        <v/>
      </c>
      <c r="I28" s="34" t="n"/>
      <c r="J28" s="66" t="n"/>
      <c r="K28" s="132" t="n"/>
      <c r="L28" s="41" t="n"/>
      <c r="M28" s="132" t="n"/>
    </row>
    <row r="29" ht="26" customHeight="1">
      <c r="A29" s="41" t="n"/>
      <c r="B29" s="132" t="n"/>
      <c r="C29" s="41" t="n"/>
      <c r="D29" s="41" t="n"/>
      <c r="E29" s="66" t="n"/>
      <c r="F29" s="41" t="n"/>
      <c r="G29" s="41" t="n"/>
      <c r="H29" s="26">
        <f>IF(OR($F29="",$G29=""),"",(IF($F29="High",3,IF($F29="Medium",2,1)))*(IF($G29="High",3,IF($G29="Medium",2,1))))</f>
        <v/>
      </c>
      <c r="I29" s="34" t="n"/>
      <c r="J29" s="66" t="n"/>
      <c r="K29" s="132" t="n"/>
      <c r="L29" s="41" t="n"/>
      <c r="M29" s="132" t="n"/>
    </row>
    <row r="30" ht="26" customHeight="1">
      <c r="A30" s="41" t="n"/>
      <c r="B30" s="132" t="n"/>
      <c r="C30" s="41" t="n"/>
      <c r="D30" s="41" t="n"/>
      <c r="E30" s="66" t="n"/>
      <c r="F30" s="41" t="n"/>
      <c r="G30" s="41" t="n"/>
      <c r="H30" s="26">
        <f>IF(OR($F30="",$G30=""),"",(IF($F30="High",3,IF($F30="Medium",2,1)))*(IF($G30="High",3,IF($G30="Medium",2,1))))</f>
        <v/>
      </c>
      <c r="I30" s="34" t="n"/>
      <c r="J30" s="66" t="n"/>
      <c r="K30" s="132" t="n"/>
      <c r="L30" s="41" t="n"/>
      <c r="M30" s="132" t="n"/>
    </row>
    <row r="31" ht="26" customHeight="1">
      <c r="A31" s="41" t="n"/>
      <c r="B31" s="132" t="n"/>
      <c r="C31" s="41" t="n"/>
      <c r="D31" s="41" t="n"/>
      <c r="E31" s="66" t="n"/>
      <c r="F31" s="41" t="n"/>
      <c r="G31" s="41" t="n"/>
      <c r="H31" s="26">
        <f>IF(OR($F31="",$G31=""),"",(IF($F31="High",3,IF($F31="Medium",2,1)))*(IF($G31="High",3,IF($G31="Medium",2,1))))</f>
        <v/>
      </c>
      <c r="I31" s="34" t="n"/>
      <c r="J31" s="66" t="n"/>
      <c r="K31" s="132" t="n"/>
      <c r="L31" s="41" t="n"/>
      <c r="M31" s="132" t="n"/>
    </row>
    <row r="32" ht="26" customHeight="1">
      <c r="A32" s="41" t="n"/>
      <c r="B32" s="132" t="n"/>
      <c r="C32" s="41" t="n"/>
      <c r="D32" s="41" t="n"/>
      <c r="E32" s="66" t="n"/>
      <c r="F32" s="41" t="n"/>
      <c r="G32" s="41" t="n"/>
      <c r="H32" s="26">
        <f>IF(OR($F32="",$G32=""),"",(IF($F32="High",3,IF($F32="Medium",2,1)))*(IF($G32="High",3,IF($G32="Medium",2,1))))</f>
        <v/>
      </c>
      <c r="I32" s="34" t="n"/>
      <c r="J32" s="66" t="n"/>
      <c r="K32" s="132" t="n"/>
      <c r="L32" s="41" t="n"/>
      <c r="M32" s="132" t="n"/>
    </row>
    <row r="33" ht="26" customHeight="1">
      <c r="A33" s="41" t="n"/>
      <c r="B33" s="132" t="n"/>
      <c r="C33" s="41" t="n"/>
      <c r="D33" s="41" t="n"/>
      <c r="E33" s="66" t="n"/>
      <c r="F33" s="41" t="n"/>
      <c r="G33" s="41" t="n"/>
      <c r="H33" s="26">
        <f>IF(OR($F33="",$G33=""),"",(IF($F33="High",3,IF($F33="Medium",2,1)))*(IF($G33="High",3,IF($G33="Medium",2,1))))</f>
        <v/>
      </c>
      <c r="I33" s="34" t="n"/>
      <c r="J33" s="66" t="n"/>
      <c r="K33" s="132" t="n"/>
      <c r="L33" s="41" t="n"/>
      <c r="M33" s="132" t="n"/>
    </row>
    <row r="34" ht="26" customHeight="1">
      <c r="A34" s="41" t="n"/>
      <c r="B34" s="132" t="n"/>
      <c r="C34" s="41" t="n"/>
      <c r="D34" s="41" t="n"/>
      <c r="E34" s="66" t="n"/>
      <c r="F34" s="41" t="n"/>
      <c r="G34" s="41" t="n"/>
      <c r="H34" s="26">
        <f>IF(OR($F34="",$G34=""),"",(IF($F34="High",3,IF($F34="Medium",2,1)))*(IF($G34="High",3,IF($G34="Medium",2,1))))</f>
        <v/>
      </c>
      <c r="I34" s="34" t="n"/>
      <c r="J34" s="66" t="n"/>
      <c r="K34" s="132" t="n"/>
      <c r="L34" s="41" t="n"/>
      <c r="M34" s="132" t="n"/>
    </row>
    <row r="35" ht="26" customHeight="1">
      <c r="A35" s="41" t="n"/>
      <c r="B35" s="132" t="n"/>
      <c r="C35" s="41" t="n"/>
      <c r="D35" s="41" t="n"/>
      <c r="E35" s="66" t="n"/>
      <c r="F35" s="41" t="n"/>
      <c r="G35" s="41" t="n"/>
      <c r="H35" s="26">
        <f>IF(OR($F35="",$G35=""),"",(IF($F35="High",3,IF($F35="Medium",2,1)))*(IF($G35="High",3,IF($G35="Medium",2,1))))</f>
        <v/>
      </c>
      <c r="I35" s="34" t="n"/>
      <c r="J35" s="66" t="n"/>
      <c r="K35" s="132" t="n"/>
      <c r="L35" s="41" t="n"/>
      <c r="M35" s="132" t="n"/>
    </row>
    <row r="36" ht="26" customHeight="1">
      <c r="A36" s="41" t="n"/>
      <c r="B36" s="132" t="n"/>
      <c r="C36" s="41" t="n"/>
      <c r="D36" s="41" t="n"/>
      <c r="E36" s="66" t="n"/>
      <c r="F36" s="41" t="n"/>
      <c r="G36" s="41" t="n"/>
      <c r="H36" s="26">
        <f>IF(OR($F36="",$G36=""),"",(IF($F36="High",3,IF($F36="Medium",2,1)))*(IF($G36="High",3,IF($G36="Medium",2,1))))</f>
        <v/>
      </c>
      <c r="I36" s="34" t="n"/>
      <c r="J36" s="66" t="n"/>
      <c r="K36" s="132" t="n"/>
      <c r="L36" s="41" t="n"/>
      <c r="M36" s="132" t="n"/>
    </row>
    <row r="37" ht="26" customHeight="1">
      <c r="A37" s="41" t="n"/>
      <c r="B37" s="132" t="n"/>
      <c r="C37" s="41" t="n"/>
      <c r="D37" s="41" t="n"/>
      <c r="E37" s="66" t="n"/>
      <c r="F37" s="41" t="n"/>
      <c r="G37" s="41" t="n"/>
      <c r="H37" s="26">
        <f>IF(OR($F37="",$G37=""),"",(IF($F37="High",3,IF($F37="Medium",2,1)))*(IF($G37="High",3,IF($G37="Medium",2,1))))</f>
        <v/>
      </c>
      <c r="I37" s="34" t="n"/>
      <c r="J37" s="66" t="n"/>
      <c r="K37" s="132" t="n"/>
      <c r="L37" s="41" t="n"/>
      <c r="M37" s="132" t="n"/>
    </row>
    <row r="38" ht="26" customHeight="1">
      <c r="A38" s="41" t="n"/>
      <c r="B38" s="132" t="n"/>
      <c r="C38" s="41" t="n"/>
      <c r="D38" s="41" t="n"/>
      <c r="E38" s="66" t="n"/>
      <c r="F38" s="41" t="n"/>
      <c r="G38" s="41" t="n"/>
      <c r="H38" s="26">
        <f>IF(OR($F38="",$G38=""),"",(IF($F38="High",3,IF($F38="Medium",2,1)))*(IF($G38="High",3,IF($G38="Medium",2,1))))</f>
        <v/>
      </c>
      <c r="I38" s="34" t="n"/>
      <c r="J38" s="66" t="n"/>
      <c r="K38" s="132" t="n"/>
      <c r="L38" s="41" t="n"/>
      <c r="M38" s="132" t="n"/>
    </row>
    <row r="39" ht="26" customHeight="1">
      <c r="A39" s="41" t="n"/>
      <c r="B39" s="132" t="n"/>
      <c r="C39" s="41" t="n"/>
      <c r="D39" s="41" t="n"/>
      <c r="E39" s="66" t="n"/>
      <c r="F39" s="41" t="n"/>
      <c r="G39" s="41" t="n"/>
      <c r="H39" s="26">
        <f>IF(OR($F39="",$G39=""),"",(IF($F39="High",3,IF($F39="Medium",2,1)))*(IF($G39="High",3,IF($G39="Medium",2,1))))</f>
        <v/>
      </c>
      <c r="I39" s="34" t="n"/>
      <c r="J39" s="66" t="n"/>
      <c r="K39" s="132" t="n"/>
      <c r="L39" s="41" t="n"/>
      <c r="M39" s="132" t="n"/>
    </row>
    <row r="40" ht="26" customHeight="1">
      <c r="A40" s="41" t="n"/>
      <c r="B40" s="132" t="n"/>
      <c r="C40" s="41" t="n"/>
      <c r="D40" s="41" t="n"/>
      <c r="E40" s="66" t="n"/>
      <c r="F40" s="41" t="n"/>
      <c r="G40" s="41" t="n"/>
      <c r="H40" s="26">
        <f>IF(OR($F40="",$G40=""),"",(IF($F40="High",3,IF($F40="Medium",2,1)))*(IF($G40="High",3,IF($G40="Medium",2,1))))</f>
        <v/>
      </c>
      <c r="I40" s="34" t="n"/>
      <c r="J40" s="66" t="n"/>
      <c r="K40" s="132" t="n"/>
      <c r="L40" s="41" t="n"/>
      <c r="M40" s="132" t="n"/>
    </row>
    <row r="41" ht="26" customHeight="1">
      <c r="A41" s="41" t="n"/>
      <c r="B41" s="132" t="n"/>
      <c r="C41" s="41" t="n"/>
      <c r="D41" s="41" t="n"/>
      <c r="E41" s="66" t="n"/>
      <c r="F41" s="41" t="n"/>
      <c r="G41" s="41" t="n"/>
      <c r="H41" s="26">
        <f>IF(OR($F41="",$G41=""),"",(IF($F41="High",3,IF($F41="Medium",2,1)))*(IF($G41="High",3,IF($G41="Medium",2,1))))</f>
        <v/>
      </c>
      <c r="I41" s="34" t="n"/>
      <c r="J41" s="66" t="n"/>
      <c r="K41" s="132" t="n"/>
      <c r="L41" s="41" t="n"/>
      <c r="M41" s="132" t="n"/>
    </row>
    <row r="42" ht="26" customHeight="1">
      <c r="A42" s="41" t="n"/>
      <c r="B42" s="132" t="n"/>
      <c r="C42" s="41" t="n"/>
      <c r="D42" s="41" t="n"/>
      <c r="E42" s="66" t="n"/>
      <c r="F42" s="41" t="n"/>
      <c r="G42" s="41" t="n"/>
      <c r="H42" s="26">
        <f>IF(OR($F42="",$G42=""),"",(IF($F42="High",3,IF($F42="Medium",2,1)))*(IF($G42="High",3,IF($G42="Medium",2,1))))</f>
        <v/>
      </c>
      <c r="I42" s="34" t="n"/>
      <c r="J42" s="66" t="n"/>
      <c r="K42" s="132" t="n"/>
      <c r="L42" s="41" t="n"/>
      <c r="M42" s="132" t="n"/>
    </row>
    <row r="43" ht="26" customHeight="1">
      <c r="A43" s="41" t="n"/>
      <c r="B43" s="132" t="n"/>
      <c r="C43" s="41" t="n"/>
      <c r="D43" s="41" t="n"/>
      <c r="E43" s="66" t="n"/>
      <c r="F43" s="41" t="n"/>
      <c r="G43" s="41" t="n"/>
      <c r="H43" s="26">
        <f>IF(OR($F43="",$G43=""),"",(IF($F43="High",3,IF($F43="Medium",2,1)))*(IF($G43="High",3,IF($G43="Medium",2,1))))</f>
        <v/>
      </c>
      <c r="I43" s="34" t="n"/>
      <c r="J43" s="66" t="n"/>
      <c r="K43" s="132" t="n"/>
      <c r="L43" s="41" t="n"/>
      <c r="M43" s="132" t="n"/>
    </row>
    <row r="44" ht="26" customHeight="1">
      <c r="A44" s="41" t="n"/>
      <c r="B44" s="132" t="n"/>
      <c r="C44" s="41" t="n"/>
      <c r="D44" s="41" t="n"/>
      <c r="E44" s="66" t="n"/>
      <c r="F44" s="41" t="n"/>
      <c r="G44" s="41" t="n"/>
      <c r="H44" s="26">
        <f>IF(OR($F44="",$G44=""),"",(IF($F44="High",3,IF($F44="Medium",2,1)))*(IF($G44="High",3,IF($G44="Medium",2,1))))</f>
        <v/>
      </c>
      <c r="I44" s="34" t="n"/>
      <c r="J44" s="66" t="n"/>
      <c r="K44" s="132" t="n"/>
      <c r="L44" s="41" t="n"/>
      <c r="M44" s="132" t="n"/>
    </row>
    <row r="45" ht="26" customHeight="1">
      <c r="A45" s="41" t="n"/>
      <c r="B45" s="132" t="n"/>
      <c r="C45" s="41" t="n"/>
      <c r="D45" s="41" t="n"/>
      <c r="E45" s="66" t="n"/>
      <c r="F45" s="41" t="n"/>
      <c r="G45" s="41" t="n"/>
      <c r="H45" s="26">
        <f>IF(OR($F45="",$G45=""),"",(IF($F45="High",3,IF($F45="Medium",2,1)))*(IF($G45="High",3,IF($G45="Medium",2,1))))</f>
        <v/>
      </c>
      <c r="I45" s="34" t="n"/>
      <c r="J45" s="66" t="n"/>
      <c r="K45" s="132" t="n"/>
      <c r="L45" s="41" t="n"/>
      <c r="M45" s="132" t="n"/>
    </row>
    <row r="46" ht="26" customHeight="1">
      <c r="A46" s="41" t="n"/>
      <c r="B46" s="132" t="n"/>
      <c r="C46" s="41" t="n"/>
      <c r="D46" s="41" t="n"/>
      <c r="E46" s="66" t="n"/>
      <c r="F46" s="41" t="n"/>
      <c r="G46" s="41" t="n"/>
      <c r="H46" s="26">
        <f>IF(OR($F46="",$G46=""),"",(IF($F46="High",3,IF($F46="Medium",2,1)))*(IF($G46="High",3,IF($G46="Medium",2,1))))</f>
        <v/>
      </c>
      <c r="I46" s="34" t="n"/>
      <c r="J46" s="66" t="n"/>
      <c r="K46" s="132" t="n"/>
      <c r="L46" s="41" t="n"/>
      <c r="M46" s="132" t="n"/>
    </row>
  </sheetData>
  <mergeCells count="2">
    <mergeCell ref="A2:M2"/>
    <mergeCell ref="A1:M1"/>
  </mergeCells>
  <conditionalFormatting sqref="H7:H46">
    <cfRule type="cellIs" priority="1" operator="greaterThanOrEqual" dxfId="0">
      <formula>6</formula>
    </cfRule>
    <cfRule type="cellIs" priority="2" operator="between" dxfId="3">
      <formula>3</formula>
      <formula>5</formula>
    </cfRule>
  </conditionalFormatting>
  <dataValidations count="5">
    <dataValidation sqref="C7:C46" showDropDown="0" showInputMessage="0" showErrorMessage="0" allowBlank="1" error="Pick a value from the list." promptTitle="Risk or Issue" type="list">
      <formula1>=LISTS!$N$5:$N$6</formula1>
    </dataValidation>
    <dataValidation sqref="D7:D46" showDropDown="0" showInputMessage="0" showErrorMessage="0" allowBlank="1" error="Pick a value from the list." promptTitle="Scope" type="list">
      <formula1>"Personal,Team,Project,Client,Technical"</formula1>
    </dataValidation>
    <dataValidation sqref="F7:G46" showDropDown="0" showInputMessage="0" showErrorMessage="0" allowBlank="1" error="Pick a value from the list." promptTitle="High / Medium / Low" type="list">
      <formula1>=LISTS!$O$5:$O$7</formula1>
    </dataValidation>
    <dataValidation sqref="I7:I46" showDropDown="0" showInputMessage="0" showErrorMessage="0" allowBlank="1" error="Pick a value from the list." promptTitle="Owner" type="list">
      <formula1>=LISTS!$H$5:$H$10</formula1>
    </dataValidation>
    <dataValidation sqref="L7:L46" showDropDown="0" showInputMessage="0" showErrorMessage="0" allowBlank="1" error="Pick a value from the list." promptTitle="Status" type="list">
      <formula1>=LISTS!$J$5:$J$9</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20.xml><?xml version="1.0" encoding="utf-8"?>
<worksheet xmlns="http://schemas.openxmlformats.org/spreadsheetml/2006/main">
  <sheetPr>
    <tabColor rgb="0014505C"/>
    <outlinePr summaryBelow="1" summaryRight="1"/>
    <pageSetUpPr fitToPage="1"/>
  </sheetPr>
  <dimension ref="A1:I21"/>
  <sheetViews>
    <sheetView showGridLines="0" workbookViewId="0">
      <selection activeCell="A1" sqref="A1"/>
    </sheetView>
  </sheetViews>
  <sheetFormatPr baseColWidth="8" defaultRowHeight="15" outlineLevelCol="0"/>
  <cols>
    <col width="7" customWidth="1" min="1" max="1"/>
    <col width="13" customWidth="1" min="2" max="2"/>
    <col width="11" customWidth="1" min="3" max="3"/>
    <col width="11" customWidth="1" min="4" max="4"/>
    <col width="11" customWidth="1" min="5" max="5"/>
    <col width="11" customWidth="1" min="6" max="6"/>
    <col width="11" customWidth="1" min="7" max="7"/>
    <col width="13" customWidth="1" min="8" max="8"/>
    <col width="52" customWidth="1" min="9" max="9"/>
  </cols>
  <sheetData>
    <row r="1" ht="30" customHeight="1">
      <c r="A1" s="1" t="inlineStr">
        <is>
          <t>Issue &amp; Risk Week Summary</t>
        </is>
      </c>
    </row>
    <row r="2" ht="16" customHeight="1">
      <c r="A2" s="2" t="inlineStr">
        <is>
          <t>How the risk picture moved each week. Calculated from IRTL - the comment column is yours.</t>
        </is>
      </c>
    </row>
    <row r="5" ht="30" customHeight="1">
      <c r="A5" s="6" t="inlineStr">
        <is>
          <t>Week</t>
        </is>
      </c>
      <c r="B5" s="6" t="inlineStr">
        <is>
          <t>Week starting</t>
        </is>
      </c>
      <c r="C5" s="6" t="inlineStr">
        <is>
          <t>Raised</t>
        </is>
      </c>
      <c r="D5" s="6" t="inlineStr">
        <is>
          <t>Closed</t>
        </is>
      </c>
      <c r="E5" s="6" t="inlineStr">
        <is>
          <t>Open at end</t>
        </is>
      </c>
      <c r="F5" s="6" t="inlineStr">
        <is>
          <t>High priority open</t>
        </is>
      </c>
      <c r="G5" s="6" t="inlineStr">
        <is>
          <t>Risks open</t>
        </is>
      </c>
      <c r="H5" s="6" t="inlineStr">
        <is>
          <t>Issues open</t>
        </is>
      </c>
      <c r="I5" s="6" t="inlineStr">
        <is>
          <t>What the team did about it this week</t>
        </is>
      </c>
    </row>
    <row r="6" ht="24" customHeight="1">
      <c r="A6" s="71" t="n">
        <v>3</v>
      </c>
      <c r="B6" s="136" t="n">
        <v>46300</v>
      </c>
      <c r="C6" s="26">
        <f>COUNTIFS(IRTL!$B$7:$B$46,"&gt;="&amp;$B6,IRTL!$B$7:$B$46,"&lt;="&amp;$B6+6)</f>
        <v/>
      </c>
      <c r="D6" s="26">
        <f>COUNTIFS(IRTL!$M$7:$M$46,"&gt;="&amp;$B6,IRTL!$M$7:$M$46,"&lt;="&amp;$B6+6)</f>
        <v/>
      </c>
      <c r="E6" s="59">
        <f>COUNTIFS(IRTL!$B$7:$B$46,"&lt;="&amp;$B6+6)-COUNTIFS(IRTL!$M$7:$M$46,"&lt;="&amp;$B6+6,IRTL!$M$7:$M$46,"&lt;&gt;")</f>
        <v/>
      </c>
      <c r="F6" s="26">
        <f>COUNTIFS(IRTL!$B$7:$B$46,"&lt;="&amp;$B6+6,IRTL!$H$7:$H$46,"&gt;=6")-COUNTIFS(IRTL!$M$7:$M$46,"&lt;="&amp;$B6+6,IRTL!$M$7:$M$46,"&lt;&gt;",IRTL!$H$7:$H$46,"&gt;=6")</f>
        <v/>
      </c>
      <c r="G6" s="26">
        <f>COUNTIFS(IRTL!$B$7:$B$46,"&lt;="&amp;$B6+6,IRTL!$C$7:$C$46,"Risk")-COUNTIFS(IRTL!$M$7:$M$46,"&lt;="&amp;$B6+6,IRTL!$M$7:$M$46,"&lt;&gt;",IRTL!$C$7:$C$46,"Risk")</f>
        <v/>
      </c>
      <c r="H6" s="26">
        <f>COUNTIFS(IRTL!$B$7:$B$46,"&lt;="&amp;$B6+6,IRTL!$C$7:$C$46,"Issue")-COUNTIFS(IRTL!$M$7:$M$46,"&lt;="&amp;$B6+6,IRTL!$M$7:$M$46,"&lt;&gt;",IRTL!$C$7:$C$46,"Issue")</f>
        <v/>
      </c>
      <c r="I6" s="66" t="n"/>
    </row>
    <row r="7" ht="24" customHeight="1">
      <c r="A7" s="71" t="n">
        <v>4</v>
      </c>
      <c r="B7" s="136" t="n">
        <v>46307</v>
      </c>
      <c r="C7" s="26">
        <f>COUNTIFS(IRTL!$B$7:$B$46,"&gt;="&amp;$B7,IRTL!$B$7:$B$46,"&lt;="&amp;$B7+6)</f>
        <v/>
      </c>
      <c r="D7" s="26">
        <f>COUNTIFS(IRTL!$M$7:$M$46,"&gt;="&amp;$B7,IRTL!$M$7:$M$46,"&lt;="&amp;$B7+6)</f>
        <v/>
      </c>
      <c r="E7" s="59">
        <f>COUNTIFS(IRTL!$B$7:$B$46,"&lt;="&amp;$B7+6)-COUNTIFS(IRTL!$M$7:$M$46,"&lt;="&amp;$B7+6,IRTL!$M$7:$M$46,"&lt;&gt;")</f>
        <v/>
      </c>
      <c r="F7" s="26">
        <f>COUNTIFS(IRTL!$B$7:$B$46,"&lt;="&amp;$B7+6,IRTL!$H$7:$H$46,"&gt;=6")-COUNTIFS(IRTL!$M$7:$M$46,"&lt;="&amp;$B7+6,IRTL!$M$7:$M$46,"&lt;&gt;",IRTL!$H$7:$H$46,"&gt;=6")</f>
        <v/>
      </c>
      <c r="G7" s="26">
        <f>COUNTIFS(IRTL!$B$7:$B$46,"&lt;="&amp;$B7+6,IRTL!$C$7:$C$46,"Risk")-COUNTIFS(IRTL!$M$7:$M$46,"&lt;="&amp;$B7+6,IRTL!$M$7:$M$46,"&lt;&gt;",IRTL!$C$7:$C$46,"Risk")</f>
        <v/>
      </c>
      <c r="H7" s="26">
        <f>COUNTIFS(IRTL!$B$7:$B$46,"&lt;="&amp;$B7+6,IRTL!$C$7:$C$46,"Issue")-COUNTIFS(IRTL!$M$7:$M$46,"&lt;="&amp;$B7+6,IRTL!$M$7:$M$46,"&lt;&gt;",IRTL!$C$7:$C$46,"Issue")</f>
        <v/>
      </c>
      <c r="I7" s="66" t="n"/>
    </row>
    <row r="8" ht="24" customHeight="1">
      <c r="A8" s="71" t="n">
        <v>5</v>
      </c>
      <c r="B8" s="136" t="n">
        <v>46314</v>
      </c>
      <c r="C8" s="26">
        <f>COUNTIFS(IRTL!$B$7:$B$46,"&gt;="&amp;$B8,IRTL!$B$7:$B$46,"&lt;="&amp;$B8+6)</f>
        <v/>
      </c>
      <c r="D8" s="26">
        <f>COUNTIFS(IRTL!$M$7:$M$46,"&gt;="&amp;$B8,IRTL!$M$7:$M$46,"&lt;="&amp;$B8+6)</f>
        <v/>
      </c>
      <c r="E8" s="59">
        <f>COUNTIFS(IRTL!$B$7:$B$46,"&lt;="&amp;$B8+6)-COUNTIFS(IRTL!$M$7:$M$46,"&lt;="&amp;$B8+6,IRTL!$M$7:$M$46,"&lt;&gt;")</f>
        <v/>
      </c>
      <c r="F8" s="26">
        <f>COUNTIFS(IRTL!$B$7:$B$46,"&lt;="&amp;$B8+6,IRTL!$H$7:$H$46,"&gt;=6")-COUNTIFS(IRTL!$M$7:$M$46,"&lt;="&amp;$B8+6,IRTL!$M$7:$M$46,"&lt;&gt;",IRTL!$H$7:$H$46,"&gt;=6")</f>
        <v/>
      </c>
      <c r="G8" s="26">
        <f>COUNTIFS(IRTL!$B$7:$B$46,"&lt;="&amp;$B8+6,IRTL!$C$7:$C$46,"Risk")-COUNTIFS(IRTL!$M$7:$M$46,"&lt;="&amp;$B8+6,IRTL!$M$7:$M$46,"&lt;&gt;",IRTL!$C$7:$C$46,"Risk")</f>
        <v/>
      </c>
      <c r="H8" s="26">
        <f>COUNTIFS(IRTL!$B$7:$B$46,"&lt;="&amp;$B8+6,IRTL!$C$7:$C$46,"Issue")-COUNTIFS(IRTL!$M$7:$M$46,"&lt;="&amp;$B8+6,IRTL!$M$7:$M$46,"&lt;&gt;",IRTL!$C$7:$C$46,"Issue")</f>
        <v/>
      </c>
      <c r="I8" s="66" t="n"/>
    </row>
    <row r="9" ht="24" customHeight="1">
      <c r="A9" s="71" t="n">
        <v>6</v>
      </c>
      <c r="B9" s="136" t="n">
        <v>46321</v>
      </c>
      <c r="C9" s="26">
        <f>COUNTIFS(IRTL!$B$7:$B$46,"&gt;="&amp;$B9,IRTL!$B$7:$B$46,"&lt;="&amp;$B9+6)</f>
        <v/>
      </c>
      <c r="D9" s="26">
        <f>COUNTIFS(IRTL!$M$7:$M$46,"&gt;="&amp;$B9,IRTL!$M$7:$M$46,"&lt;="&amp;$B9+6)</f>
        <v/>
      </c>
      <c r="E9" s="59">
        <f>COUNTIFS(IRTL!$B$7:$B$46,"&lt;="&amp;$B9+6)-COUNTIFS(IRTL!$M$7:$M$46,"&lt;="&amp;$B9+6,IRTL!$M$7:$M$46,"&lt;&gt;")</f>
        <v/>
      </c>
      <c r="F9" s="26">
        <f>COUNTIFS(IRTL!$B$7:$B$46,"&lt;="&amp;$B9+6,IRTL!$H$7:$H$46,"&gt;=6")-COUNTIFS(IRTL!$M$7:$M$46,"&lt;="&amp;$B9+6,IRTL!$M$7:$M$46,"&lt;&gt;",IRTL!$H$7:$H$46,"&gt;=6")</f>
        <v/>
      </c>
      <c r="G9" s="26">
        <f>COUNTIFS(IRTL!$B$7:$B$46,"&lt;="&amp;$B9+6,IRTL!$C$7:$C$46,"Risk")-COUNTIFS(IRTL!$M$7:$M$46,"&lt;="&amp;$B9+6,IRTL!$M$7:$M$46,"&lt;&gt;",IRTL!$C$7:$C$46,"Risk")</f>
        <v/>
      </c>
      <c r="H9" s="26">
        <f>COUNTIFS(IRTL!$B$7:$B$46,"&lt;="&amp;$B9+6,IRTL!$C$7:$C$46,"Issue")-COUNTIFS(IRTL!$M$7:$M$46,"&lt;="&amp;$B9+6,IRTL!$M$7:$M$46,"&lt;&gt;",IRTL!$C$7:$C$46,"Issue")</f>
        <v/>
      </c>
      <c r="I9" s="66" t="n"/>
    </row>
    <row r="10" ht="24" customHeight="1">
      <c r="A10" s="71" t="n">
        <v>7</v>
      </c>
      <c r="B10" s="136" t="n">
        <v>46328</v>
      </c>
      <c r="C10" s="26">
        <f>COUNTIFS(IRTL!$B$7:$B$46,"&gt;="&amp;$B10,IRTL!$B$7:$B$46,"&lt;="&amp;$B10+6)</f>
        <v/>
      </c>
      <c r="D10" s="26">
        <f>COUNTIFS(IRTL!$M$7:$M$46,"&gt;="&amp;$B10,IRTL!$M$7:$M$46,"&lt;="&amp;$B10+6)</f>
        <v/>
      </c>
      <c r="E10" s="59">
        <f>COUNTIFS(IRTL!$B$7:$B$46,"&lt;="&amp;$B10+6)-COUNTIFS(IRTL!$M$7:$M$46,"&lt;="&amp;$B10+6,IRTL!$M$7:$M$46,"&lt;&gt;")</f>
        <v/>
      </c>
      <c r="F10" s="26">
        <f>COUNTIFS(IRTL!$B$7:$B$46,"&lt;="&amp;$B10+6,IRTL!$H$7:$H$46,"&gt;=6")-COUNTIFS(IRTL!$M$7:$M$46,"&lt;="&amp;$B10+6,IRTL!$M$7:$M$46,"&lt;&gt;",IRTL!$H$7:$H$46,"&gt;=6")</f>
        <v/>
      </c>
      <c r="G10" s="26">
        <f>COUNTIFS(IRTL!$B$7:$B$46,"&lt;="&amp;$B10+6,IRTL!$C$7:$C$46,"Risk")-COUNTIFS(IRTL!$M$7:$M$46,"&lt;="&amp;$B10+6,IRTL!$M$7:$M$46,"&lt;&gt;",IRTL!$C$7:$C$46,"Risk")</f>
        <v/>
      </c>
      <c r="H10" s="26">
        <f>COUNTIFS(IRTL!$B$7:$B$46,"&lt;="&amp;$B10+6,IRTL!$C$7:$C$46,"Issue")-COUNTIFS(IRTL!$M$7:$M$46,"&lt;="&amp;$B10+6,IRTL!$M$7:$M$46,"&lt;&gt;",IRTL!$C$7:$C$46,"Issue")</f>
        <v/>
      </c>
      <c r="I10" s="66" t="n"/>
    </row>
    <row r="11" ht="24" customHeight="1">
      <c r="A11" s="71" t="n">
        <v>8</v>
      </c>
      <c r="B11" s="136" t="n">
        <v>46335</v>
      </c>
      <c r="C11" s="26">
        <f>COUNTIFS(IRTL!$B$7:$B$46,"&gt;="&amp;$B11,IRTL!$B$7:$B$46,"&lt;="&amp;$B11+6)</f>
        <v/>
      </c>
      <c r="D11" s="26">
        <f>COUNTIFS(IRTL!$M$7:$M$46,"&gt;="&amp;$B11,IRTL!$M$7:$M$46,"&lt;="&amp;$B11+6)</f>
        <v/>
      </c>
      <c r="E11" s="59">
        <f>COUNTIFS(IRTL!$B$7:$B$46,"&lt;="&amp;$B11+6)-COUNTIFS(IRTL!$M$7:$M$46,"&lt;="&amp;$B11+6,IRTL!$M$7:$M$46,"&lt;&gt;")</f>
        <v/>
      </c>
      <c r="F11" s="26">
        <f>COUNTIFS(IRTL!$B$7:$B$46,"&lt;="&amp;$B11+6,IRTL!$H$7:$H$46,"&gt;=6")-COUNTIFS(IRTL!$M$7:$M$46,"&lt;="&amp;$B11+6,IRTL!$M$7:$M$46,"&lt;&gt;",IRTL!$H$7:$H$46,"&gt;=6")</f>
        <v/>
      </c>
      <c r="G11" s="26">
        <f>COUNTIFS(IRTL!$B$7:$B$46,"&lt;="&amp;$B11+6,IRTL!$C$7:$C$46,"Risk")-COUNTIFS(IRTL!$M$7:$M$46,"&lt;="&amp;$B11+6,IRTL!$M$7:$M$46,"&lt;&gt;",IRTL!$C$7:$C$46,"Risk")</f>
        <v/>
      </c>
      <c r="H11" s="26">
        <f>COUNTIFS(IRTL!$B$7:$B$46,"&lt;="&amp;$B11+6,IRTL!$C$7:$C$46,"Issue")-COUNTIFS(IRTL!$M$7:$M$46,"&lt;="&amp;$B11+6,IRTL!$M$7:$M$46,"&lt;&gt;",IRTL!$C$7:$C$46,"Issue")</f>
        <v/>
      </c>
      <c r="I11" s="66" t="n"/>
    </row>
    <row r="12" ht="24" customHeight="1">
      <c r="A12" s="71" t="n">
        <v>9</v>
      </c>
      <c r="B12" s="136" t="n">
        <v>46342</v>
      </c>
      <c r="C12" s="26">
        <f>COUNTIFS(IRTL!$B$7:$B$46,"&gt;="&amp;$B12,IRTL!$B$7:$B$46,"&lt;="&amp;$B12+6)</f>
        <v/>
      </c>
      <c r="D12" s="26">
        <f>COUNTIFS(IRTL!$M$7:$M$46,"&gt;="&amp;$B12,IRTL!$M$7:$M$46,"&lt;="&amp;$B12+6)</f>
        <v/>
      </c>
      <c r="E12" s="59">
        <f>COUNTIFS(IRTL!$B$7:$B$46,"&lt;="&amp;$B12+6)-COUNTIFS(IRTL!$M$7:$M$46,"&lt;="&amp;$B12+6,IRTL!$M$7:$M$46,"&lt;&gt;")</f>
        <v/>
      </c>
      <c r="F12" s="26">
        <f>COUNTIFS(IRTL!$B$7:$B$46,"&lt;="&amp;$B12+6,IRTL!$H$7:$H$46,"&gt;=6")-COUNTIFS(IRTL!$M$7:$M$46,"&lt;="&amp;$B12+6,IRTL!$M$7:$M$46,"&lt;&gt;",IRTL!$H$7:$H$46,"&gt;=6")</f>
        <v/>
      </c>
      <c r="G12" s="26">
        <f>COUNTIFS(IRTL!$B$7:$B$46,"&lt;="&amp;$B12+6,IRTL!$C$7:$C$46,"Risk")-COUNTIFS(IRTL!$M$7:$M$46,"&lt;="&amp;$B12+6,IRTL!$M$7:$M$46,"&lt;&gt;",IRTL!$C$7:$C$46,"Risk")</f>
        <v/>
      </c>
      <c r="H12" s="26">
        <f>COUNTIFS(IRTL!$B$7:$B$46,"&lt;="&amp;$B12+6,IRTL!$C$7:$C$46,"Issue")-COUNTIFS(IRTL!$M$7:$M$46,"&lt;="&amp;$B12+6,IRTL!$M$7:$M$46,"&lt;&gt;",IRTL!$C$7:$C$46,"Issue")</f>
        <v/>
      </c>
      <c r="I12" s="66" t="n"/>
    </row>
    <row r="13" ht="24" customHeight="1">
      <c r="A13" s="71" t="n">
        <v>10</v>
      </c>
      <c r="B13" s="136" t="n">
        <v>46349</v>
      </c>
      <c r="C13" s="26">
        <f>COUNTIFS(IRTL!$B$7:$B$46,"&gt;="&amp;$B13,IRTL!$B$7:$B$46,"&lt;="&amp;$B13+6)</f>
        <v/>
      </c>
      <c r="D13" s="26">
        <f>COUNTIFS(IRTL!$M$7:$M$46,"&gt;="&amp;$B13,IRTL!$M$7:$M$46,"&lt;="&amp;$B13+6)</f>
        <v/>
      </c>
      <c r="E13" s="59">
        <f>COUNTIFS(IRTL!$B$7:$B$46,"&lt;="&amp;$B13+6)-COUNTIFS(IRTL!$M$7:$M$46,"&lt;="&amp;$B13+6,IRTL!$M$7:$M$46,"&lt;&gt;")</f>
        <v/>
      </c>
      <c r="F13" s="26">
        <f>COUNTIFS(IRTL!$B$7:$B$46,"&lt;="&amp;$B13+6,IRTL!$H$7:$H$46,"&gt;=6")-COUNTIFS(IRTL!$M$7:$M$46,"&lt;="&amp;$B13+6,IRTL!$M$7:$M$46,"&lt;&gt;",IRTL!$H$7:$H$46,"&gt;=6")</f>
        <v/>
      </c>
      <c r="G13" s="26">
        <f>COUNTIFS(IRTL!$B$7:$B$46,"&lt;="&amp;$B13+6,IRTL!$C$7:$C$46,"Risk")-COUNTIFS(IRTL!$M$7:$M$46,"&lt;="&amp;$B13+6,IRTL!$M$7:$M$46,"&lt;&gt;",IRTL!$C$7:$C$46,"Risk")</f>
        <v/>
      </c>
      <c r="H13" s="26">
        <f>COUNTIFS(IRTL!$B$7:$B$46,"&lt;="&amp;$B13+6,IRTL!$C$7:$C$46,"Issue")-COUNTIFS(IRTL!$M$7:$M$46,"&lt;="&amp;$B13+6,IRTL!$M$7:$M$46,"&lt;&gt;",IRTL!$C$7:$C$46,"Issue")</f>
        <v/>
      </c>
      <c r="I13" s="66" t="n"/>
    </row>
    <row r="14" ht="24" customHeight="1">
      <c r="A14" s="71" t="n">
        <v>11</v>
      </c>
      <c r="B14" s="136" t="n">
        <v>46356</v>
      </c>
      <c r="C14" s="26">
        <f>COUNTIFS(IRTL!$B$7:$B$46,"&gt;="&amp;$B14,IRTL!$B$7:$B$46,"&lt;="&amp;$B14+6)</f>
        <v/>
      </c>
      <c r="D14" s="26">
        <f>COUNTIFS(IRTL!$M$7:$M$46,"&gt;="&amp;$B14,IRTL!$M$7:$M$46,"&lt;="&amp;$B14+6)</f>
        <v/>
      </c>
      <c r="E14" s="59">
        <f>COUNTIFS(IRTL!$B$7:$B$46,"&lt;="&amp;$B14+6)-COUNTIFS(IRTL!$M$7:$M$46,"&lt;="&amp;$B14+6,IRTL!$M$7:$M$46,"&lt;&gt;")</f>
        <v/>
      </c>
      <c r="F14" s="26">
        <f>COUNTIFS(IRTL!$B$7:$B$46,"&lt;="&amp;$B14+6,IRTL!$H$7:$H$46,"&gt;=6")-COUNTIFS(IRTL!$M$7:$M$46,"&lt;="&amp;$B14+6,IRTL!$M$7:$M$46,"&lt;&gt;",IRTL!$H$7:$H$46,"&gt;=6")</f>
        <v/>
      </c>
      <c r="G14" s="26">
        <f>COUNTIFS(IRTL!$B$7:$B$46,"&lt;="&amp;$B14+6,IRTL!$C$7:$C$46,"Risk")-COUNTIFS(IRTL!$M$7:$M$46,"&lt;="&amp;$B14+6,IRTL!$M$7:$M$46,"&lt;&gt;",IRTL!$C$7:$C$46,"Risk")</f>
        <v/>
      </c>
      <c r="H14" s="26">
        <f>COUNTIFS(IRTL!$B$7:$B$46,"&lt;="&amp;$B14+6,IRTL!$C$7:$C$46,"Issue")-COUNTIFS(IRTL!$M$7:$M$46,"&lt;="&amp;$B14+6,IRTL!$M$7:$M$46,"&lt;&gt;",IRTL!$C$7:$C$46,"Issue")</f>
        <v/>
      </c>
      <c r="I14" s="66" t="n"/>
    </row>
    <row r="15" ht="24" customHeight="1">
      <c r="A15" s="71" t="n">
        <v>12</v>
      </c>
      <c r="B15" s="136" t="n">
        <v>46363</v>
      </c>
      <c r="C15" s="26">
        <f>COUNTIFS(IRTL!$B$7:$B$46,"&gt;="&amp;$B15,IRTL!$B$7:$B$46,"&lt;="&amp;$B15+6)</f>
        <v/>
      </c>
      <c r="D15" s="26">
        <f>COUNTIFS(IRTL!$M$7:$M$46,"&gt;="&amp;$B15,IRTL!$M$7:$M$46,"&lt;="&amp;$B15+6)</f>
        <v/>
      </c>
      <c r="E15" s="59">
        <f>COUNTIFS(IRTL!$B$7:$B$46,"&lt;="&amp;$B15+6)-COUNTIFS(IRTL!$M$7:$M$46,"&lt;="&amp;$B15+6,IRTL!$M$7:$M$46,"&lt;&gt;")</f>
        <v/>
      </c>
      <c r="F15" s="26">
        <f>COUNTIFS(IRTL!$B$7:$B$46,"&lt;="&amp;$B15+6,IRTL!$H$7:$H$46,"&gt;=6")-COUNTIFS(IRTL!$M$7:$M$46,"&lt;="&amp;$B15+6,IRTL!$M$7:$M$46,"&lt;&gt;",IRTL!$H$7:$H$46,"&gt;=6")</f>
        <v/>
      </c>
      <c r="G15" s="26">
        <f>COUNTIFS(IRTL!$B$7:$B$46,"&lt;="&amp;$B15+6,IRTL!$C$7:$C$46,"Risk")-COUNTIFS(IRTL!$M$7:$M$46,"&lt;="&amp;$B15+6,IRTL!$M$7:$M$46,"&lt;&gt;",IRTL!$C$7:$C$46,"Risk")</f>
        <v/>
      </c>
      <c r="H15" s="26">
        <f>COUNTIFS(IRTL!$B$7:$B$46,"&lt;="&amp;$B15+6,IRTL!$C$7:$C$46,"Issue")-COUNTIFS(IRTL!$M$7:$M$46,"&lt;="&amp;$B15+6,IRTL!$M$7:$M$46,"&lt;&gt;",IRTL!$C$7:$C$46,"Issue")</f>
        <v/>
      </c>
      <c r="I15" s="66" t="n"/>
    </row>
    <row r="16" ht="24" customHeight="1">
      <c r="A16" s="71" t="n">
        <v>13</v>
      </c>
      <c r="B16" s="136" t="n">
        <v>46370</v>
      </c>
      <c r="C16" s="26">
        <f>COUNTIFS(IRTL!$B$7:$B$46,"&gt;="&amp;$B16,IRTL!$B$7:$B$46,"&lt;="&amp;$B16+6)</f>
        <v/>
      </c>
      <c r="D16" s="26">
        <f>COUNTIFS(IRTL!$M$7:$M$46,"&gt;="&amp;$B16,IRTL!$M$7:$M$46,"&lt;="&amp;$B16+6)</f>
        <v/>
      </c>
      <c r="E16" s="59">
        <f>COUNTIFS(IRTL!$B$7:$B$46,"&lt;="&amp;$B16+6)-COUNTIFS(IRTL!$M$7:$M$46,"&lt;="&amp;$B16+6,IRTL!$M$7:$M$46,"&lt;&gt;")</f>
        <v/>
      </c>
      <c r="F16" s="26">
        <f>COUNTIFS(IRTL!$B$7:$B$46,"&lt;="&amp;$B16+6,IRTL!$H$7:$H$46,"&gt;=6")-COUNTIFS(IRTL!$M$7:$M$46,"&lt;="&amp;$B16+6,IRTL!$M$7:$M$46,"&lt;&gt;",IRTL!$H$7:$H$46,"&gt;=6")</f>
        <v/>
      </c>
      <c r="G16" s="26">
        <f>COUNTIFS(IRTL!$B$7:$B$46,"&lt;="&amp;$B16+6,IRTL!$C$7:$C$46,"Risk")-COUNTIFS(IRTL!$M$7:$M$46,"&lt;="&amp;$B16+6,IRTL!$M$7:$M$46,"&lt;&gt;",IRTL!$C$7:$C$46,"Risk")</f>
        <v/>
      </c>
      <c r="H16" s="26">
        <f>COUNTIFS(IRTL!$B$7:$B$46,"&lt;="&amp;$B16+6,IRTL!$C$7:$C$46,"Issue")-COUNTIFS(IRTL!$M$7:$M$46,"&lt;="&amp;$B16+6,IRTL!$M$7:$M$46,"&lt;&gt;",IRTL!$C$7:$C$46,"Issue")</f>
        <v/>
      </c>
      <c r="I16" s="66" t="n"/>
    </row>
    <row r="17" ht="24" customHeight="1">
      <c r="A17" s="71" t="n">
        <v>14</v>
      </c>
      <c r="B17" s="136" t="n">
        <v>46377</v>
      </c>
      <c r="C17" s="26">
        <f>COUNTIFS(IRTL!$B$7:$B$46,"&gt;="&amp;$B17,IRTL!$B$7:$B$46,"&lt;="&amp;$B17+6)</f>
        <v/>
      </c>
      <c r="D17" s="26">
        <f>COUNTIFS(IRTL!$M$7:$M$46,"&gt;="&amp;$B17,IRTL!$M$7:$M$46,"&lt;="&amp;$B17+6)</f>
        <v/>
      </c>
      <c r="E17" s="59">
        <f>COUNTIFS(IRTL!$B$7:$B$46,"&lt;="&amp;$B17+6)-COUNTIFS(IRTL!$M$7:$M$46,"&lt;="&amp;$B17+6,IRTL!$M$7:$M$46,"&lt;&gt;")</f>
        <v/>
      </c>
      <c r="F17" s="26">
        <f>COUNTIFS(IRTL!$B$7:$B$46,"&lt;="&amp;$B17+6,IRTL!$H$7:$H$46,"&gt;=6")-COUNTIFS(IRTL!$M$7:$M$46,"&lt;="&amp;$B17+6,IRTL!$M$7:$M$46,"&lt;&gt;",IRTL!$H$7:$H$46,"&gt;=6")</f>
        <v/>
      </c>
      <c r="G17" s="26">
        <f>COUNTIFS(IRTL!$B$7:$B$46,"&lt;="&amp;$B17+6,IRTL!$C$7:$C$46,"Risk")-COUNTIFS(IRTL!$M$7:$M$46,"&lt;="&amp;$B17+6,IRTL!$M$7:$M$46,"&lt;&gt;",IRTL!$C$7:$C$46,"Risk")</f>
        <v/>
      </c>
      <c r="H17" s="26">
        <f>COUNTIFS(IRTL!$B$7:$B$46,"&lt;="&amp;$B17+6,IRTL!$C$7:$C$46,"Issue")-COUNTIFS(IRTL!$M$7:$M$46,"&lt;="&amp;$B17+6,IRTL!$M$7:$M$46,"&lt;&gt;",IRTL!$C$7:$C$46,"Issue")</f>
        <v/>
      </c>
      <c r="I17" s="66" t="n"/>
    </row>
    <row r="18" ht="24" customHeight="1">
      <c r="A18" s="71" t="n">
        <v>15</v>
      </c>
      <c r="B18" s="136" t="n">
        <v>46384</v>
      </c>
      <c r="C18" s="26">
        <f>COUNTIFS(IRTL!$B$7:$B$46,"&gt;="&amp;$B18,IRTL!$B$7:$B$46,"&lt;="&amp;$B18+6)</f>
        <v/>
      </c>
      <c r="D18" s="26">
        <f>COUNTIFS(IRTL!$M$7:$M$46,"&gt;="&amp;$B18,IRTL!$M$7:$M$46,"&lt;="&amp;$B18+6)</f>
        <v/>
      </c>
      <c r="E18" s="59">
        <f>COUNTIFS(IRTL!$B$7:$B$46,"&lt;="&amp;$B18+6)-COUNTIFS(IRTL!$M$7:$M$46,"&lt;="&amp;$B18+6,IRTL!$M$7:$M$46,"&lt;&gt;")</f>
        <v/>
      </c>
      <c r="F18" s="26">
        <f>COUNTIFS(IRTL!$B$7:$B$46,"&lt;="&amp;$B18+6,IRTL!$H$7:$H$46,"&gt;=6")-COUNTIFS(IRTL!$M$7:$M$46,"&lt;="&amp;$B18+6,IRTL!$M$7:$M$46,"&lt;&gt;",IRTL!$H$7:$H$46,"&gt;=6")</f>
        <v/>
      </c>
      <c r="G18" s="26">
        <f>COUNTIFS(IRTL!$B$7:$B$46,"&lt;="&amp;$B18+6,IRTL!$C$7:$C$46,"Risk")-COUNTIFS(IRTL!$M$7:$M$46,"&lt;="&amp;$B18+6,IRTL!$M$7:$M$46,"&lt;&gt;",IRTL!$C$7:$C$46,"Risk")</f>
        <v/>
      </c>
      <c r="H18" s="26">
        <f>COUNTIFS(IRTL!$B$7:$B$46,"&lt;="&amp;$B18+6,IRTL!$C$7:$C$46,"Issue")-COUNTIFS(IRTL!$M$7:$M$46,"&lt;="&amp;$B18+6,IRTL!$M$7:$M$46,"&lt;&gt;",IRTL!$C$7:$C$46,"Issue")</f>
        <v/>
      </c>
      <c r="I18" s="66" t="n"/>
    </row>
    <row r="20" ht="19" customHeight="1">
      <c r="A20" s="5" t="inlineStr">
        <is>
          <t>Reading this sheet</t>
        </is>
      </c>
    </row>
    <row r="21" ht="42" customHeight="1">
      <c r="A21" s="60" t="inlineStr">
        <is>
          <t>Watch the Open at end column across the weeks, not any single number. A count that climbs steadily means the team is raising risks faster than it resolves them - which is still better than a column of zeros, because a project with no recorded risks is a project where nobody is looking for them.</t>
        </is>
      </c>
    </row>
  </sheetData>
  <mergeCells count="4">
    <mergeCell ref="A1:I1"/>
    <mergeCell ref="A21:I21"/>
    <mergeCell ref="A20:I20"/>
    <mergeCell ref="A2:I2"/>
  </mergeCells>
  <conditionalFormatting sqref="F6:F18">
    <cfRule type="cellIs" priority="1" operator="greaterThan" dxfId="0">
      <formula>0</formula>
    </cfRule>
  </conditionalFormatting>
  <printOptions horizontalCentered="1"/>
  <pageMargins left="0.75" right="0.75" top="1" bottom="1" header="0.5" footer="0.5"/>
  <pageSetup orientation="landscape" paperSize="9" fitToHeight="1" fitToWidth="1"/>
  <headerFooter>
    <oddHeader/>
    <oddFooter>&amp;R&amp;8 TMA3084 TSPi Workbook v3.0  -  &amp;P of &amp;N</oddFooter>
    <evenHeader/>
    <evenFooter/>
    <firstHeader/>
    <firstFooter/>
  </headerFooter>
</worksheet>
</file>

<file path=xl/worksheets/sheet21.xml><?xml version="1.0" encoding="utf-8"?>
<worksheet xmlns="http://schemas.openxmlformats.org/spreadsheetml/2006/main">
  <sheetPr>
    <tabColor rgb="0014505C"/>
    <outlinePr summaryBelow="1" summaryRight="1"/>
    <pageSetUpPr fitToPage="1"/>
  </sheetPr>
  <dimension ref="A1:J21"/>
  <sheetViews>
    <sheetView showGridLines="0" workbookViewId="0">
      <selection activeCell="A1" sqref="A1"/>
    </sheetView>
  </sheetViews>
  <sheetFormatPr baseColWidth="8" defaultRowHeight="15" outlineLevelCol="0"/>
  <cols>
    <col width="8" customWidth="1" min="1" max="1"/>
    <col width="10" customWidth="1" min="2" max="2"/>
    <col width="46" customWidth="1" min="3" max="3"/>
    <col width="11" customWidth="1" min="4" max="4"/>
    <col width="11" customWidth="1" min="5" max="5"/>
    <col width="10" customWidth="1" min="6" max="6"/>
    <col width="20" customWidth="1" min="7" max="7"/>
    <col width="12" customWidth="1" min="8" max="8"/>
    <col width="12" customWidth="1" min="9" max="9"/>
    <col width="40" customWidth="1" min="10" max="10"/>
  </cols>
  <sheetData>
    <row r="1" ht="30" customHeight="1">
      <c r="A1" s="1" t="inlineStr">
        <is>
          <t>Top Risk Register</t>
        </is>
      </c>
    </row>
    <row r="2" ht="16" customHeight="1">
      <c r="A2" s="2" t="inlineStr">
        <is>
          <t>The highest-priority open items from IRTL, ranked. Read this at every weekly meeting.</t>
        </is>
      </c>
    </row>
    <row r="4">
      <c r="A4" s="23" t="inlineStr">
        <is>
          <t>Open items</t>
        </is>
      </c>
      <c r="B4" s="59">
        <f>COUNTIFS(IRTL!$A$7:$A$46,"&lt;&gt;",IRTL!$L$7:$L$46,"&lt;&gt;Complete")</f>
        <v/>
      </c>
      <c r="C4" s="23" t="inlineStr">
        <is>
          <t>High priority (6 or more)</t>
        </is>
      </c>
      <c r="F4" s="59">
        <f>COUNTIFS(IRTL!$H$7:$H$46,"&gt;=6",IRTL!$L$7:$L$46,"&lt;&gt;Complete")</f>
        <v/>
      </c>
    </row>
    <row r="6" ht="24" customHeight="1">
      <c r="A6" s="6" t="inlineStr">
        <is>
          <t>Rank</t>
        </is>
      </c>
      <c r="B6" s="6" t="inlineStr">
        <is>
          <t>ID</t>
        </is>
      </c>
      <c r="C6" s="6" t="inlineStr">
        <is>
          <t>Risk or issue</t>
        </is>
      </c>
      <c r="D6" s="6" t="inlineStr">
        <is>
          <t>Likelihood</t>
        </is>
      </c>
      <c r="E6" s="6" t="inlineStr">
        <is>
          <t>Impact</t>
        </is>
      </c>
      <c r="F6" s="6" t="inlineStr">
        <is>
          <t>Priority</t>
        </is>
      </c>
      <c r="G6" s="6" t="inlineStr">
        <is>
          <t>Owner</t>
        </is>
      </c>
      <c r="H6" s="6" t="inlineStr">
        <is>
          <t>Follow-up</t>
        </is>
      </c>
      <c r="I6" s="6" t="inlineStr">
        <is>
          <t>Status</t>
        </is>
      </c>
      <c r="J6" s="6" t="inlineStr">
        <is>
          <t>Mitigation in hand</t>
        </is>
      </c>
    </row>
    <row r="7" ht="24" customHeight="1">
      <c r="A7" s="71" t="n">
        <v>1</v>
      </c>
      <c r="B7" s="51">
        <f>IFERROR(IF(LARGE(IRTL!$H$7:$H$46*(IRTL!$L$7:$L$46&lt;&gt;"Complete")*(IRTL!$A$7:$A$46&lt;&gt;"")-ROW(IRTL!$A$7:$A$46)/100000,$A7)&lt;=0,"",INDEX(IRTL!$A$7:$A$46,MATCH(LARGE(IRTL!$H$7:$H$46*(IRTL!$L$7:$L$46&lt;&gt;"Complete")*(IRTL!$A$7:$A$46&lt;&gt;"")-ROW(IRTL!$A$7:$A$46)/100000,$A7),IRTL!$H$7:$H$46*(IRTL!$L$7:$L$46&lt;&gt;"Complete")*(IRTL!$A$7:$A$46&lt;&gt;"")-ROW(IRTL!$A$7:$A$46)/100000,0))),"")</f>
        <v/>
      </c>
      <c r="C7" s="24">
        <f>IFERROR(IF(LARGE(IRTL!$H$7:$H$46*(IRTL!$L$7:$L$46&lt;&gt;"Complete")*(IRTL!$A$7:$A$46&lt;&gt;"")-ROW(IRTL!$A$7:$A$46)/100000,$A7)&lt;=0,"",INDEX(IRTL!$E$7:$E$46,MATCH(LARGE(IRTL!$H$7:$H$46*(IRTL!$L$7:$L$46&lt;&gt;"Complete")*(IRTL!$A$7:$A$46&lt;&gt;"")-ROW(IRTL!$A$7:$A$46)/100000,$A7),IRTL!$H$7:$H$46*(IRTL!$L$7:$L$46&lt;&gt;"Complete")*(IRTL!$A$7:$A$46&lt;&gt;"")-ROW(IRTL!$A$7:$A$46)/100000,0))),"")</f>
        <v/>
      </c>
      <c r="D7" s="51">
        <f>IFERROR(IF(LARGE(IRTL!$H$7:$H$46*(IRTL!$L$7:$L$46&lt;&gt;"Complete")*(IRTL!$A$7:$A$46&lt;&gt;"")-ROW(IRTL!$A$7:$A$46)/100000,$A7)&lt;=0,"",INDEX(IRTL!$F$7:$F$46,MATCH(LARGE(IRTL!$H$7:$H$46*(IRTL!$L$7:$L$46&lt;&gt;"Complete")*(IRTL!$A$7:$A$46&lt;&gt;"")-ROW(IRTL!$A$7:$A$46)/100000,$A7),IRTL!$H$7:$H$46*(IRTL!$L$7:$L$46&lt;&gt;"Complete")*(IRTL!$A$7:$A$46&lt;&gt;"")-ROW(IRTL!$A$7:$A$46)/100000,0))),"")</f>
        <v/>
      </c>
      <c r="E7" s="51">
        <f>IFERROR(IF(LARGE(IRTL!$H$7:$H$46*(IRTL!$L$7:$L$46&lt;&gt;"Complete")*(IRTL!$A$7:$A$46&lt;&gt;"")-ROW(IRTL!$A$7:$A$46)/100000,$A7)&lt;=0,"",INDEX(IRTL!$G$7:$G$46,MATCH(LARGE(IRTL!$H$7:$H$46*(IRTL!$L$7:$L$46&lt;&gt;"Complete")*(IRTL!$A$7:$A$46&lt;&gt;"")-ROW(IRTL!$A$7:$A$46)/100000,$A7),IRTL!$H$7:$H$46*(IRTL!$L$7:$L$46&lt;&gt;"Complete")*(IRTL!$A$7:$A$46&lt;&gt;"")-ROW(IRTL!$A$7:$A$46)/100000,0))),"")</f>
        <v/>
      </c>
      <c r="F7" s="26">
        <f>IFERROR(IF(LARGE(IRTL!$H$7:$H$46*(IRTL!$L$7:$L$46&lt;&gt;"Complete")*(IRTL!$A$7:$A$46&lt;&gt;"")-ROW(IRTL!$A$7:$A$46)/100000,$A7)&lt;=0,"",INDEX(IRTL!$H$7:$H$46,MATCH(LARGE(IRTL!$H$7:$H$46*(IRTL!$L$7:$L$46&lt;&gt;"Complete")*(IRTL!$A$7:$A$46&lt;&gt;"")-ROW(IRTL!$A$7:$A$46)/100000,$A7),IRTL!$H$7:$H$46*(IRTL!$L$7:$L$46&lt;&gt;"Complete")*(IRTL!$A$7:$A$46&lt;&gt;"")-ROW(IRTL!$A$7:$A$46)/100000,0))),"")</f>
        <v/>
      </c>
      <c r="G7" s="51">
        <f>IFERROR(IF(LARGE(IRTL!$H$7:$H$46*(IRTL!$L$7:$L$46&lt;&gt;"Complete")*(IRTL!$A$7:$A$46&lt;&gt;"")-ROW(IRTL!$A$7:$A$46)/100000,$A7)&lt;=0,"",INDEX(IRTL!$I$7:$I$46,MATCH(LARGE(IRTL!$H$7:$H$46*(IRTL!$L$7:$L$46&lt;&gt;"Complete")*(IRTL!$A$7:$A$46&lt;&gt;"")-ROW(IRTL!$A$7:$A$46)/100000,$A7),IRTL!$H$7:$H$46*(IRTL!$L$7:$L$46&lt;&gt;"Complete")*(IRTL!$A$7:$A$46&lt;&gt;"")-ROW(IRTL!$A$7:$A$46)/100000,0))),"")</f>
        <v/>
      </c>
      <c r="H7" s="138">
        <f>IFERROR(IF(LARGE(IRTL!$H$7:$H$46*(IRTL!$L$7:$L$46&lt;&gt;"Complete")*(IRTL!$A$7:$A$46&lt;&gt;"")-ROW(IRTL!$A$7:$A$46)/100000,$A7)&lt;=0,"",INDEX(IRTL!$K$7:$K$46,MATCH(LARGE(IRTL!$H$7:$H$46*(IRTL!$L$7:$L$46&lt;&gt;"Complete")*(IRTL!$A$7:$A$46&lt;&gt;"")-ROW(IRTL!$A$7:$A$46)/100000,$A7),IRTL!$H$7:$H$46*(IRTL!$L$7:$L$46&lt;&gt;"Complete")*(IRTL!$A$7:$A$46&lt;&gt;"")-ROW(IRTL!$A$7:$A$46)/100000,0))),"")</f>
        <v/>
      </c>
      <c r="I7" s="51">
        <f>IFERROR(IF(LARGE(IRTL!$H$7:$H$46*(IRTL!$L$7:$L$46&lt;&gt;"Complete")*(IRTL!$A$7:$A$46&lt;&gt;"")-ROW(IRTL!$A$7:$A$46)/100000,$A7)&lt;=0,"",INDEX(IRTL!$L$7:$L$46,MATCH(LARGE(IRTL!$H$7:$H$46*(IRTL!$L$7:$L$46&lt;&gt;"Complete")*(IRTL!$A$7:$A$46&lt;&gt;"")-ROW(IRTL!$A$7:$A$46)/100000,$A7),IRTL!$H$7:$H$46*(IRTL!$L$7:$L$46&lt;&gt;"Complete")*(IRTL!$A$7:$A$46&lt;&gt;"")-ROW(IRTL!$A$7:$A$46)/100000,0))),"")</f>
        <v/>
      </c>
      <c r="J7" s="24">
        <f>IFERROR(IF(LARGE(IRTL!$H$7:$H$46*(IRTL!$L$7:$L$46&lt;&gt;"Complete")*(IRTL!$A$7:$A$46&lt;&gt;"")-ROW(IRTL!$A$7:$A$46)/100000,$A7)&lt;=0,"",INDEX(IRTL!$J$7:$J$46,MATCH(LARGE(IRTL!$H$7:$H$46*(IRTL!$L$7:$L$46&lt;&gt;"Complete")*(IRTL!$A$7:$A$46&lt;&gt;"")-ROW(IRTL!$A$7:$A$46)/100000,$A7),IRTL!$H$7:$H$46*(IRTL!$L$7:$L$46&lt;&gt;"Complete")*(IRTL!$A$7:$A$46&lt;&gt;"")-ROW(IRTL!$A$7:$A$46)/100000,0))),"")</f>
        <v/>
      </c>
    </row>
    <row r="8" ht="24" customHeight="1">
      <c r="A8" s="71" t="n">
        <v>2</v>
      </c>
      <c r="B8" s="51">
        <f>IFERROR(IF(LARGE(IRTL!$H$7:$H$46*(IRTL!$L$7:$L$46&lt;&gt;"Complete")*(IRTL!$A$7:$A$46&lt;&gt;"")-ROW(IRTL!$A$7:$A$46)/100000,$A8)&lt;=0,"",INDEX(IRTL!$A$7:$A$46,MATCH(LARGE(IRTL!$H$7:$H$46*(IRTL!$L$7:$L$46&lt;&gt;"Complete")*(IRTL!$A$7:$A$46&lt;&gt;"")-ROW(IRTL!$A$7:$A$46)/100000,$A8),IRTL!$H$7:$H$46*(IRTL!$L$7:$L$46&lt;&gt;"Complete")*(IRTL!$A$7:$A$46&lt;&gt;"")-ROW(IRTL!$A$7:$A$46)/100000,0))),"")</f>
        <v/>
      </c>
      <c r="C8" s="24">
        <f>IFERROR(IF(LARGE(IRTL!$H$7:$H$46*(IRTL!$L$7:$L$46&lt;&gt;"Complete")*(IRTL!$A$7:$A$46&lt;&gt;"")-ROW(IRTL!$A$7:$A$46)/100000,$A8)&lt;=0,"",INDEX(IRTL!$E$7:$E$46,MATCH(LARGE(IRTL!$H$7:$H$46*(IRTL!$L$7:$L$46&lt;&gt;"Complete")*(IRTL!$A$7:$A$46&lt;&gt;"")-ROW(IRTL!$A$7:$A$46)/100000,$A8),IRTL!$H$7:$H$46*(IRTL!$L$7:$L$46&lt;&gt;"Complete")*(IRTL!$A$7:$A$46&lt;&gt;"")-ROW(IRTL!$A$7:$A$46)/100000,0))),"")</f>
        <v/>
      </c>
      <c r="D8" s="51">
        <f>IFERROR(IF(LARGE(IRTL!$H$7:$H$46*(IRTL!$L$7:$L$46&lt;&gt;"Complete")*(IRTL!$A$7:$A$46&lt;&gt;"")-ROW(IRTL!$A$7:$A$46)/100000,$A8)&lt;=0,"",INDEX(IRTL!$F$7:$F$46,MATCH(LARGE(IRTL!$H$7:$H$46*(IRTL!$L$7:$L$46&lt;&gt;"Complete")*(IRTL!$A$7:$A$46&lt;&gt;"")-ROW(IRTL!$A$7:$A$46)/100000,$A8),IRTL!$H$7:$H$46*(IRTL!$L$7:$L$46&lt;&gt;"Complete")*(IRTL!$A$7:$A$46&lt;&gt;"")-ROW(IRTL!$A$7:$A$46)/100000,0))),"")</f>
        <v/>
      </c>
      <c r="E8" s="51">
        <f>IFERROR(IF(LARGE(IRTL!$H$7:$H$46*(IRTL!$L$7:$L$46&lt;&gt;"Complete")*(IRTL!$A$7:$A$46&lt;&gt;"")-ROW(IRTL!$A$7:$A$46)/100000,$A8)&lt;=0,"",INDEX(IRTL!$G$7:$G$46,MATCH(LARGE(IRTL!$H$7:$H$46*(IRTL!$L$7:$L$46&lt;&gt;"Complete")*(IRTL!$A$7:$A$46&lt;&gt;"")-ROW(IRTL!$A$7:$A$46)/100000,$A8),IRTL!$H$7:$H$46*(IRTL!$L$7:$L$46&lt;&gt;"Complete")*(IRTL!$A$7:$A$46&lt;&gt;"")-ROW(IRTL!$A$7:$A$46)/100000,0))),"")</f>
        <v/>
      </c>
      <c r="F8" s="26">
        <f>IFERROR(IF(LARGE(IRTL!$H$7:$H$46*(IRTL!$L$7:$L$46&lt;&gt;"Complete")*(IRTL!$A$7:$A$46&lt;&gt;"")-ROW(IRTL!$A$7:$A$46)/100000,$A8)&lt;=0,"",INDEX(IRTL!$H$7:$H$46,MATCH(LARGE(IRTL!$H$7:$H$46*(IRTL!$L$7:$L$46&lt;&gt;"Complete")*(IRTL!$A$7:$A$46&lt;&gt;"")-ROW(IRTL!$A$7:$A$46)/100000,$A8),IRTL!$H$7:$H$46*(IRTL!$L$7:$L$46&lt;&gt;"Complete")*(IRTL!$A$7:$A$46&lt;&gt;"")-ROW(IRTL!$A$7:$A$46)/100000,0))),"")</f>
        <v/>
      </c>
      <c r="G8" s="51">
        <f>IFERROR(IF(LARGE(IRTL!$H$7:$H$46*(IRTL!$L$7:$L$46&lt;&gt;"Complete")*(IRTL!$A$7:$A$46&lt;&gt;"")-ROW(IRTL!$A$7:$A$46)/100000,$A8)&lt;=0,"",INDEX(IRTL!$I$7:$I$46,MATCH(LARGE(IRTL!$H$7:$H$46*(IRTL!$L$7:$L$46&lt;&gt;"Complete")*(IRTL!$A$7:$A$46&lt;&gt;"")-ROW(IRTL!$A$7:$A$46)/100000,$A8),IRTL!$H$7:$H$46*(IRTL!$L$7:$L$46&lt;&gt;"Complete")*(IRTL!$A$7:$A$46&lt;&gt;"")-ROW(IRTL!$A$7:$A$46)/100000,0))),"")</f>
        <v/>
      </c>
      <c r="H8" s="138">
        <f>IFERROR(IF(LARGE(IRTL!$H$7:$H$46*(IRTL!$L$7:$L$46&lt;&gt;"Complete")*(IRTL!$A$7:$A$46&lt;&gt;"")-ROW(IRTL!$A$7:$A$46)/100000,$A8)&lt;=0,"",INDEX(IRTL!$K$7:$K$46,MATCH(LARGE(IRTL!$H$7:$H$46*(IRTL!$L$7:$L$46&lt;&gt;"Complete")*(IRTL!$A$7:$A$46&lt;&gt;"")-ROW(IRTL!$A$7:$A$46)/100000,$A8),IRTL!$H$7:$H$46*(IRTL!$L$7:$L$46&lt;&gt;"Complete")*(IRTL!$A$7:$A$46&lt;&gt;"")-ROW(IRTL!$A$7:$A$46)/100000,0))),"")</f>
        <v/>
      </c>
      <c r="I8" s="51">
        <f>IFERROR(IF(LARGE(IRTL!$H$7:$H$46*(IRTL!$L$7:$L$46&lt;&gt;"Complete")*(IRTL!$A$7:$A$46&lt;&gt;"")-ROW(IRTL!$A$7:$A$46)/100000,$A8)&lt;=0,"",INDEX(IRTL!$L$7:$L$46,MATCH(LARGE(IRTL!$H$7:$H$46*(IRTL!$L$7:$L$46&lt;&gt;"Complete")*(IRTL!$A$7:$A$46&lt;&gt;"")-ROW(IRTL!$A$7:$A$46)/100000,$A8),IRTL!$H$7:$H$46*(IRTL!$L$7:$L$46&lt;&gt;"Complete")*(IRTL!$A$7:$A$46&lt;&gt;"")-ROW(IRTL!$A$7:$A$46)/100000,0))),"")</f>
        <v/>
      </c>
      <c r="J8" s="24">
        <f>IFERROR(IF(LARGE(IRTL!$H$7:$H$46*(IRTL!$L$7:$L$46&lt;&gt;"Complete")*(IRTL!$A$7:$A$46&lt;&gt;"")-ROW(IRTL!$A$7:$A$46)/100000,$A8)&lt;=0,"",INDEX(IRTL!$J$7:$J$46,MATCH(LARGE(IRTL!$H$7:$H$46*(IRTL!$L$7:$L$46&lt;&gt;"Complete")*(IRTL!$A$7:$A$46&lt;&gt;"")-ROW(IRTL!$A$7:$A$46)/100000,$A8),IRTL!$H$7:$H$46*(IRTL!$L$7:$L$46&lt;&gt;"Complete")*(IRTL!$A$7:$A$46&lt;&gt;"")-ROW(IRTL!$A$7:$A$46)/100000,0))),"")</f>
        <v/>
      </c>
    </row>
    <row r="9" ht="24" customHeight="1">
      <c r="A9" s="71" t="n">
        <v>3</v>
      </c>
      <c r="B9" s="51">
        <f>IFERROR(IF(LARGE(IRTL!$H$7:$H$46*(IRTL!$L$7:$L$46&lt;&gt;"Complete")*(IRTL!$A$7:$A$46&lt;&gt;"")-ROW(IRTL!$A$7:$A$46)/100000,$A9)&lt;=0,"",INDEX(IRTL!$A$7:$A$46,MATCH(LARGE(IRTL!$H$7:$H$46*(IRTL!$L$7:$L$46&lt;&gt;"Complete")*(IRTL!$A$7:$A$46&lt;&gt;"")-ROW(IRTL!$A$7:$A$46)/100000,$A9),IRTL!$H$7:$H$46*(IRTL!$L$7:$L$46&lt;&gt;"Complete")*(IRTL!$A$7:$A$46&lt;&gt;"")-ROW(IRTL!$A$7:$A$46)/100000,0))),"")</f>
        <v/>
      </c>
      <c r="C9" s="24">
        <f>IFERROR(IF(LARGE(IRTL!$H$7:$H$46*(IRTL!$L$7:$L$46&lt;&gt;"Complete")*(IRTL!$A$7:$A$46&lt;&gt;"")-ROW(IRTL!$A$7:$A$46)/100000,$A9)&lt;=0,"",INDEX(IRTL!$E$7:$E$46,MATCH(LARGE(IRTL!$H$7:$H$46*(IRTL!$L$7:$L$46&lt;&gt;"Complete")*(IRTL!$A$7:$A$46&lt;&gt;"")-ROW(IRTL!$A$7:$A$46)/100000,$A9),IRTL!$H$7:$H$46*(IRTL!$L$7:$L$46&lt;&gt;"Complete")*(IRTL!$A$7:$A$46&lt;&gt;"")-ROW(IRTL!$A$7:$A$46)/100000,0))),"")</f>
        <v/>
      </c>
      <c r="D9" s="51">
        <f>IFERROR(IF(LARGE(IRTL!$H$7:$H$46*(IRTL!$L$7:$L$46&lt;&gt;"Complete")*(IRTL!$A$7:$A$46&lt;&gt;"")-ROW(IRTL!$A$7:$A$46)/100000,$A9)&lt;=0,"",INDEX(IRTL!$F$7:$F$46,MATCH(LARGE(IRTL!$H$7:$H$46*(IRTL!$L$7:$L$46&lt;&gt;"Complete")*(IRTL!$A$7:$A$46&lt;&gt;"")-ROW(IRTL!$A$7:$A$46)/100000,$A9),IRTL!$H$7:$H$46*(IRTL!$L$7:$L$46&lt;&gt;"Complete")*(IRTL!$A$7:$A$46&lt;&gt;"")-ROW(IRTL!$A$7:$A$46)/100000,0))),"")</f>
        <v/>
      </c>
      <c r="E9" s="51">
        <f>IFERROR(IF(LARGE(IRTL!$H$7:$H$46*(IRTL!$L$7:$L$46&lt;&gt;"Complete")*(IRTL!$A$7:$A$46&lt;&gt;"")-ROW(IRTL!$A$7:$A$46)/100000,$A9)&lt;=0,"",INDEX(IRTL!$G$7:$G$46,MATCH(LARGE(IRTL!$H$7:$H$46*(IRTL!$L$7:$L$46&lt;&gt;"Complete")*(IRTL!$A$7:$A$46&lt;&gt;"")-ROW(IRTL!$A$7:$A$46)/100000,$A9),IRTL!$H$7:$H$46*(IRTL!$L$7:$L$46&lt;&gt;"Complete")*(IRTL!$A$7:$A$46&lt;&gt;"")-ROW(IRTL!$A$7:$A$46)/100000,0))),"")</f>
        <v/>
      </c>
      <c r="F9" s="26">
        <f>IFERROR(IF(LARGE(IRTL!$H$7:$H$46*(IRTL!$L$7:$L$46&lt;&gt;"Complete")*(IRTL!$A$7:$A$46&lt;&gt;"")-ROW(IRTL!$A$7:$A$46)/100000,$A9)&lt;=0,"",INDEX(IRTL!$H$7:$H$46,MATCH(LARGE(IRTL!$H$7:$H$46*(IRTL!$L$7:$L$46&lt;&gt;"Complete")*(IRTL!$A$7:$A$46&lt;&gt;"")-ROW(IRTL!$A$7:$A$46)/100000,$A9),IRTL!$H$7:$H$46*(IRTL!$L$7:$L$46&lt;&gt;"Complete")*(IRTL!$A$7:$A$46&lt;&gt;"")-ROW(IRTL!$A$7:$A$46)/100000,0))),"")</f>
        <v/>
      </c>
      <c r="G9" s="51">
        <f>IFERROR(IF(LARGE(IRTL!$H$7:$H$46*(IRTL!$L$7:$L$46&lt;&gt;"Complete")*(IRTL!$A$7:$A$46&lt;&gt;"")-ROW(IRTL!$A$7:$A$46)/100000,$A9)&lt;=0,"",INDEX(IRTL!$I$7:$I$46,MATCH(LARGE(IRTL!$H$7:$H$46*(IRTL!$L$7:$L$46&lt;&gt;"Complete")*(IRTL!$A$7:$A$46&lt;&gt;"")-ROW(IRTL!$A$7:$A$46)/100000,$A9),IRTL!$H$7:$H$46*(IRTL!$L$7:$L$46&lt;&gt;"Complete")*(IRTL!$A$7:$A$46&lt;&gt;"")-ROW(IRTL!$A$7:$A$46)/100000,0))),"")</f>
        <v/>
      </c>
      <c r="H9" s="138">
        <f>IFERROR(IF(LARGE(IRTL!$H$7:$H$46*(IRTL!$L$7:$L$46&lt;&gt;"Complete")*(IRTL!$A$7:$A$46&lt;&gt;"")-ROW(IRTL!$A$7:$A$46)/100000,$A9)&lt;=0,"",INDEX(IRTL!$K$7:$K$46,MATCH(LARGE(IRTL!$H$7:$H$46*(IRTL!$L$7:$L$46&lt;&gt;"Complete")*(IRTL!$A$7:$A$46&lt;&gt;"")-ROW(IRTL!$A$7:$A$46)/100000,$A9),IRTL!$H$7:$H$46*(IRTL!$L$7:$L$46&lt;&gt;"Complete")*(IRTL!$A$7:$A$46&lt;&gt;"")-ROW(IRTL!$A$7:$A$46)/100000,0))),"")</f>
        <v/>
      </c>
      <c r="I9" s="51">
        <f>IFERROR(IF(LARGE(IRTL!$H$7:$H$46*(IRTL!$L$7:$L$46&lt;&gt;"Complete")*(IRTL!$A$7:$A$46&lt;&gt;"")-ROW(IRTL!$A$7:$A$46)/100000,$A9)&lt;=0,"",INDEX(IRTL!$L$7:$L$46,MATCH(LARGE(IRTL!$H$7:$H$46*(IRTL!$L$7:$L$46&lt;&gt;"Complete")*(IRTL!$A$7:$A$46&lt;&gt;"")-ROW(IRTL!$A$7:$A$46)/100000,$A9),IRTL!$H$7:$H$46*(IRTL!$L$7:$L$46&lt;&gt;"Complete")*(IRTL!$A$7:$A$46&lt;&gt;"")-ROW(IRTL!$A$7:$A$46)/100000,0))),"")</f>
        <v/>
      </c>
      <c r="J9" s="24">
        <f>IFERROR(IF(LARGE(IRTL!$H$7:$H$46*(IRTL!$L$7:$L$46&lt;&gt;"Complete")*(IRTL!$A$7:$A$46&lt;&gt;"")-ROW(IRTL!$A$7:$A$46)/100000,$A9)&lt;=0,"",INDEX(IRTL!$J$7:$J$46,MATCH(LARGE(IRTL!$H$7:$H$46*(IRTL!$L$7:$L$46&lt;&gt;"Complete")*(IRTL!$A$7:$A$46&lt;&gt;"")-ROW(IRTL!$A$7:$A$46)/100000,$A9),IRTL!$H$7:$H$46*(IRTL!$L$7:$L$46&lt;&gt;"Complete")*(IRTL!$A$7:$A$46&lt;&gt;"")-ROW(IRTL!$A$7:$A$46)/100000,0))),"")</f>
        <v/>
      </c>
    </row>
    <row r="10" ht="24" customHeight="1">
      <c r="A10" s="71" t="n">
        <v>4</v>
      </c>
      <c r="B10" s="51">
        <f>IFERROR(IF(LARGE(IRTL!$H$7:$H$46*(IRTL!$L$7:$L$46&lt;&gt;"Complete")*(IRTL!$A$7:$A$46&lt;&gt;"")-ROW(IRTL!$A$7:$A$46)/100000,$A10)&lt;=0,"",INDEX(IRTL!$A$7:$A$46,MATCH(LARGE(IRTL!$H$7:$H$46*(IRTL!$L$7:$L$46&lt;&gt;"Complete")*(IRTL!$A$7:$A$46&lt;&gt;"")-ROW(IRTL!$A$7:$A$46)/100000,$A10),IRTL!$H$7:$H$46*(IRTL!$L$7:$L$46&lt;&gt;"Complete")*(IRTL!$A$7:$A$46&lt;&gt;"")-ROW(IRTL!$A$7:$A$46)/100000,0))),"")</f>
        <v/>
      </c>
      <c r="C10" s="24">
        <f>IFERROR(IF(LARGE(IRTL!$H$7:$H$46*(IRTL!$L$7:$L$46&lt;&gt;"Complete")*(IRTL!$A$7:$A$46&lt;&gt;"")-ROW(IRTL!$A$7:$A$46)/100000,$A10)&lt;=0,"",INDEX(IRTL!$E$7:$E$46,MATCH(LARGE(IRTL!$H$7:$H$46*(IRTL!$L$7:$L$46&lt;&gt;"Complete")*(IRTL!$A$7:$A$46&lt;&gt;"")-ROW(IRTL!$A$7:$A$46)/100000,$A10),IRTL!$H$7:$H$46*(IRTL!$L$7:$L$46&lt;&gt;"Complete")*(IRTL!$A$7:$A$46&lt;&gt;"")-ROW(IRTL!$A$7:$A$46)/100000,0))),"")</f>
        <v/>
      </c>
      <c r="D10" s="51">
        <f>IFERROR(IF(LARGE(IRTL!$H$7:$H$46*(IRTL!$L$7:$L$46&lt;&gt;"Complete")*(IRTL!$A$7:$A$46&lt;&gt;"")-ROW(IRTL!$A$7:$A$46)/100000,$A10)&lt;=0,"",INDEX(IRTL!$F$7:$F$46,MATCH(LARGE(IRTL!$H$7:$H$46*(IRTL!$L$7:$L$46&lt;&gt;"Complete")*(IRTL!$A$7:$A$46&lt;&gt;"")-ROW(IRTL!$A$7:$A$46)/100000,$A10),IRTL!$H$7:$H$46*(IRTL!$L$7:$L$46&lt;&gt;"Complete")*(IRTL!$A$7:$A$46&lt;&gt;"")-ROW(IRTL!$A$7:$A$46)/100000,0))),"")</f>
        <v/>
      </c>
      <c r="E10" s="51">
        <f>IFERROR(IF(LARGE(IRTL!$H$7:$H$46*(IRTL!$L$7:$L$46&lt;&gt;"Complete")*(IRTL!$A$7:$A$46&lt;&gt;"")-ROW(IRTL!$A$7:$A$46)/100000,$A10)&lt;=0,"",INDEX(IRTL!$G$7:$G$46,MATCH(LARGE(IRTL!$H$7:$H$46*(IRTL!$L$7:$L$46&lt;&gt;"Complete")*(IRTL!$A$7:$A$46&lt;&gt;"")-ROW(IRTL!$A$7:$A$46)/100000,$A10),IRTL!$H$7:$H$46*(IRTL!$L$7:$L$46&lt;&gt;"Complete")*(IRTL!$A$7:$A$46&lt;&gt;"")-ROW(IRTL!$A$7:$A$46)/100000,0))),"")</f>
        <v/>
      </c>
      <c r="F10" s="26">
        <f>IFERROR(IF(LARGE(IRTL!$H$7:$H$46*(IRTL!$L$7:$L$46&lt;&gt;"Complete")*(IRTL!$A$7:$A$46&lt;&gt;"")-ROW(IRTL!$A$7:$A$46)/100000,$A10)&lt;=0,"",INDEX(IRTL!$H$7:$H$46,MATCH(LARGE(IRTL!$H$7:$H$46*(IRTL!$L$7:$L$46&lt;&gt;"Complete")*(IRTL!$A$7:$A$46&lt;&gt;"")-ROW(IRTL!$A$7:$A$46)/100000,$A10),IRTL!$H$7:$H$46*(IRTL!$L$7:$L$46&lt;&gt;"Complete")*(IRTL!$A$7:$A$46&lt;&gt;"")-ROW(IRTL!$A$7:$A$46)/100000,0))),"")</f>
        <v/>
      </c>
      <c r="G10" s="51">
        <f>IFERROR(IF(LARGE(IRTL!$H$7:$H$46*(IRTL!$L$7:$L$46&lt;&gt;"Complete")*(IRTL!$A$7:$A$46&lt;&gt;"")-ROW(IRTL!$A$7:$A$46)/100000,$A10)&lt;=0,"",INDEX(IRTL!$I$7:$I$46,MATCH(LARGE(IRTL!$H$7:$H$46*(IRTL!$L$7:$L$46&lt;&gt;"Complete")*(IRTL!$A$7:$A$46&lt;&gt;"")-ROW(IRTL!$A$7:$A$46)/100000,$A10),IRTL!$H$7:$H$46*(IRTL!$L$7:$L$46&lt;&gt;"Complete")*(IRTL!$A$7:$A$46&lt;&gt;"")-ROW(IRTL!$A$7:$A$46)/100000,0))),"")</f>
        <v/>
      </c>
      <c r="H10" s="138">
        <f>IFERROR(IF(LARGE(IRTL!$H$7:$H$46*(IRTL!$L$7:$L$46&lt;&gt;"Complete")*(IRTL!$A$7:$A$46&lt;&gt;"")-ROW(IRTL!$A$7:$A$46)/100000,$A10)&lt;=0,"",INDEX(IRTL!$K$7:$K$46,MATCH(LARGE(IRTL!$H$7:$H$46*(IRTL!$L$7:$L$46&lt;&gt;"Complete")*(IRTL!$A$7:$A$46&lt;&gt;"")-ROW(IRTL!$A$7:$A$46)/100000,$A10),IRTL!$H$7:$H$46*(IRTL!$L$7:$L$46&lt;&gt;"Complete")*(IRTL!$A$7:$A$46&lt;&gt;"")-ROW(IRTL!$A$7:$A$46)/100000,0))),"")</f>
        <v/>
      </c>
      <c r="I10" s="51">
        <f>IFERROR(IF(LARGE(IRTL!$H$7:$H$46*(IRTL!$L$7:$L$46&lt;&gt;"Complete")*(IRTL!$A$7:$A$46&lt;&gt;"")-ROW(IRTL!$A$7:$A$46)/100000,$A10)&lt;=0,"",INDEX(IRTL!$L$7:$L$46,MATCH(LARGE(IRTL!$H$7:$H$46*(IRTL!$L$7:$L$46&lt;&gt;"Complete")*(IRTL!$A$7:$A$46&lt;&gt;"")-ROW(IRTL!$A$7:$A$46)/100000,$A10),IRTL!$H$7:$H$46*(IRTL!$L$7:$L$46&lt;&gt;"Complete")*(IRTL!$A$7:$A$46&lt;&gt;"")-ROW(IRTL!$A$7:$A$46)/100000,0))),"")</f>
        <v/>
      </c>
      <c r="J10" s="24">
        <f>IFERROR(IF(LARGE(IRTL!$H$7:$H$46*(IRTL!$L$7:$L$46&lt;&gt;"Complete")*(IRTL!$A$7:$A$46&lt;&gt;"")-ROW(IRTL!$A$7:$A$46)/100000,$A10)&lt;=0,"",INDEX(IRTL!$J$7:$J$46,MATCH(LARGE(IRTL!$H$7:$H$46*(IRTL!$L$7:$L$46&lt;&gt;"Complete")*(IRTL!$A$7:$A$46&lt;&gt;"")-ROW(IRTL!$A$7:$A$46)/100000,$A10),IRTL!$H$7:$H$46*(IRTL!$L$7:$L$46&lt;&gt;"Complete")*(IRTL!$A$7:$A$46&lt;&gt;"")-ROW(IRTL!$A$7:$A$46)/100000,0))),"")</f>
        <v/>
      </c>
    </row>
    <row r="11" ht="24" customHeight="1">
      <c r="A11" s="71" t="n">
        <v>5</v>
      </c>
      <c r="B11" s="51">
        <f>IFERROR(IF(LARGE(IRTL!$H$7:$H$46*(IRTL!$L$7:$L$46&lt;&gt;"Complete")*(IRTL!$A$7:$A$46&lt;&gt;"")-ROW(IRTL!$A$7:$A$46)/100000,$A11)&lt;=0,"",INDEX(IRTL!$A$7:$A$46,MATCH(LARGE(IRTL!$H$7:$H$46*(IRTL!$L$7:$L$46&lt;&gt;"Complete")*(IRTL!$A$7:$A$46&lt;&gt;"")-ROW(IRTL!$A$7:$A$46)/100000,$A11),IRTL!$H$7:$H$46*(IRTL!$L$7:$L$46&lt;&gt;"Complete")*(IRTL!$A$7:$A$46&lt;&gt;"")-ROW(IRTL!$A$7:$A$46)/100000,0))),"")</f>
        <v/>
      </c>
      <c r="C11" s="24">
        <f>IFERROR(IF(LARGE(IRTL!$H$7:$H$46*(IRTL!$L$7:$L$46&lt;&gt;"Complete")*(IRTL!$A$7:$A$46&lt;&gt;"")-ROW(IRTL!$A$7:$A$46)/100000,$A11)&lt;=0,"",INDEX(IRTL!$E$7:$E$46,MATCH(LARGE(IRTL!$H$7:$H$46*(IRTL!$L$7:$L$46&lt;&gt;"Complete")*(IRTL!$A$7:$A$46&lt;&gt;"")-ROW(IRTL!$A$7:$A$46)/100000,$A11),IRTL!$H$7:$H$46*(IRTL!$L$7:$L$46&lt;&gt;"Complete")*(IRTL!$A$7:$A$46&lt;&gt;"")-ROW(IRTL!$A$7:$A$46)/100000,0))),"")</f>
        <v/>
      </c>
      <c r="D11" s="51">
        <f>IFERROR(IF(LARGE(IRTL!$H$7:$H$46*(IRTL!$L$7:$L$46&lt;&gt;"Complete")*(IRTL!$A$7:$A$46&lt;&gt;"")-ROW(IRTL!$A$7:$A$46)/100000,$A11)&lt;=0,"",INDEX(IRTL!$F$7:$F$46,MATCH(LARGE(IRTL!$H$7:$H$46*(IRTL!$L$7:$L$46&lt;&gt;"Complete")*(IRTL!$A$7:$A$46&lt;&gt;"")-ROW(IRTL!$A$7:$A$46)/100000,$A11),IRTL!$H$7:$H$46*(IRTL!$L$7:$L$46&lt;&gt;"Complete")*(IRTL!$A$7:$A$46&lt;&gt;"")-ROW(IRTL!$A$7:$A$46)/100000,0))),"")</f>
        <v/>
      </c>
      <c r="E11" s="51">
        <f>IFERROR(IF(LARGE(IRTL!$H$7:$H$46*(IRTL!$L$7:$L$46&lt;&gt;"Complete")*(IRTL!$A$7:$A$46&lt;&gt;"")-ROW(IRTL!$A$7:$A$46)/100000,$A11)&lt;=0,"",INDEX(IRTL!$G$7:$G$46,MATCH(LARGE(IRTL!$H$7:$H$46*(IRTL!$L$7:$L$46&lt;&gt;"Complete")*(IRTL!$A$7:$A$46&lt;&gt;"")-ROW(IRTL!$A$7:$A$46)/100000,$A11),IRTL!$H$7:$H$46*(IRTL!$L$7:$L$46&lt;&gt;"Complete")*(IRTL!$A$7:$A$46&lt;&gt;"")-ROW(IRTL!$A$7:$A$46)/100000,0))),"")</f>
        <v/>
      </c>
      <c r="F11" s="26">
        <f>IFERROR(IF(LARGE(IRTL!$H$7:$H$46*(IRTL!$L$7:$L$46&lt;&gt;"Complete")*(IRTL!$A$7:$A$46&lt;&gt;"")-ROW(IRTL!$A$7:$A$46)/100000,$A11)&lt;=0,"",INDEX(IRTL!$H$7:$H$46,MATCH(LARGE(IRTL!$H$7:$H$46*(IRTL!$L$7:$L$46&lt;&gt;"Complete")*(IRTL!$A$7:$A$46&lt;&gt;"")-ROW(IRTL!$A$7:$A$46)/100000,$A11),IRTL!$H$7:$H$46*(IRTL!$L$7:$L$46&lt;&gt;"Complete")*(IRTL!$A$7:$A$46&lt;&gt;"")-ROW(IRTL!$A$7:$A$46)/100000,0))),"")</f>
        <v/>
      </c>
      <c r="G11" s="51">
        <f>IFERROR(IF(LARGE(IRTL!$H$7:$H$46*(IRTL!$L$7:$L$46&lt;&gt;"Complete")*(IRTL!$A$7:$A$46&lt;&gt;"")-ROW(IRTL!$A$7:$A$46)/100000,$A11)&lt;=0,"",INDEX(IRTL!$I$7:$I$46,MATCH(LARGE(IRTL!$H$7:$H$46*(IRTL!$L$7:$L$46&lt;&gt;"Complete")*(IRTL!$A$7:$A$46&lt;&gt;"")-ROW(IRTL!$A$7:$A$46)/100000,$A11),IRTL!$H$7:$H$46*(IRTL!$L$7:$L$46&lt;&gt;"Complete")*(IRTL!$A$7:$A$46&lt;&gt;"")-ROW(IRTL!$A$7:$A$46)/100000,0))),"")</f>
        <v/>
      </c>
      <c r="H11" s="138">
        <f>IFERROR(IF(LARGE(IRTL!$H$7:$H$46*(IRTL!$L$7:$L$46&lt;&gt;"Complete")*(IRTL!$A$7:$A$46&lt;&gt;"")-ROW(IRTL!$A$7:$A$46)/100000,$A11)&lt;=0,"",INDEX(IRTL!$K$7:$K$46,MATCH(LARGE(IRTL!$H$7:$H$46*(IRTL!$L$7:$L$46&lt;&gt;"Complete")*(IRTL!$A$7:$A$46&lt;&gt;"")-ROW(IRTL!$A$7:$A$46)/100000,$A11),IRTL!$H$7:$H$46*(IRTL!$L$7:$L$46&lt;&gt;"Complete")*(IRTL!$A$7:$A$46&lt;&gt;"")-ROW(IRTL!$A$7:$A$46)/100000,0))),"")</f>
        <v/>
      </c>
      <c r="I11" s="51">
        <f>IFERROR(IF(LARGE(IRTL!$H$7:$H$46*(IRTL!$L$7:$L$46&lt;&gt;"Complete")*(IRTL!$A$7:$A$46&lt;&gt;"")-ROW(IRTL!$A$7:$A$46)/100000,$A11)&lt;=0,"",INDEX(IRTL!$L$7:$L$46,MATCH(LARGE(IRTL!$H$7:$H$46*(IRTL!$L$7:$L$46&lt;&gt;"Complete")*(IRTL!$A$7:$A$46&lt;&gt;"")-ROW(IRTL!$A$7:$A$46)/100000,$A11),IRTL!$H$7:$H$46*(IRTL!$L$7:$L$46&lt;&gt;"Complete")*(IRTL!$A$7:$A$46&lt;&gt;"")-ROW(IRTL!$A$7:$A$46)/100000,0))),"")</f>
        <v/>
      </c>
      <c r="J11" s="24">
        <f>IFERROR(IF(LARGE(IRTL!$H$7:$H$46*(IRTL!$L$7:$L$46&lt;&gt;"Complete")*(IRTL!$A$7:$A$46&lt;&gt;"")-ROW(IRTL!$A$7:$A$46)/100000,$A11)&lt;=0,"",INDEX(IRTL!$J$7:$J$46,MATCH(LARGE(IRTL!$H$7:$H$46*(IRTL!$L$7:$L$46&lt;&gt;"Complete")*(IRTL!$A$7:$A$46&lt;&gt;"")-ROW(IRTL!$A$7:$A$46)/100000,$A11),IRTL!$H$7:$H$46*(IRTL!$L$7:$L$46&lt;&gt;"Complete")*(IRTL!$A$7:$A$46&lt;&gt;"")-ROW(IRTL!$A$7:$A$46)/100000,0))),"")</f>
        <v/>
      </c>
    </row>
    <row r="12" ht="24" customHeight="1">
      <c r="A12" s="71" t="n">
        <v>6</v>
      </c>
      <c r="B12" s="51">
        <f>IFERROR(IF(LARGE(IRTL!$H$7:$H$46*(IRTL!$L$7:$L$46&lt;&gt;"Complete")*(IRTL!$A$7:$A$46&lt;&gt;"")-ROW(IRTL!$A$7:$A$46)/100000,$A12)&lt;=0,"",INDEX(IRTL!$A$7:$A$46,MATCH(LARGE(IRTL!$H$7:$H$46*(IRTL!$L$7:$L$46&lt;&gt;"Complete")*(IRTL!$A$7:$A$46&lt;&gt;"")-ROW(IRTL!$A$7:$A$46)/100000,$A12),IRTL!$H$7:$H$46*(IRTL!$L$7:$L$46&lt;&gt;"Complete")*(IRTL!$A$7:$A$46&lt;&gt;"")-ROW(IRTL!$A$7:$A$46)/100000,0))),"")</f>
        <v/>
      </c>
      <c r="C12" s="24">
        <f>IFERROR(IF(LARGE(IRTL!$H$7:$H$46*(IRTL!$L$7:$L$46&lt;&gt;"Complete")*(IRTL!$A$7:$A$46&lt;&gt;"")-ROW(IRTL!$A$7:$A$46)/100000,$A12)&lt;=0,"",INDEX(IRTL!$E$7:$E$46,MATCH(LARGE(IRTL!$H$7:$H$46*(IRTL!$L$7:$L$46&lt;&gt;"Complete")*(IRTL!$A$7:$A$46&lt;&gt;"")-ROW(IRTL!$A$7:$A$46)/100000,$A12),IRTL!$H$7:$H$46*(IRTL!$L$7:$L$46&lt;&gt;"Complete")*(IRTL!$A$7:$A$46&lt;&gt;"")-ROW(IRTL!$A$7:$A$46)/100000,0))),"")</f>
        <v/>
      </c>
      <c r="D12" s="51">
        <f>IFERROR(IF(LARGE(IRTL!$H$7:$H$46*(IRTL!$L$7:$L$46&lt;&gt;"Complete")*(IRTL!$A$7:$A$46&lt;&gt;"")-ROW(IRTL!$A$7:$A$46)/100000,$A12)&lt;=0,"",INDEX(IRTL!$F$7:$F$46,MATCH(LARGE(IRTL!$H$7:$H$46*(IRTL!$L$7:$L$46&lt;&gt;"Complete")*(IRTL!$A$7:$A$46&lt;&gt;"")-ROW(IRTL!$A$7:$A$46)/100000,$A12),IRTL!$H$7:$H$46*(IRTL!$L$7:$L$46&lt;&gt;"Complete")*(IRTL!$A$7:$A$46&lt;&gt;"")-ROW(IRTL!$A$7:$A$46)/100000,0))),"")</f>
        <v/>
      </c>
      <c r="E12" s="51">
        <f>IFERROR(IF(LARGE(IRTL!$H$7:$H$46*(IRTL!$L$7:$L$46&lt;&gt;"Complete")*(IRTL!$A$7:$A$46&lt;&gt;"")-ROW(IRTL!$A$7:$A$46)/100000,$A12)&lt;=0,"",INDEX(IRTL!$G$7:$G$46,MATCH(LARGE(IRTL!$H$7:$H$46*(IRTL!$L$7:$L$46&lt;&gt;"Complete")*(IRTL!$A$7:$A$46&lt;&gt;"")-ROW(IRTL!$A$7:$A$46)/100000,$A12),IRTL!$H$7:$H$46*(IRTL!$L$7:$L$46&lt;&gt;"Complete")*(IRTL!$A$7:$A$46&lt;&gt;"")-ROW(IRTL!$A$7:$A$46)/100000,0))),"")</f>
        <v/>
      </c>
      <c r="F12" s="26">
        <f>IFERROR(IF(LARGE(IRTL!$H$7:$H$46*(IRTL!$L$7:$L$46&lt;&gt;"Complete")*(IRTL!$A$7:$A$46&lt;&gt;"")-ROW(IRTL!$A$7:$A$46)/100000,$A12)&lt;=0,"",INDEX(IRTL!$H$7:$H$46,MATCH(LARGE(IRTL!$H$7:$H$46*(IRTL!$L$7:$L$46&lt;&gt;"Complete")*(IRTL!$A$7:$A$46&lt;&gt;"")-ROW(IRTL!$A$7:$A$46)/100000,$A12),IRTL!$H$7:$H$46*(IRTL!$L$7:$L$46&lt;&gt;"Complete")*(IRTL!$A$7:$A$46&lt;&gt;"")-ROW(IRTL!$A$7:$A$46)/100000,0))),"")</f>
        <v/>
      </c>
      <c r="G12" s="51">
        <f>IFERROR(IF(LARGE(IRTL!$H$7:$H$46*(IRTL!$L$7:$L$46&lt;&gt;"Complete")*(IRTL!$A$7:$A$46&lt;&gt;"")-ROW(IRTL!$A$7:$A$46)/100000,$A12)&lt;=0,"",INDEX(IRTL!$I$7:$I$46,MATCH(LARGE(IRTL!$H$7:$H$46*(IRTL!$L$7:$L$46&lt;&gt;"Complete")*(IRTL!$A$7:$A$46&lt;&gt;"")-ROW(IRTL!$A$7:$A$46)/100000,$A12),IRTL!$H$7:$H$46*(IRTL!$L$7:$L$46&lt;&gt;"Complete")*(IRTL!$A$7:$A$46&lt;&gt;"")-ROW(IRTL!$A$7:$A$46)/100000,0))),"")</f>
        <v/>
      </c>
      <c r="H12" s="138">
        <f>IFERROR(IF(LARGE(IRTL!$H$7:$H$46*(IRTL!$L$7:$L$46&lt;&gt;"Complete")*(IRTL!$A$7:$A$46&lt;&gt;"")-ROW(IRTL!$A$7:$A$46)/100000,$A12)&lt;=0,"",INDEX(IRTL!$K$7:$K$46,MATCH(LARGE(IRTL!$H$7:$H$46*(IRTL!$L$7:$L$46&lt;&gt;"Complete")*(IRTL!$A$7:$A$46&lt;&gt;"")-ROW(IRTL!$A$7:$A$46)/100000,$A12),IRTL!$H$7:$H$46*(IRTL!$L$7:$L$46&lt;&gt;"Complete")*(IRTL!$A$7:$A$46&lt;&gt;"")-ROW(IRTL!$A$7:$A$46)/100000,0))),"")</f>
        <v/>
      </c>
      <c r="I12" s="51">
        <f>IFERROR(IF(LARGE(IRTL!$H$7:$H$46*(IRTL!$L$7:$L$46&lt;&gt;"Complete")*(IRTL!$A$7:$A$46&lt;&gt;"")-ROW(IRTL!$A$7:$A$46)/100000,$A12)&lt;=0,"",INDEX(IRTL!$L$7:$L$46,MATCH(LARGE(IRTL!$H$7:$H$46*(IRTL!$L$7:$L$46&lt;&gt;"Complete")*(IRTL!$A$7:$A$46&lt;&gt;"")-ROW(IRTL!$A$7:$A$46)/100000,$A12),IRTL!$H$7:$H$46*(IRTL!$L$7:$L$46&lt;&gt;"Complete")*(IRTL!$A$7:$A$46&lt;&gt;"")-ROW(IRTL!$A$7:$A$46)/100000,0))),"")</f>
        <v/>
      </c>
      <c r="J12" s="24">
        <f>IFERROR(IF(LARGE(IRTL!$H$7:$H$46*(IRTL!$L$7:$L$46&lt;&gt;"Complete")*(IRTL!$A$7:$A$46&lt;&gt;"")-ROW(IRTL!$A$7:$A$46)/100000,$A12)&lt;=0,"",INDEX(IRTL!$J$7:$J$46,MATCH(LARGE(IRTL!$H$7:$H$46*(IRTL!$L$7:$L$46&lt;&gt;"Complete")*(IRTL!$A$7:$A$46&lt;&gt;"")-ROW(IRTL!$A$7:$A$46)/100000,$A12),IRTL!$H$7:$H$46*(IRTL!$L$7:$L$46&lt;&gt;"Complete")*(IRTL!$A$7:$A$46&lt;&gt;"")-ROW(IRTL!$A$7:$A$46)/100000,0))),"")</f>
        <v/>
      </c>
    </row>
    <row r="13" ht="24" customHeight="1">
      <c r="A13" s="71" t="n">
        <v>7</v>
      </c>
      <c r="B13" s="51">
        <f>IFERROR(IF(LARGE(IRTL!$H$7:$H$46*(IRTL!$L$7:$L$46&lt;&gt;"Complete")*(IRTL!$A$7:$A$46&lt;&gt;"")-ROW(IRTL!$A$7:$A$46)/100000,$A13)&lt;=0,"",INDEX(IRTL!$A$7:$A$46,MATCH(LARGE(IRTL!$H$7:$H$46*(IRTL!$L$7:$L$46&lt;&gt;"Complete")*(IRTL!$A$7:$A$46&lt;&gt;"")-ROW(IRTL!$A$7:$A$46)/100000,$A13),IRTL!$H$7:$H$46*(IRTL!$L$7:$L$46&lt;&gt;"Complete")*(IRTL!$A$7:$A$46&lt;&gt;"")-ROW(IRTL!$A$7:$A$46)/100000,0))),"")</f>
        <v/>
      </c>
      <c r="C13" s="24">
        <f>IFERROR(IF(LARGE(IRTL!$H$7:$H$46*(IRTL!$L$7:$L$46&lt;&gt;"Complete")*(IRTL!$A$7:$A$46&lt;&gt;"")-ROW(IRTL!$A$7:$A$46)/100000,$A13)&lt;=0,"",INDEX(IRTL!$E$7:$E$46,MATCH(LARGE(IRTL!$H$7:$H$46*(IRTL!$L$7:$L$46&lt;&gt;"Complete")*(IRTL!$A$7:$A$46&lt;&gt;"")-ROW(IRTL!$A$7:$A$46)/100000,$A13),IRTL!$H$7:$H$46*(IRTL!$L$7:$L$46&lt;&gt;"Complete")*(IRTL!$A$7:$A$46&lt;&gt;"")-ROW(IRTL!$A$7:$A$46)/100000,0))),"")</f>
        <v/>
      </c>
      <c r="D13" s="51">
        <f>IFERROR(IF(LARGE(IRTL!$H$7:$H$46*(IRTL!$L$7:$L$46&lt;&gt;"Complete")*(IRTL!$A$7:$A$46&lt;&gt;"")-ROW(IRTL!$A$7:$A$46)/100000,$A13)&lt;=0,"",INDEX(IRTL!$F$7:$F$46,MATCH(LARGE(IRTL!$H$7:$H$46*(IRTL!$L$7:$L$46&lt;&gt;"Complete")*(IRTL!$A$7:$A$46&lt;&gt;"")-ROW(IRTL!$A$7:$A$46)/100000,$A13),IRTL!$H$7:$H$46*(IRTL!$L$7:$L$46&lt;&gt;"Complete")*(IRTL!$A$7:$A$46&lt;&gt;"")-ROW(IRTL!$A$7:$A$46)/100000,0))),"")</f>
        <v/>
      </c>
      <c r="E13" s="51">
        <f>IFERROR(IF(LARGE(IRTL!$H$7:$H$46*(IRTL!$L$7:$L$46&lt;&gt;"Complete")*(IRTL!$A$7:$A$46&lt;&gt;"")-ROW(IRTL!$A$7:$A$46)/100000,$A13)&lt;=0,"",INDEX(IRTL!$G$7:$G$46,MATCH(LARGE(IRTL!$H$7:$H$46*(IRTL!$L$7:$L$46&lt;&gt;"Complete")*(IRTL!$A$7:$A$46&lt;&gt;"")-ROW(IRTL!$A$7:$A$46)/100000,$A13),IRTL!$H$7:$H$46*(IRTL!$L$7:$L$46&lt;&gt;"Complete")*(IRTL!$A$7:$A$46&lt;&gt;"")-ROW(IRTL!$A$7:$A$46)/100000,0))),"")</f>
        <v/>
      </c>
      <c r="F13" s="26">
        <f>IFERROR(IF(LARGE(IRTL!$H$7:$H$46*(IRTL!$L$7:$L$46&lt;&gt;"Complete")*(IRTL!$A$7:$A$46&lt;&gt;"")-ROW(IRTL!$A$7:$A$46)/100000,$A13)&lt;=0,"",INDEX(IRTL!$H$7:$H$46,MATCH(LARGE(IRTL!$H$7:$H$46*(IRTL!$L$7:$L$46&lt;&gt;"Complete")*(IRTL!$A$7:$A$46&lt;&gt;"")-ROW(IRTL!$A$7:$A$46)/100000,$A13),IRTL!$H$7:$H$46*(IRTL!$L$7:$L$46&lt;&gt;"Complete")*(IRTL!$A$7:$A$46&lt;&gt;"")-ROW(IRTL!$A$7:$A$46)/100000,0))),"")</f>
        <v/>
      </c>
      <c r="G13" s="51">
        <f>IFERROR(IF(LARGE(IRTL!$H$7:$H$46*(IRTL!$L$7:$L$46&lt;&gt;"Complete")*(IRTL!$A$7:$A$46&lt;&gt;"")-ROW(IRTL!$A$7:$A$46)/100000,$A13)&lt;=0,"",INDEX(IRTL!$I$7:$I$46,MATCH(LARGE(IRTL!$H$7:$H$46*(IRTL!$L$7:$L$46&lt;&gt;"Complete")*(IRTL!$A$7:$A$46&lt;&gt;"")-ROW(IRTL!$A$7:$A$46)/100000,$A13),IRTL!$H$7:$H$46*(IRTL!$L$7:$L$46&lt;&gt;"Complete")*(IRTL!$A$7:$A$46&lt;&gt;"")-ROW(IRTL!$A$7:$A$46)/100000,0))),"")</f>
        <v/>
      </c>
      <c r="H13" s="138">
        <f>IFERROR(IF(LARGE(IRTL!$H$7:$H$46*(IRTL!$L$7:$L$46&lt;&gt;"Complete")*(IRTL!$A$7:$A$46&lt;&gt;"")-ROW(IRTL!$A$7:$A$46)/100000,$A13)&lt;=0,"",INDEX(IRTL!$K$7:$K$46,MATCH(LARGE(IRTL!$H$7:$H$46*(IRTL!$L$7:$L$46&lt;&gt;"Complete")*(IRTL!$A$7:$A$46&lt;&gt;"")-ROW(IRTL!$A$7:$A$46)/100000,$A13),IRTL!$H$7:$H$46*(IRTL!$L$7:$L$46&lt;&gt;"Complete")*(IRTL!$A$7:$A$46&lt;&gt;"")-ROW(IRTL!$A$7:$A$46)/100000,0))),"")</f>
        <v/>
      </c>
      <c r="I13" s="51">
        <f>IFERROR(IF(LARGE(IRTL!$H$7:$H$46*(IRTL!$L$7:$L$46&lt;&gt;"Complete")*(IRTL!$A$7:$A$46&lt;&gt;"")-ROW(IRTL!$A$7:$A$46)/100000,$A13)&lt;=0,"",INDEX(IRTL!$L$7:$L$46,MATCH(LARGE(IRTL!$H$7:$H$46*(IRTL!$L$7:$L$46&lt;&gt;"Complete")*(IRTL!$A$7:$A$46&lt;&gt;"")-ROW(IRTL!$A$7:$A$46)/100000,$A13),IRTL!$H$7:$H$46*(IRTL!$L$7:$L$46&lt;&gt;"Complete")*(IRTL!$A$7:$A$46&lt;&gt;"")-ROW(IRTL!$A$7:$A$46)/100000,0))),"")</f>
        <v/>
      </c>
      <c r="J13" s="24">
        <f>IFERROR(IF(LARGE(IRTL!$H$7:$H$46*(IRTL!$L$7:$L$46&lt;&gt;"Complete")*(IRTL!$A$7:$A$46&lt;&gt;"")-ROW(IRTL!$A$7:$A$46)/100000,$A13)&lt;=0,"",INDEX(IRTL!$J$7:$J$46,MATCH(LARGE(IRTL!$H$7:$H$46*(IRTL!$L$7:$L$46&lt;&gt;"Complete")*(IRTL!$A$7:$A$46&lt;&gt;"")-ROW(IRTL!$A$7:$A$46)/100000,$A13),IRTL!$H$7:$H$46*(IRTL!$L$7:$L$46&lt;&gt;"Complete")*(IRTL!$A$7:$A$46&lt;&gt;"")-ROW(IRTL!$A$7:$A$46)/100000,0))),"")</f>
        <v/>
      </c>
    </row>
    <row r="14" ht="24" customHeight="1">
      <c r="A14" s="71" t="n">
        <v>8</v>
      </c>
      <c r="B14" s="51">
        <f>IFERROR(IF(LARGE(IRTL!$H$7:$H$46*(IRTL!$L$7:$L$46&lt;&gt;"Complete")*(IRTL!$A$7:$A$46&lt;&gt;"")-ROW(IRTL!$A$7:$A$46)/100000,$A14)&lt;=0,"",INDEX(IRTL!$A$7:$A$46,MATCH(LARGE(IRTL!$H$7:$H$46*(IRTL!$L$7:$L$46&lt;&gt;"Complete")*(IRTL!$A$7:$A$46&lt;&gt;"")-ROW(IRTL!$A$7:$A$46)/100000,$A14),IRTL!$H$7:$H$46*(IRTL!$L$7:$L$46&lt;&gt;"Complete")*(IRTL!$A$7:$A$46&lt;&gt;"")-ROW(IRTL!$A$7:$A$46)/100000,0))),"")</f>
        <v/>
      </c>
      <c r="C14" s="24">
        <f>IFERROR(IF(LARGE(IRTL!$H$7:$H$46*(IRTL!$L$7:$L$46&lt;&gt;"Complete")*(IRTL!$A$7:$A$46&lt;&gt;"")-ROW(IRTL!$A$7:$A$46)/100000,$A14)&lt;=0,"",INDEX(IRTL!$E$7:$E$46,MATCH(LARGE(IRTL!$H$7:$H$46*(IRTL!$L$7:$L$46&lt;&gt;"Complete")*(IRTL!$A$7:$A$46&lt;&gt;"")-ROW(IRTL!$A$7:$A$46)/100000,$A14),IRTL!$H$7:$H$46*(IRTL!$L$7:$L$46&lt;&gt;"Complete")*(IRTL!$A$7:$A$46&lt;&gt;"")-ROW(IRTL!$A$7:$A$46)/100000,0))),"")</f>
        <v/>
      </c>
      <c r="D14" s="51">
        <f>IFERROR(IF(LARGE(IRTL!$H$7:$H$46*(IRTL!$L$7:$L$46&lt;&gt;"Complete")*(IRTL!$A$7:$A$46&lt;&gt;"")-ROW(IRTL!$A$7:$A$46)/100000,$A14)&lt;=0,"",INDEX(IRTL!$F$7:$F$46,MATCH(LARGE(IRTL!$H$7:$H$46*(IRTL!$L$7:$L$46&lt;&gt;"Complete")*(IRTL!$A$7:$A$46&lt;&gt;"")-ROW(IRTL!$A$7:$A$46)/100000,$A14),IRTL!$H$7:$H$46*(IRTL!$L$7:$L$46&lt;&gt;"Complete")*(IRTL!$A$7:$A$46&lt;&gt;"")-ROW(IRTL!$A$7:$A$46)/100000,0))),"")</f>
        <v/>
      </c>
      <c r="E14" s="51">
        <f>IFERROR(IF(LARGE(IRTL!$H$7:$H$46*(IRTL!$L$7:$L$46&lt;&gt;"Complete")*(IRTL!$A$7:$A$46&lt;&gt;"")-ROW(IRTL!$A$7:$A$46)/100000,$A14)&lt;=0,"",INDEX(IRTL!$G$7:$G$46,MATCH(LARGE(IRTL!$H$7:$H$46*(IRTL!$L$7:$L$46&lt;&gt;"Complete")*(IRTL!$A$7:$A$46&lt;&gt;"")-ROW(IRTL!$A$7:$A$46)/100000,$A14),IRTL!$H$7:$H$46*(IRTL!$L$7:$L$46&lt;&gt;"Complete")*(IRTL!$A$7:$A$46&lt;&gt;"")-ROW(IRTL!$A$7:$A$46)/100000,0))),"")</f>
        <v/>
      </c>
      <c r="F14" s="26">
        <f>IFERROR(IF(LARGE(IRTL!$H$7:$H$46*(IRTL!$L$7:$L$46&lt;&gt;"Complete")*(IRTL!$A$7:$A$46&lt;&gt;"")-ROW(IRTL!$A$7:$A$46)/100000,$A14)&lt;=0,"",INDEX(IRTL!$H$7:$H$46,MATCH(LARGE(IRTL!$H$7:$H$46*(IRTL!$L$7:$L$46&lt;&gt;"Complete")*(IRTL!$A$7:$A$46&lt;&gt;"")-ROW(IRTL!$A$7:$A$46)/100000,$A14),IRTL!$H$7:$H$46*(IRTL!$L$7:$L$46&lt;&gt;"Complete")*(IRTL!$A$7:$A$46&lt;&gt;"")-ROW(IRTL!$A$7:$A$46)/100000,0))),"")</f>
        <v/>
      </c>
      <c r="G14" s="51">
        <f>IFERROR(IF(LARGE(IRTL!$H$7:$H$46*(IRTL!$L$7:$L$46&lt;&gt;"Complete")*(IRTL!$A$7:$A$46&lt;&gt;"")-ROW(IRTL!$A$7:$A$46)/100000,$A14)&lt;=0,"",INDEX(IRTL!$I$7:$I$46,MATCH(LARGE(IRTL!$H$7:$H$46*(IRTL!$L$7:$L$46&lt;&gt;"Complete")*(IRTL!$A$7:$A$46&lt;&gt;"")-ROW(IRTL!$A$7:$A$46)/100000,$A14),IRTL!$H$7:$H$46*(IRTL!$L$7:$L$46&lt;&gt;"Complete")*(IRTL!$A$7:$A$46&lt;&gt;"")-ROW(IRTL!$A$7:$A$46)/100000,0))),"")</f>
        <v/>
      </c>
      <c r="H14" s="138">
        <f>IFERROR(IF(LARGE(IRTL!$H$7:$H$46*(IRTL!$L$7:$L$46&lt;&gt;"Complete")*(IRTL!$A$7:$A$46&lt;&gt;"")-ROW(IRTL!$A$7:$A$46)/100000,$A14)&lt;=0,"",INDEX(IRTL!$K$7:$K$46,MATCH(LARGE(IRTL!$H$7:$H$46*(IRTL!$L$7:$L$46&lt;&gt;"Complete")*(IRTL!$A$7:$A$46&lt;&gt;"")-ROW(IRTL!$A$7:$A$46)/100000,$A14),IRTL!$H$7:$H$46*(IRTL!$L$7:$L$46&lt;&gt;"Complete")*(IRTL!$A$7:$A$46&lt;&gt;"")-ROW(IRTL!$A$7:$A$46)/100000,0))),"")</f>
        <v/>
      </c>
      <c r="I14" s="51">
        <f>IFERROR(IF(LARGE(IRTL!$H$7:$H$46*(IRTL!$L$7:$L$46&lt;&gt;"Complete")*(IRTL!$A$7:$A$46&lt;&gt;"")-ROW(IRTL!$A$7:$A$46)/100000,$A14)&lt;=0,"",INDEX(IRTL!$L$7:$L$46,MATCH(LARGE(IRTL!$H$7:$H$46*(IRTL!$L$7:$L$46&lt;&gt;"Complete")*(IRTL!$A$7:$A$46&lt;&gt;"")-ROW(IRTL!$A$7:$A$46)/100000,$A14),IRTL!$H$7:$H$46*(IRTL!$L$7:$L$46&lt;&gt;"Complete")*(IRTL!$A$7:$A$46&lt;&gt;"")-ROW(IRTL!$A$7:$A$46)/100000,0))),"")</f>
        <v/>
      </c>
      <c r="J14" s="24">
        <f>IFERROR(IF(LARGE(IRTL!$H$7:$H$46*(IRTL!$L$7:$L$46&lt;&gt;"Complete")*(IRTL!$A$7:$A$46&lt;&gt;"")-ROW(IRTL!$A$7:$A$46)/100000,$A14)&lt;=0,"",INDEX(IRTL!$J$7:$J$46,MATCH(LARGE(IRTL!$H$7:$H$46*(IRTL!$L$7:$L$46&lt;&gt;"Complete")*(IRTL!$A$7:$A$46&lt;&gt;"")-ROW(IRTL!$A$7:$A$46)/100000,$A14),IRTL!$H$7:$H$46*(IRTL!$L$7:$L$46&lt;&gt;"Complete")*(IRTL!$A$7:$A$46&lt;&gt;"")-ROW(IRTL!$A$7:$A$46)/100000,0))),"")</f>
        <v/>
      </c>
    </row>
    <row r="15" ht="24" customHeight="1">
      <c r="A15" s="71" t="n">
        <v>9</v>
      </c>
      <c r="B15" s="51">
        <f>IFERROR(IF(LARGE(IRTL!$H$7:$H$46*(IRTL!$L$7:$L$46&lt;&gt;"Complete")*(IRTL!$A$7:$A$46&lt;&gt;"")-ROW(IRTL!$A$7:$A$46)/100000,$A15)&lt;=0,"",INDEX(IRTL!$A$7:$A$46,MATCH(LARGE(IRTL!$H$7:$H$46*(IRTL!$L$7:$L$46&lt;&gt;"Complete")*(IRTL!$A$7:$A$46&lt;&gt;"")-ROW(IRTL!$A$7:$A$46)/100000,$A15),IRTL!$H$7:$H$46*(IRTL!$L$7:$L$46&lt;&gt;"Complete")*(IRTL!$A$7:$A$46&lt;&gt;"")-ROW(IRTL!$A$7:$A$46)/100000,0))),"")</f>
        <v/>
      </c>
      <c r="C15" s="24">
        <f>IFERROR(IF(LARGE(IRTL!$H$7:$H$46*(IRTL!$L$7:$L$46&lt;&gt;"Complete")*(IRTL!$A$7:$A$46&lt;&gt;"")-ROW(IRTL!$A$7:$A$46)/100000,$A15)&lt;=0,"",INDEX(IRTL!$E$7:$E$46,MATCH(LARGE(IRTL!$H$7:$H$46*(IRTL!$L$7:$L$46&lt;&gt;"Complete")*(IRTL!$A$7:$A$46&lt;&gt;"")-ROW(IRTL!$A$7:$A$46)/100000,$A15),IRTL!$H$7:$H$46*(IRTL!$L$7:$L$46&lt;&gt;"Complete")*(IRTL!$A$7:$A$46&lt;&gt;"")-ROW(IRTL!$A$7:$A$46)/100000,0))),"")</f>
        <v/>
      </c>
      <c r="D15" s="51">
        <f>IFERROR(IF(LARGE(IRTL!$H$7:$H$46*(IRTL!$L$7:$L$46&lt;&gt;"Complete")*(IRTL!$A$7:$A$46&lt;&gt;"")-ROW(IRTL!$A$7:$A$46)/100000,$A15)&lt;=0,"",INDEX(IRTL!$F$7:$F$46,MATCH(LARGE(IRTL!$H$7:$H$46*(IRTL!$L$7:$L$46&lt;&gt;"Complete")*(IRTL!$A$7:$A$46&lt;&gt;"")-ROW(IRTL!$A$7:$A$46)/100000,$A15),IRTL!$H$7:$H$46*(IRTL!$L$7:$L$46&lt;&gt;"Complete")*(IRTL!$A$7:$A$46&lt;&gt;"")-ROW(IRTL!$A$7:$A$46)/100000,0))),"")</f>
        <v/>
      </c>
      <c r="E15" s="51">
        <f>IFERROR(IF(LARGE(IRTL!$H$7:$H$46*(IRTL!$L$7:$L$46&lt;&gt;"Complete")*(IRTL!$A$7:$A$46&lt;&gt;"")-ROW(IRTL!$A$7:$A$46)/100000,$A15)&lt;=0,"",INDEX(IRTL!$G$7:$G$46,MATCH(LARGE(IRTL!$H$7:$H$46*(IRTL!$L$7:$L$46&lt;&gt;"Complete")*(IRTL!$A$7:$A$46&lt;&gt;"")-ROW(IRTL!$A$7:$A$46)/100000,$A15),IRTL!$H$7:$H$46*(IRTL!$L$7:$L$46&lt;&gt;"Complete")*(IRTL!$A$7:$A$46&lt;&gt;"")-ROW(IRTL!$A$7:$A$46)/100000,0))),"")</f>
        <v/>
      </c>
      <c r="F15" s="26">
        <f>IFERROR(IF(LARGE(IRTL!$H$7:$H$46*(IRTL!$L$7:$L$46&lt;&gt;"Complete")*(IRTL!$A$7:$A$46&lt;&gt;"")-ROW(IRTL!$A$7:$A$46)/100000,$A15)&lt;=0,"",INDEX(IRTL!$H$7:$H$46,MATCH(LARGE(IRTL!$H$7:$H$46*(IRTL!$L$7:$L$46&lt;&gt;"Complete")*(IRTL!$A$7:$A$46&lt;&gt;"")-ROW(IRTL!$A$7:$A$46)/100000,$A15),IRTL!$H$7:$H$46*(IRTL!$L$7:$L$46&lt;&gt;"Complete")*(IRTL!$A$7:$A$46&lt;&gt;"")-ROW(IRTL!$A$7:$A$46)/100000,0))),"")</f>
        <v/>
      </c>
      <c r="G15" s="51">
        <f>IFERROR(IF(LARGE(IRTL!$H$7:$H$46*(IRTL!$L$7:$L$46&lt;&gt;"Complete")*(IRTL!$A$7:$A$46&lt;&gt;"")-ROW(IRTL!$A$7:$A$46)/100000,$A15)&lt;=0,"",INDEX(IRTL!$I$7:$I$46,MATCH(LARGE(IRTL!$H$7:$H$46*(IRTL!$L$7:$L$46&lt;&gt;"Complete")*(IRTL!$A$7:$A$46&lt;&gt;"")-ROW(IRTL!$A$7:$A$46)/100000,$A15),IRTL!$H$7:$H$46*(IRTL!$L$7:$L$46&lt;&gt;"Complete")*(IRTL!$A$7:$A$46&lt;&gt;"")-ROW(IRTL!$A$7:$A$46)/100000,0))),"")</f>
        <v/>
      </c>
      <c r="H15" s="138">
        <f>IFERROR(IF(LARGE(IRTL!$H$7:$H$46*(IRTL!$L$7:$L$46&lt;&gt;"Complete")*(IRTL!$A$7:$A$46&lt;&gt;"")-ROW(IRTL!$A$7:$A$46)/100000,$A15)&lt;=0,"",INDEX(IRTL!$K$7:$K$46,MATCH(LARGE(IRTL!$H$7:$H$46*(IRTL!$L$7:$L$46&lt;&gt;"Complete")*(IRTL!$A$7:$A$46&lt;&gt;"")-ROW(IRTL!$A$7:$A$46)/100000,$A15),IRTL!$H$7:$H$46*(IRTL!$L$7:$L$46&lt;&gt;"Complete")*(IRTL!$A$7:$A$46&lt;&gt;"")-ROW(IRTL!$A$7:$A$46)/100000,0))),"")</f>
        <v/>
      </c>
      <c r="I15" s="51">
        <f>IFERROR(IF(LARGE(IRTL!$H$7:$H$46*(IRTL!$L$7:$L$46&lt;&gt;"Complete")*(IRTL!$A$7:$A$46&lt;&gt;"")-ROW(IRTL!$A$7:$A$46)/100000,$A15)&lt;=0,"",INDEX(IRTL!$L$7:$L$46,MATCH(LARGE(IRTL!$H$7:$H$46*(IRTL!$L$7:$L$46&lt;&gt;"Complete")*(IRTL!$A$7:$A$46&lt;&gt;"")-ROW(IRTL!$A$7:$A$46)/100000,$A15),IRTL!$H$7:$H$46*(IRTL!$L$7:$L$46&lt;&gt;"Complete")*(IRTL!$A$7:$A$46&lt;&gt;"")-ROW(IRTL!$A$7:$A$46)/100000,0))),"")</f>
        <v/>
      </c>
      <c r="J15" s="24">
        <f>IFERROR(IF(LARGE(IRTL!$H$7:$H$46*(IRTL!$L$7:$L$46&lt;&gt;"Complete")*(IRTL!$A$7:$A$46&lt;&gt;"")-ROW(IRTL!$A$7:$A$46)/100000,$A15)&lt;=0,"",INDEX(IRTL!$J$7:$J$46,MATCH(LARGE(IRTL!$H$7:$H$46*(IRTL!$L$7:$L$46&lt;&gt;"Complete")*(IRTL!$A$7:$A$46&lt;&gt;"")-ROW(IRTL!$A$7:$A$46)/100000,$A15),IRTL!$H$7:$H$46*(IRTL!$L$7:$L$46&lt;&gt;"Complete")*(IRTL!$A$7:$A$46&lt;&gt;"")-ROW(IRTL!$A$7:$A$46)/100000,0))),"")</f>
        <v/>
      </c>
    </row>
    <row r="16" ht="24" customHeight="1">
      <c r="A16" s="71" t="n">
        <v>10</v>
      </c>
      <c r="B16" s="51">
        <f>IFERROR(IF(LARGE(IRTL!$H$7:$H$46*(IRTL!$L$7:$L$46&lt;&gt;"Complete")*(IRTL!$A$7:$A$46&lt;&gt;"")-ROW(IRTL!$A$7:$A$46)/100000,$A16)&lt;=0,"",INDEX(IRTL!$A$7:$A$46,MATCH(LARGE(IRTL!$H$7:$H$46*(IRTL!$L$7:$L$46&lt;&gt;"Complete")*(IRTL!$A$7:$A$46&lt;&gt;"")-ROW(IRTL!$A$7:$A$46)/100000,$A16),IRTL!$H$7:$H$46*(IRTL!$L$7:$L$46&lt;&gt;"Complete")*(IRTL!$A$7:$A$46&lt;&gt;"")-ROW(IRTL!$A$7:$A$46)/100000,0))),"")</f>
        <v/>
      </c>
      <c r="C16" s="24">
        <f>IFERROR(IF(LARGE(IRTL!$H$7:$H$46*(IRTL!$L$7:$L$46&lt;&gt;"Complete")*(IRTL!$A$7:$A$46&lt;&gt;"")-ROW(IRTL!$A$7:$A$46)/100000,$A16)&lt;=0,"",INDEX(IRTL!$E$7:$E$46,MATCH(LARGE(IRTL!$H$7:$H$46*(IRTL!$L$7:$L$46&lt;&gt;"Complete")*(IRTL!$A$7:$A$46&lt;&gt;"")-ROW(IRTL!$A$7:$A$46)/100000,$A16),IRTL!$H$7:$H$46*(IRTL!$L$7:$L$46&lt;&gt;"Complete")*(IRTL!$A$7:$A$46&lt;&gt;"")-ROW(IRTL!$A$7:$A$46)/100000,0))),"")</f>
        <v/>
      </c>
      <c r="D16" s="51">
        <f>IFERROR(IF(LARGE(IRTL!$H$7:$H$46*(IRTL!$L$7:$L$46&lt;&gt;"Complete")*(IRTL!$A$7:$A$46&lt;&gt;"")-ROW(IRTL!$A$7:$A$46)/100000,$A16)&lt;=0,"",INDEX(IRTL!$F$7:$F$46,MATCH(LARGE(IRTL!$H$7:$H$46*(IRTL!$L$7:$L$46&lt;&gt;"Complete")*(IRTL!$A$7:$A$46&lt;&gt;"")-ROW(IRTL!$A$7:$A$46)/100000,$A16),IRTL!$H$7:$H$46*(IRTL!$L$7:$L$46&lt;&gt;"Complete")*(IRTL!$A$7:$A$46&lt;&gt;"")-ROW(IRTL!$A$7:$A$46)/100000,0))),"")</f>
        <v/>
      </c>
      <c r="E16" s="51">
        <f>IFERROR(IF(LARGE(IRTL!$H$7:$H$46*(IRTL!$L$7:$L$46&lt;&gt;"Complete")*(IRTL!$A$7:$A$46&lt;&gt;"")-ROW(IRTL!$A$7:$A$46)/100000,$A16)&lt;=0,"",INDEX(IRTL!$G$7:$G$46,MATCH(LARGE(IRTL!$H$7:$H$46*(IRTL!$L$7:$L$46&lt;&gt;"Complete")*(IRTL!$A$7:$A$46&lt;&gt;"")-ROW(IRTL!$A$7:$A$46)/100000,$A16),IRTL!$H$7:$H$46*(IRTL!$L$7:$L$46&lt;&gt;"Complete")*(IRTL!$A$7:$A$46&lt;&gt;"")-ROW(IRTL!$A$7:$A$46)/100000,0))),"")</f>
        <v/>
      </c>
      <c r="F16" s="26">
        <f>IFERROR(IF(LARGE(IRTL!$H$7:$H$46*(IRTL!$L$7:$L$46&lt;&gt;"Complete")*(IRTL!$A$7:$A$46&lt;&gt;"")-ROW(IRTL!$A$7:$A$46)/100000,$A16)&lt;=0,"",INDEX(IRTL!$H$7:$H$46,MATCH(LARGE(IRTL!$H$7:$H$46*(IRTL!$L$7:$L$46&lt;&gt;"Complete")*(IRTL!$A$7:$A$46&lt;&gt;"")-ROW(IRTL!$A$7:$A$46)/100000,$A16),IRTL!$H$7:$H$46*(IRTL!$L$7:$L$46&lt;&gt;"Complete")*(IRTL!$A$7:$A$46&lt;&gt;"")-ROW(IRTL!$A$7:$A$46)/100000,0))),"")</f>
        <v/>
      </c>
      <c r="G16" s="51">
        <f>IFERROR(IF(LARGE(IRTL!$H$7:$H$46*(IRTL!$L$7:$L$46&lt;&gt;"Complete")*(IRTL!$A$7:$A$46&lt;&gt;"")-ROW(IRTL!$A$7:$A$46)/100000,$A16)&lt;=0,"",INDEX(IRTL!$I$7:$I$46,MATCH(LARGE(IRTL!$H$7:$H$46*(IRTL!$L$7:$L$46&lt;&gt;"Complete")*(IRTL!$A$7:$A$46&lt;&gt;"")-ROW(IRTL!$A$7:$A$46)/100000,$A16),IRTL!$H$7:$H$46*(IRTL!$L$7:$L$46&lt;&gt;"Complete")*(IRTL!$A$7:$A$46&lt;&gt;"")-ROW(IRTL!$A$7:$A$46)/100000,0))),"")</f>
        <v/>
      </c>
      <c r="H16" s="138">
        <f>IFERROR(IF(LARGE(IRTL!$H$7:$H$46*(IRTL!$L$7:$L$46&lt;&gt;"Complete")*(IRTL!$A$7:$A$46&lt;&gt;"")-ROW(IRTL!$A$7:$A$46)/100000,$A16)&lt;=0,"",INDEX(IRTL!$K$7:$K$46,MATCH(LARGE(IRTL!$H$7:$H$46*(IRTL!$L$7:$L$46&lt;&gt;"Complete")*(IRTL!$A$7:$A$46&lt;&gt;"")-ROW(IRTL!$A$7:$A$46)/100000,$A16),IRTL!$H$7:$H$46*(IRTL!$L$7:$L$46&lt;&gt;"Complete")*(IRTL!$A$7:$A$46&lt;&gt;"")-ROW(IRTL!$A$7:$A$46)/100000,0))),"")</f>
        <v/>
      </c>
      <c r="I16" s="51">
        <f>IFERROR(IF(LARGE(IRTL!$H$7:$H$46*(IRTL!$L$7:$L$46&lt;&gt;"Complete")*(IRTL!$A$7:$A$46&lt;&gt;"")-ROW(IRTL!$A$7:$A$46)/100000,$A16)&lt;=0,"",INDEX(IRTL!$L$7:$L$46,MATCH(LARGE(IRTL!$H$7:$H$46*(IRTL!$L$7:$L$46&lt;&gt;"Complete")*(IRTL!$A$7:$A$46&lt;&gt;"")-ROW(IRTL!$A$7:$A$46)/100000,$A16),IRTL!$H$7:$H$46*(IRTL!$L$7:$L$46&lt;&gt;"Complete")*(IRTL!$A$7:$A$46&lt;&gt;"")-ROW(IRTL!$A$7:$A$46)/100000,0))),"")</f>
        <v/>
      </c>
      <c r="J16" s="24">
        <f>IFERROR(IF(LARGE(IRTL!$H$7:$H$46*(IRTL!$L$7:$L$46&lt;&gt;"Complete")*(IRTL!$A$7:$A$46&lt;&gt;"")-ROW(IRTL!$A$7:$A$46)/100000,$A16)&lt;=0,"",INDEX(IRTL!$J$7:$J$46,MATCH(LARGE(IRTL!$H$7:$H$46*(IRTL!$L$7:$L$46&lt;&gt;"Complete")*(IRTL!$A$7:$A$46&lt;&gt;"")-ROW(IRTL!$A$7:$A$46)/100000,$A16),IRTL!$H$7:$H$46*(IRTL!$L$7:$L$46&lt;&gt;"Complete")*(IRTL!$A$7:$A$46&lt;&gt;"")-ROW(IRTL!$A$7:$A$46)/100000,0))),"")</f>
        <v/>
      </c>
    </row>
    <row r="17" ht="24" customHeight="1">
      <c r="A17" s="71" t="n">
        <v>11</v>
      </c>
      <c r="B17" s="51">
        <f>IFERROR(IF(LARGE(IRTL!$H$7:$H$46*(IRTL!$L$7:$L$46&lt;&gt;"Complete")*(IRTL!$A$7:$A$46&lt;&gt;"")-ROW(IRTL!$A$7:$A$46)/100000,$A17)&lt;=0,"",INDEX(IRTL!$A$7:$A$46,MATCH(LARGE(IRTL!$H$7:$H$46*(IRTL!$L$7:$L$46&lt;&gt;"Complete")*(IRTL!$A$7:$A$46&lt;&gt;"")-ROW(IRTL!$A$7:$A$46)/100000,$A17),IRTL!$H$7:$H$46*(IRTL!$L$7:$L$46&lt;&gt;"Complete")*(IRTL!$A$7:$A$46&lt;&gt;"")-ROW(IRTL!$A$7:$A$46)/100000,0))),"")</f>
        <v/>
      </c>
      <c r="C17" s="24">
        <f>IFERROR(IF(LARGE(IRTL!$H$7:$H$46*(IRTL!$L$7:$L$46&lt;&gt;"Complete")*(IRTL!$A$7:$A$46&lt;&gt;"")-ROW(IRTL!$A$7:$A$46)/100000,$A17)&lt;=0,"",INDEX(IRTL!$E$7:$E$46,MATCH(LARGE(IRTL!$H$7:$H$46*(IRTL!$L$7:$L$46&lt;&gt;"Complete")*(IRTL!$A$7:$A$46&lt;&gt;"")-ROW(IRTL!$A$7:$A$46)/100000,$A17),IRTL!$H$7:$H$46*(IRTL!$L$7:$L$46&lt;&gt;"Complete")*(IRTL!$A$7:$A$46&lt;&gt;"")-ROW(IRTL!$A$7:$A$46)/100000,0))),"")</f>
        <v/>
      </c>
      <c r="D17" s="51">
        <f>IFERROR(IF(LARGE(IRTL!$H$7:$H$46*(IRTL!$L$7:$L$46&lt;&gt;"Complete")*(IRTL!$A$7:$A$46&lt;&gt;"")-ROW(IRTL!$A$7:$A$46)/100000,$A17)&lt;=0,"",INDEX(IRTL!$F$7:$F$46,MATCH(LARGE(IRTL!$H$7:$H$46*(IRTL!$L$7:$L$46&lt;&gt;"Complete")*(IRTL!$A$7:$A$46&lt;&gt;"")-ROW(IRTL!$A$7:$A$46)/100000,$A17),IRTL!$H$7:$H$46*(IRTL!$L$7:$L$46&lt;&gt;"Complete")*(IRTL!$A$7:$A$46&lt;&gt;"")-ROW(IRTL!$A$7:$A$46)/100000,0))),"")</f>
        <v/>
      </c>
      <c r="E17" s="51">
        <f>IFERROR(IF(LARGE(IRTL!$H$7:$H$46*(IRTL!$L$7:$L$46&lt;&gt;"Complete")*(IRTL!$A$7:$A$46&lt;&gt;"")-ROW(IRTL!$A$7:$A$46)/100000,$A17)&lt;=0,"",INDEX(IRTL!$G$7:$G$46,MATCH(LARGE(IRTL!$H$7:$H$46*(IRTL!$L$7:$L$46&lt;&gt;"Complete")*(IRTL!$A$7:$A$46&lt;&gt;"")-ROW(IRTL!$A$7:$A$46)/100000,$A17),IRTL!$H$7:$H$46*(IRTL!$L$7:$L$46&lt;&gt;"Complete")*(IRTL!$A$7:$A$46&lt;&gt;"")-ROW(IRTL!$A$7:$A$46)/100000,0))),"")</f>
        <v/>
      </c>
      <c r="F17" s="26">
        <f>IFERROR(IF(LARGE(IRTL!$H$7:$H$46*(IRTL!$L$7:$L$46&lt;&gt;"Complete")*(IRTL!$A$7:$A$46&lt;&gt;"")-ROW(IRTL!$A$7:$A$46)/100000,$A17)&lt;=0,"",INDEX(IRTL!$H$7:$H$46,MATCH(LARGE(IRTL!$H$7:$H$46*(IRTL!$L$7:$L$46&lt;&gt;"Complete")*(IRTL!$A$7:$A$46&lt;&gt;"")-ROW(IRTL!$A$7:$A$46)/100000,$A17),IRTL!$H$7:$H$46*(IRTL!$L$7:$L$46&lt;&gt;"Complete")*(IRTL!$A$7:$A$46&lt;&gt;"")-ROW(IRTL!$A$7:$A$46)/100000,0))),"")</f>
        <v/>
      </c>
      <c r="G17" s="51">
        <f>IFERROR(IF(LARGE(IRTL!$H$7:$H$46*(IRTL!$L$7:$L$46&lt;&gt;"Complete")*(IRTL!$A$7:$A$46&lt;&gt;"")-ROW(IRTL!$A$7:$A$46)/100000,$A17)&lt;=0,"",INDEX(IRTL!$I$7:$I$46,MATCH(LARGE(IRTL!$H$7:$H$46*(IRTL!$L$7:$L$46&lt;&gt;"Complete")*(IRTL!$A$7:$A$46&lt;&gt;"")-ROW(IRTL!$A$7:$A$46)/100000,$A17),IRTL!$H$7:$H$46*(IRTL!$L$7:$L$46&lt;&gt;"Complete")*(IRTL!$A$7:$A$46&lt;&gt;"")-ROW(IRTL!$A$7:$A$46)/100000,0))),"")</f>
        <v/>
      </c>
      <c r="H17" s="138">
        <f>IFERROR(IF(LARGE(IRTL!$H$7:$H$46*(IRTL!$L$7:$L$46&lt;&gt;"Complete")*(IRTL!$A$7:$A$46&lt;&gt;"")-ROW(IRTL!$A$7:$A$46)/100000,$A17)&lt;=0,"",INDEX(IRTL!$K$7:$K$46,MATCH(LARGE(IRTL!$H$7:$H$46*(IRTL!$L$7:$L$46&lt;&gt;"Complete")*(IRTL!$A$7:$A$46&lt;&gt;"")-ROW(IRTL!$A$7:$A$46)/100000,$A17),IRTL!$H$7:$H$46*(IRTL!$L$7:$L$46&lt;&gt;"Complete")*(IRTL!$A$7:$A$46&lt;&gt;"")-ROW(IRTL!$A$7:$A$46)/100000,0))),"")</f>
        <v/>
      </c>
      <c r="I17" s="51">
        <f>IFERROR(IF(LARGE(IRTL!$H$7:$H$46*(IRTL!$L$7:$L$46&lt;&gt;"Complete")*(IRTL!$A$7:$A$46&lt;&gt;"")-ROW(IRTL!$A$7:$A$46)/100000,$A17)&lt;=0,"",INDEX(IRTL!$L$7:$L$46,MATCH(LARGE(IRTL!$H$7:$H$46*(IRTL!$L$7:$L$46&lt;&gt;"Complete")*(IRTL!$A$7:$A$46&lt;&gt;"")-ROW(IRTL!$A$7:$A$46)/100000,$A17),IRTL!$H$7:$H$46*(IRTL!$L$7:$L$46&lt;&gt;"Complete")*(IRTL!$A$7:$A$46&lt;&gt;"")-ROW(IRTL!$A$7:$A$46)/100000,0))),"")</f>
        <v/>
      </c>
      <c r="J17" s="24">
        <f>IFERROR(IF(LARGE(IRTL!$H$7:$H$46*(IRTL!$L$7:$L$46&lt;&gt;"Complete")*(IRTL!$A$7:$A$46&lt;&gt;"")-ROW(IRTL!$A$7:$A$46)/100000,$A17)&lt;=0,"",INDEX(IRTL!$J$7:$J$46,MATCH(LARGE(IRTL!$H$7:$H$46*(IRTL!$L$7:$L$46&lt;&gt;"Complete")*(IRTL!$A$7:$A$46&lt;&gt;"")-ROW(IRTL!$A$7:$A$46)/100000,$A17),IRTL!$H$7:$H$46*(IRTL!$L$7:$L$46&lt;&gt;"Complete")*(IRTL!$A$7:$A$46&lt;&gt;"")-ROW(IRTL!$A$7:$A$46)/100000,0))),"")</f>
        <v/>
      </c>
    </row>
    <row r="18" ht="24" customHeight="1">
      <c r="A18" s="71" t="n">
        <v>12</v>
      </c>
      <c r="B18" s="51">
        <f>IFERROR(IF(LARGE(IRTL!$H$7:$H$46*(IRTL!$L$7:$L$46&lt;&gt;"Complete")*(IRTL!$A$7:$A$46&lt;&gt;"")-ROW(IRTL!$A$7:$A$46)/100000,$A18)&lt;=0,"",INDEX(IRTL!$A$7:$A$46,MATCH(LARGE(IRTL!$H$7:$H$46*(IRTL!$L$7:$L$46&lt;&gt;"Complete")*(IRTL!$A$7:$A$46&lt;&gt;"")-ROW(IRTL!$A$7:$A$46)/100000,$A18),IRTL!$H$7:$H$46*(IRTL!$L$7:$L$46&lt;&gt;"Complete")*(IRTL!$A$7:$A$46&lt;&gt;"")-ROW(IRTL!$A$7:$A$46)/100000,0))),"")</f>
        <v/>
      </c>
      <c r="C18" s="24">
        <f>IFERROR(IF(LARGE(IRTL!$H$7:$H$46*(IRTL!$L$7:$L$46&lt;&gt;"Complete")*(IRTL!$A$7:$A$46&lt;&gt;"")-ROW(IRTL!$A$7:$A$46)/100000,$A18)&lt;=0,"",INDEX(IRTL!$E$7:$E$46,MATCH(LARGE(IRTL!$H$7:$H$46*(IRTL!$L$7:$L$46&lt;&gt;"Complete")*(IRTL!$A$7:$A$46&lt;&gt;"")-ROW(IRTL!$A$7:$A$46)/100000,$A18),IRTL!$H$7:$H$46*(IRTL!$L$7:$L$46&lt;&gt;"Complete")*(IRTL!$A$7:$A$46&lt;&gt;"")-ROW(IRTL!$A$7:$A$46)/100000,0))),"")</f>
        <v/>
      </c>
      <c r="D18" s="51">
        <f>IFERROR(IF(LARGE(IRTL!$H$7:$H$46*(IRTL!$L$7:$L$46&lt;&gt;"Complete")*(IRTL!$A$7:$A$46&lt;&gt;"")-ROW(IRTL!$A$7:$A$46)/100000,$A18)&lt;=0,"",INDEX(IRTL!$F$7:$F$46,MATCH(LARGE(IRTL!$H$7:$H$46*(IRTL!$L$7:$L$46&lt;&gt;"Complete")*(IRTL!$A$7:$A$46&lt;&gt;"")-ROW(IRTL!$A$7:$A$46)/100000,$A18),IRTL!$H$7:$H$46*(IRTL!$L$7:$L$46&lt;&gt;"Complete")*(IRTL!$A$7:$A$46&lt;&gt;"")-ROW(IRTL!$A$7:$A$46)/100000,0))),"")</f>
        <v/>
      </c>
      <c r="E18" s="51">
        <f>IFERROR(IF(LARGE(IRTL!$H$7:$H$46*(IRTL!$L$7:$L$46&lt;&gt;"Complete")*(IRTL!$A$7:$A$46&lt;&gt;"")-ROW(IRTL!$A$7:$A$46)/100000,$A18)&lt;=0,"",INDEX(IRTL!$G$7:$G$46,MATCH(LARGE(IRTL!$H$7:$H$46*(IRTL!$L$7:$L$46&lt;&gt;"Complete")*(IRTL!$A$7:$A$46&lt;&gt;"")-ROW(IRTL!$A$7:$A$46)/100000,$A18),IRTL!$H$7:$H$46*(IRTL!$L$7:$L$46&lt;&gt;"Complete")*(IRTL!$A$7:$A$46&lt;&gt;"")-ROW(IRTL!$A$7:$A$46)/100000,0))),"")</f>
        <v/>
      </c>
      <c r="F18" s="26">
        <f>IFERROR(IF(LARGE(IRTL!$H$7:$H$46*(IRTL!$L$7:$L$46&lt;&gt;"Complete")*(IRTL!$A$7:$A$46&lt;&gt;"")-ROW(IRTL!$A$7:$A$46)/100000,$A18)&lt;=0,"",INDEX(IRTL!$H$7:$H$46,MATCH(LARGE(IRTL!$H$7:$H$46*(IRTL!$L$7:$L$46&lt;&gt;"Complete")*(IRTL!$A$7:$A$46&lt;&gt;"")-ROW(IRTL!$A$7:$A$46)/100000,$A18),IRTL!$H$7:$H$46*(IRTL!$L$7:$L$46&lt;&gt;"Complete")*(IRTL!$A$7:$A$46&lt;&gt;"")-ROW(IRTL!$A$7:$A$46)/100000,0))),"")</f>
        <v/>
      </c>
      <c r="G18" s="51">
        <f>IFERROR(IF(LARGE(IRTL!$H$7:$H$46*(IRTL!$L$7:$L$46&lt;&gt;"Complete")*(IRTL!$A$7:$A$46&lt;&gt;"")-ROW(IRTL!$A$7:$A$46)/100000,$A18)&lt;=0,"",INDEX(IRTL!$I$7:$I$46,MATCH(LARGE(IRTL!$H$7:$H$46*(IRTL!$L$7:$L$46&lt;&gt;"Complete")*(IRTL!$A$7:$A$46&lt;&gt;"")-ROW(IRTL!$A$7:$A$46)/100000,$A18),IRTL!$H$7:$H$46*(IRTL!$L$7:$L$46&lt;&gt;"Complete")*(IRTL!$A$7:$A$46&lt;&gt;"")-ROW(IRTL!$A$7:$A$46)/100000,0))),"")</f>
        <v/>
      </c>
      <c r="H18" s="138">
        <f>IFERROR(IF(LARGE(IRTL!$H$7:$H$46*(IRTL!$L$7:$L$46&lt;&gt;"Complete")*(IRTL!$A$7:$A$46&lt;&gt;"")-ROW(IRTL!$A$7:$A$46)/100000,$A18)&lt;=0,"",INDEX(IRTL!$K$7:$K$46,MATCH(LARGE(IRTL!$H$7:$H$46*(IRTL!$L$7:$L$46&lt;&gt;"Complete")*(IRTL!$A$7:$A$46&lt;&gt;"")-ROW(IRTL!$A$7:$A$46)/100000,$A18),IRTL!$H$7:$H$46*(IRTL!$L$7:$L$46&lt;&gt;"Complete")*(IRTL!$A$7:$A$46&lt;&gt;"")-ROW(IRTL!$A$7:$A$46)/100000,0))),"")</f>
        <v/>
      </c>
      <c r="I18" s="51">
        <f>IFERROR(IF(LARGE(IRTL!$H$7:$H$46*(IRTL!$L$7:$L$46&lt;&gt;"Complete")*(IRTL!$A$7:$A$46&lt;&gt;"")-ROW(IRTL!$A$7:$A$46)/100000,$A18)&lt;=0,"",INDEX(IRTL!$L$7:$L$46,MATCH(LARGE(IRTL!$H$7:$H$46*(IRTL!$L$7:$L$46&lt;&gt;"Complete")*(IRTL!$A$7:$A$46&lt;&gt;"")-ROW(IRTL!$A$7:$A$46)/100000,$A18),IRTL!$H$7:$H$46*(IRTL!$L$7:$L$46&lt;&gt;"Complete")*(IRTL!$A$7:$A$46&lt;&gt;"")-ROW(IRTL!$A$7:$A$46)/100000,0))),"")</f>
        <v/>
      </c>
      <c r="J18" s="24">
        <f>IFERROR(IF(LARGE(IRTL!$H$7:$H$46*(IRTL!$L$7:$L$46&lt;&gt;"Complete")*(IRTL!$A$7:$A$46&lt;&gt;"")-ROW(IRTL!$A$7:$A$46)/100000,$A18)&lt;=0,"",INDEX(IRTL!$J$7:$J$46,MATCH(LARGE(IRTL!$H$7:$H$46*(IRTL!$L$7:$L$46&lt;&gt;"Complete")*(IRTL!$A$7:$A$46&lt;&gt;"")-ROW(IRTL!$A$7:$A$46)/100000,$A18),IRTL!$H$7:$H$46*(IRTL!$L$7:$L$46&lt;&gt;"Complete")*(IRTL!$A$7:$A$46&lt;&gt;"")-ROW(IRTL!$A$7:$A$46)/100000,0))),"")</f>
        <v/>
      </c>
    </row>
    <row r="20" ht="19" customHeight="1">
      <c r="A20" s="5" t="inlineStr">
        <is>
          <t>Priority is likelihood times impact</t>
        </is>
      </c>
    </row>
    <row r="21" ht="30" customHeight="1">
      <c r="A21" s="79" t="inlineStr">
        <is>
          <t>High = 3, Medium = 2, Low = 1, so priority runs from 1 to 9. Six or more needs an owner and a date this week. A risk with no owner is not being managed, it is being hoped about.</t>
        </is>
      </c>
    </row>
  </sheetData>
  <mergeCells count="4">
    <mergeCell ref="A1:J1"/>
    <mergeCell ref="A21:J21"/>
    <mergeCell ref="A20:J20"/>
    <mergeCell ref="A2:J2"/>
  </mergeCells>
  <conditionalFormatting sqref="F7:F18">
    <cfRule type="cellIs" priority="1" operator="greaterThanOrEqual" dxfId="0">
      <formula>6</formula>
    </cfRule>
    <cfRule type="cellIs" priority="2" operator="between" dxfId="3">
      <formula>3</formula>
      <formula>5</formula>
    </cfRule>
  </conditionalFormatting>
  <printOptions horizontalCentered="1"/>
  <pageMargins left="0.75" right="0.75" top="1" bottom="1" header="0.5" footer="0.5"/>
  <pageSetup orientation="landscape" paperSize="9" fitToHeight="1"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tabColor rgb="0014505C"/>
    <outlinePr summaryBelow="1" summaryRight="1"/>
    <pageSetUpPr fitToPage="1"/>
  </sheetPr>
  <dimension ref="A1:M46"/>
  <sheetViews>
    <sheetView showGridLines="0" workbookViewId="0">
      <pane ySplit="6" topLeftCell="A7" activePane="bottomLeft" state="frozen"/>
      <selection pane="bottomLeft" activeCell="A1" sqref="A1"/>
    </sheetView>
  </sheetViews>
  <sheetFormatPr baseColWidth="8" defaultRowHeight="15" outlineLevelCol="0"/>
  <cols>
    <col width="9" customWidth="1" min="1" max="1"/>
    <col width="11" customWidth="1" min="2" max="2"/>
    <col width="19" customWidth="1" min="3" max="3"/>
    <col width="13" customWidth="1" min="4" max="4"/>
    <col width="24" customWidth="1" min="5" max="5"/>
    <col width="40" customWidth="1" min="6" max="6"/>
    <col width="36" customWidth="1" min="7" max="7"/>
    <col width="10" customWidth="1" min="8" max="8"/>
    <col width="9" customWidth="1" min="9" max="9"/>
    <col width="19" customWidth="1" min="10" max="10"/>
    <col width="14" customWidth="1" min="11" max="11"/>
    <col width="12" customWidth="1" min="12" max="12"/>
    <col width="32" customWidth="1" min="13" max="13"/>
  </cols>
  <sheetData>
    <row r="1" ht="30" customHeight="1">
      <c r="A1" s="1" t="inlineStr">
        <is>
          <t>Form CCR  -  Configuration Change Request</t>
        </is>
      </c>
    </row>
    <row r="2" ht="16" customHeight="1">
      <c r="A2" s="2" t="inlineStr">
        <is>
          <t>Once a baseline is agreed with the client, changes go through here - not through a quiet commit.</t>
        </is>
      </c>
    </row>
    <row r="4">
      <c r="A4" s="23" t="inlineStr">
        <is>
          <t>Team</t>
        </is>
      </c>
      <c r="B4" s="24">
        <f>SETUP!$C$10</f>
        <v/>
      </c>
      <c r="E4" s="23" t="inlineStr">
        <is>
          <t>Requests</t>
        </is>
      </c>
      <c r="F4" s="67">
        <f>COUNTA(A7:A46)</f>
        <v/>
      </c>
      <c r="G4" s="23" t="inlineStr">
        <is>
          <t>Approved</t>
        </is>
      </c>
      <c r="H4" s="67">
        <f>COUNTIF(K7:K46,"Approved")</f>
        <v/>
      </c>
      <c r="I4" s="23" t="inlineStr">
        <is>
          <t>Added hours</t>
        </is>
      </c>
      <c r="J4" s="130">
        <f>SUMIF(K7:K46,"Approved",H7:H46)</f>
        <v/>
      </c>
    </row>
    <row r="6" ht="32" customHeight="1">
      <c r="A6" s="6" t="inlineStr">
        <is>
          <t>CCR ID</t>
        </is>
      </c>
      <c r="B6" s="6" t="inlineStr">
        <is>
          <t>Date</t>
        </is>
      </c>
      <c r="C6" s="6" t="inlineStr">
        <is>
          <t>Raised by</t>
        </is>
      </c>
      <c r="D6" s="6" t="inlineStr">
        <is>
          <t>Change type</t>
        </is>
      </c>
      <c r="E6" s="6" t="inlineStr">
        <is>
          <t>Component</t>
        </is>
      </c>
      <c r="F6" s="6" t="inlineStr">
        <is>
          <t>What changes</t>
        </is>
      </c>
      <c r="G6" s="6" t="inlineStr">
        <is>
          <t>Why - whose need does this serve</t>
        </is>
      </c>
      <c r="H6" s="6" t="inlineStr">
        <is>
          <t>Est. hrs</t>
        </is>
      </c>
      <c r="I6" s="6" t="inlineStr">
        <is>
          <t>M/stone</t>
        </is>
      </c>
      <c r="J6" s="6" t="inlineStr">
        <is>
          <t>Reviewer</t>
        </is>
      </c>
      <c r="K6" s="6" t="inlineStr">
        <is>
          <t>Decision</t>
        </is>
      </c>
      <c r="L6" s="6" t="inlineStr">
        <is>
          <t>Decided on</t>
        </is>
      </c>
      <c r="M6" s="6" t="inlineStr">
        <is>
          <t>Notes</t>
        </is>
      </c>
    </row>
    <row r="7" ht="26" customHeight="1">
      <c r="A7" s="41" t="inlineStr">
        <is>
          <t>CCR-01</t>
        </is>
      </c>
      <c r="B7" s="132" t="n">
        <v>46322</v>
      </c>
      <c r="C7" s="34" t="inlineStr">
        <is>
          <t>Harith Bin Ismail</t>
        </is>
      </c>
      <c r="D7" s="41" t="inlineStr">
        <is>
          <t>Requirement</t>
        </is>
      </c>
      <c r="E7" s="34" t="inlineStr">
        <is>
          <t>Order entry</t>
        </is>
      </c>
      <c r="F7" s="66" t="inlineStr">
        <is>
          <t>Add a free-text note to each order line</t>
        </is>
      </c>
      <c r="G7" s="66" t="inlineStr">
        <is>
          <t>Counter staff already write notes on the paper book; without it they will not use the app</t>
        </is>
      </c>
      <c r="H7" s="133" t="n">
        <v>6</v>
      </c>
      <c r="I7" s="41" t="inlineStr">
        <is>
          <t>M2</t>
        </is>
      </c>
      <c r="J7" s="34" t="inlineStr">
        <is>
          <t>Aisyah Binti Rahman</t>
        </is>
      </c>
      <c r="K7" s="41" t="inlineStr">
        <is>
          <t>Approved</t>
        </is>
      </c>
      <c r="L7" s="132" t="n">
        <v>46324</v>
      </c>
      <c r="M7" s="34" t="inlineStr">
        <is>
          <t>Absorbed into the M2 plan</t>
        </is>
      </c>
    </row>
    <row r="8" ht="26" customHeight="1">
      <c r="A8" s="41" t="inlineStr">
        <is>
          <t>CCR-02</t>
        </is>
      </c>
      <c r="B8" s="132" t="n">
        <v>46329</v>
      </c>
      <c r="C8" s="34" t="inlineStr">
        <is>
          <t>Daniel Wong Jun Hao</t>
        </is>
      </c>
      <c r="D8" s="41" t="inlineStr">
        <is>
          <t>Design</t>
        </is>
      </c>
      <c r="E8" s="34" t="inlineStr">
        <is>
          <t>Order &amp; catalogue service</t>
        </is>
      </c>
      <c r="F8" s="66" t="inlineStr">
        <is>
          <t>Replace the single price field with dated price records</t>
        </is>
      </c>
      <c r="G8" s="66" t="inlineStr">
        <is>
          <t>Supplier prices change weekly; an invoice must use the price at order time</t>
        </is>
      </c>
      <c r="H8" s="133" t="n">
        <v>14</v>
      </c>
      <c r="I8" s="41" t="inlineStr">
        <is>
          <t>M2</t>
        </is>
      </c>
      <c r="J8" s="34" t="inlineStr">
        <is>
          <t>Aisyah Binti Rahman</t>
        </is>
      </c>
      <c r="K8" s="41" t="inlineStr">
        <is>
          <t>Approved</t>
        </is>
      </c>
      <c r="L8" s="132" t="n">
        <v>46331</v>
      </c>
      <c r="M8" s="34" t="inlineStr">
        <is>
          <t>Pushed the catalogue work one week; schedule updated</t>
        </is>
      </c>
    </row>
    <row r="9" ht="26" customHeight="1">
      <c r="A9" s="41" t="inlineStr">
        <is>
          <t>CCR-03</t>
        </is>
      </c>
      <c r="B9" s="132" t="n">
        <v>46343</v>
      </c>
      <c r="C9" s="34" t="inlineStr">
        <is>
          <t>Priya Nair</t>
        </is>
      </c>
      <c r="D9" s="41" t="inlineStr">
        <is>
          <t>Requirement</t>
        </is>
      </c>
      <c r="E9" s="34" t="inlineStr">
        <is>
          <t>Order entry</t>
        </is>
      </c>
      <c r="F9" s="66" t="inlineStr">
        <is>
          <t>Add a Gemini parser for free-text order notes</t>
        </is>
      </c>
      <c r="G9" s="66" t="inlineStr">
        <is>
          <t>Staff type faster than they browse; raised after the week 9 demo</t>
        </is>
      </c>
      <c r="H9" s="133" t="n">
        <v>18</v>
      </c>
      <c r="I9" s="41" t="inlineStr">
        <is>
          <t>M3</t>
        </is>
      </c>
      <c r="J9" s="34" t="inlineStr">
        <is>
          <t>Aisyah Binti Rahman</t>
        </is>
      </c>
      <c r="K9" s="41" t="inlineStr">
        <is>
          <t>Approved</t>
        </is>
      </c>
      <c r="L9" s="132" t="n">
        <v>46345</v>
      </c>
      <c r="M9" s="34" t="inlineStr">
        <is>
          <t>Made optional with a manual fallback after the latency test</t>
        </is>
      </c>
    </row>
    <row r="10" ht="26" customHeight="1">
      <c r="A10" s="41" t="inlineStr">
        <is>
          <t>CCR-04</t>
        </is>
      </c>
      <c r="B10" s="132" t="n">
        <v>46357</v>
      </c>
      <c r="C10" s="34" t="inlineStr">
        <is>
          <t>Harith Bin Ismail</t>
        </is>
      </c>
      <c r="D10" s="41" t="inlineStr">
        <is>
          <t>Requirement</t>
        </is>
      </c>
      <c r="E10" s="34" t="inlineStr">
        <is>
          <t>Order history</t>
        </is>
      </c>
      <c r="F10" s="66" t="inlineStr">
        <is>
          <t>Show all orders rather than the last 30 days</t>
        </is>
      </c>
      <c r="G10" s="66" t="inlineStr">
        <is>
          <t>Requested by the client at the week 11 meeting</t>
        </is>
      </c>
      <c r="H10" s="133" t="n">
        <v>10</v>
      </c>
      <c r="I10" s="41" t="inlineStr">
        <is>
          <t>M3</t>
        </is>
      </c>
      <c r="J10" s="34" t="inlineStr">
        <is>
          <t>Aisyah Binti Rahman</t>
        </is>
      </c>
      <c r="K10" s="41" t="inlineStr">
        <is>
          <t>Deferred</t>
        </is>
      </c>
      <c r="L10" s="132" t="n">
        <v>46359</v>
      </c>
      <c r="M10" s="34" t="inlineStr">
        <is>
          <t>Deferred to post-handover; the client agreed 30 days is enough for the pilot</t>
        </is>
      </c>
    </row>
    <row r="11" ht="26" customHeight="1">
      <c r="A11" s="41" t="inlineStr">
        <is>
          <t>CCR-05</t>
        </is>
      </c>
      <c r="B11" s="132" t="n">
        <v>46364</v>
      </c>
      <c r="C11" s="34" t="inlineStr">
        <is>
          <t>Priya Nair</t>
        </is>
      </c>
      <c r="D11" s="41" t="inlineStr">
        <is>
          <t>Code</t>
        </is>
      </c>
      <c r="E11" s="34" t="inlineStr">
        <is>
          <t>UI / screens</t>
        </is>
      </c>
      <c r="F11" s="66" t="inlineStr">
        <is>
          <t>Increase the base font size at the till</t>
        </is>
      </c>
      <c r="G11" s="66" t="inlineStr">
        <is>
          <t>Counter staff could not read the catalogue at arm's length during the acceptance test</t>
        </is>
      </c>
      <c r="H11" s="133" t="n">
        <v>2</v>
      </c>
      <c r="I11" s="41" t="inlineStr">
        <is>
          <t>M4</t>
        </is>
      </c>
      <c r="J11" s="34" t="inlineStr">
        <is>
          <t>Aisyah Binti Rahman</t>
        </is>
      </c>
      <c r="K11" s="41" t="inlineStr">
        <is>
          <t>Approved</t>
        </is>
      </c>
      <c r="L11" s="132" t="n">
        <v>46366</v>
      </c>
      <c r="M11" s="34" t="inlineStr">
        <is>
          <t>Shipped before handover</t>
        </is>
      </c>
    </row>
    <row r="12" ht="26" customHeight="1">
      <c r="A12" s="41" t="inlineStr">
        <is>
          <t>CCR-06</t>
        </is>
      </c>
      <c r="B12" s="132" t="n">
        <v>46371</v>
      </c>
      <c r="C12" s="34" t="inlineStr">
        <is>
          <t>Mei Ling Chong</t>
        </is>
      </c>
      <c r="D12" s="41" t="inlineStr">
        <is>
          <t>Build / CI</t>
        </is>
      </c>
      <c r="E12" s="34" t="inlineStr">
        <is>
          <t>SYSTEM</t>
        </is>
      </c>
      <c r="F12" s="66" t="inlineStr">
        <is>
          <t>Add a signed release job to the workflow</t>
        </is>
      </c>
      <c r="G12" s="66" t="inlineStr">
        <is>
          <t>M4 requires a v1.0.0 release artefact</t>
        </is>
      </c>
      <c r="H12" s="133" t="n">
        <v>4</v>
      </c>
      <c r="I12" s="41" t="inlineStr">
        <is>
          <t>M4</t>
        </is>
      </c>
      <c r="J12" s="34" t="inlineStr">
        <is>
          <t>Aisyah Binti Rahman</t>
        </is>
      </c>
      <c r="K12" s="41" t="inlineStr">
        <is>
          <t>Approved</t>
        </is>
      </c>
      <c r="L12" s="132" t="n">
        <v>46373</v>
      </c>
      <c r="M12" s="34" t="inlineStr">
        <is>
          <t>Done in week 14</t>
        </is>
      </c>
    </row>
    <row r="13" ht="26" customHeight="1">
      <c r="A13" s="41" t="n"/>
      <c r="B13" s="132" t="n"/>
      <c r="C13" s="34" t="n"/>
      <c r="D13" s="41" t="n"/>
      <c r="E13" s="34" t="n"/>
      <c r="F13" s="66" t="n"/>
      <c r="G13" s="66" t="n"/>
      <c r="H13" s="133" t="n"/>
      <c r="I13" s="41" t="n"/>
      <c r="J13" s="34" t="n"/>
      <c r="K13" s="41" t="n"/>
      <c r="L13" s="132" t="n"/>
      <c r="M13" s="34" t="n"/>
    </row>
    <row r="14" ht="26" customHeight="1">
      <c r="A14" s="41" t="n"/>
      <c r="B14" s="132" t="n"/>
      <c r="C14" s="34" t="n"/>
      <c r="D14" s="41" t="n"/>
      <c r="E14" s="34" t="n"/>
      <c r="F14" s="66" t="n"/>
      <c r="G14" s="66" t="n"/>
      <c r="H14" s="133" t="n"/>
      <c r="I14" s="41" t="n"/>
      <c r="J14" s="34" t="n"/>
      <c r="K14" s="41" t="n"/>
      <c r="L14" s="132" t="n"/>
      <c r="M14" s="34" t="n"/>
    </row>
    <row r="15" ht="26" customHeight="1">
      <c r="A15" s="41" t="n"/>
      <c r="B15" s="132" t="n"/>
      <c r="C15" s="34" t="n"/>
      <c r="D15" s="41" t="n"/>
      <c r="E15" s="34" t="n"/>
      <c r="F15" s="66" t="n"/>
      <c r="G15" s="66" t="n"/>
      <c r="H15" s="133" t="n"/>
      <c r="I15" s="41" t="n"/>
      <c r="J15" s="34" t="n"/>
      <c r="K15" s="41" t="n"/>
      <c r="L15" s="132" t="n"/>
      <c r="M15" s="34" t="n"/>
    </row>
    <row r="16" ht="26" customHeight="1">
      <c r="A16" s="41" t="n"/>
      <c r="B16" s="132" t="n"/>
      <c r="C16" s="34" t="n"/>
      <c r="D16" s="41" t="n"/>
      <c r="E16" s="34" t="n"/>
      <c r="F16" s="66" t="n"/>
      <c r="G16" s="66" t="n"/>
      <c r="H16" s="133" t="n"/>
      <c r="I16" s="41" t="n"/>
      <c r="J16" s="34" t="n"/>
      <c r="K16" s="41" t="n"/>
      <c r="L16" s="132" t="n"/>
      <c r="M16" s="34" t="n"/>
    </row>
    <row r="17" ht="26" customHeight="1">
      <c r="A17" s="41" t="n"/>
      <c r="B17" s="132" t="n"/>
      <c r="C17" s="34" t="n"/>
      <c r="D17" s="41" t="n"/>
      <c r="E17" s="34" t="n"/>
      <c r="F17" s="66" t="n"/>
      <c r="G17" s="66" t="n"/>
      <c r="H17" s="133" t="n"/>
      <c r="I17" s="41" t="n"/>
      <c r="J17" s="34" t="n"/>
      <c r="K17" s="41" t="n"/>
      <c r="L17" s="132" t="n"/>
      <c r="M17" s="34" t="n"/>
    </row>
    <row r="18" ht="26" customHeight="1">
      <c r="A18" s="41" t="n"/>
      <c r="B18" s="132" t="n"/>
      <c r="C18" s="34" t="n"/>
      <c r="D18" s="41" t="n"/>
      <c r="E18" s="34" t="n"/>
      <c r="F18" s="66" t="n"/>
      <c r="G18" s="66" t="n"/>
      <c r="H18" s="133" t="n"/>
      <c r="I18" s="41" t="n"/>
      <c r="J18" s="34" t="n"/>
      <c r="K18" s="41" t="n"/>
      <c r="L18" s="132" t="n"/>
      <c r="M18" s="34" t="n"/>
    </row>
    <row r="19" ht="26" customHeight="1">
      <c r="A19" s="41" t="n"/>
      <c r="B19" s="132" t="n"/>
      <c r="C19" s="34" t="n"/>
      <c r="D19" s="41" t="n"/>
      <c r="E19" s="34" t="n"/>
      <c r="F19" s="66" t="n"/>
      <c r="G19" s="66" t="n"/>
      <c r="H19" s="133" t="n"/>
      <c r="I19" s="41" t="n"/>
      <c r="J19" s="34" t="n"/>
      <c r="K19" s="41" t="n"/>
      <c r="L19" s="132" t="n"/>
      <c r="M19" s="34" t="n"/>
    </row>
    <row r="20" ht="26" customHeight="1">
      <c r="A20" s="41" t="n"/>
      <c r="B20" s="132" t="n"/>
      <c r="C20" s="34" t="n"/>
      <c r="D20" s="41" t="n"/>
      <c r="E20" s="34" t="n"/>
      <c r="F20" s="66" t="n"/>
      <c r="G20" s="66" t="n"/>
      <c r="H20" s="133" t="n"/>
      <c r="I20" s="41" t="n"/>
      <c r="J20" s="34" t="n"/>
      <c r="K20" s="41" t="n"/>
      <c r="L20" s="132" t="n"/>
      <c r="M20" s="34" t="n"/>
    </row>
    <row r="21" ht="26" customHeight="1">
      <c r="A21" s="41" t="n"/>
      <c r="B21" s="132" t="n"/>
      <c r="C21" s="34" t="n"/>
      <c r="D21" s="41" t="n"/>
      <c r="E21" s="34" t="n"/>
      <c r="F21" s="66" t="n"/>
      <c r="G21" s="66" t="n"/>
      <c r="H21" s="133" t="n"/>
      <c r="I21" s="41" t="n"/>
      <c r="J21" s="34" t="n"/>
      <c r="K21" s="41" t="n"/>
      <c r="L21" s="132" t="n"/>
      <c r="M21" s="34" t="n"/>
    </row>
    <row r="22" ht="26" customHeight="1">
      <c r="A22" s="41" t="n"/>
      <c r="B22" s="132" t="n"/>
      <c r="C22" s="34" t="n"/>
      <c r="D22" s="41" t="n"/>
      <c r="E22" s="34" t="n"/>
      <c r="F22" s="66" t="n"/>
      <c r="G22" s="66" t="n"/>
      <c r="H22" s="133" t="n"/>
      <c r="I22" s="41" t="n"/>
      <c r="J22" s="34" t="n"/>
      <c r="K22" s="41" t="n"/>
      <c r="L22" s="132" t="n"/>
      <c r="M22" s="34" t="n"/>
    </row>
    <row r="23" ht="26" customHeight="1">
      <c r="A23" s="41" t="n"/>
      <c r="B23" s="132" t="n"/>
      <c r="C23" s="34" t="n"/>
      <c r="D23" s="41" t="n"/>
      <c r="E23" s="34" t="n"/>
      <c r="F23" s="66" t="n"/>
      <c r="G23" s="66" t="n"/>
      <c r="H23" s="133" t="n"/>
      <c r="I23" s="41" t="n"/>
      <c r="J23" s="34" t="n"/>
      <c r="K23" s="41" t="n"/>
      <c r="L23" s="132" t="n"/>
      <c r="M23" s="34" t="n"/>
    </row>
    <row r="24" ht="26" customHeight="1">
      <c r="A24" s="41" t="n"/>
      <c r="B24" s="132" t="n"/>
      <c r="C24" s="34" t="n"/>
      <c r="D24" s="41" t="n"/>
      <c r="E24" s="34" t="n"/>
      <c r="F24" s="66" t="n"/>
      <c r="G24" s="66" t="n"/>
      <c r="H24" s="133" t="n"/>
      <c r="I24" s="41" t="n"/>
      <c r="J24" s="34" t="n"/>
      <c r="K24" s="41" t="n"/>
      <c r="L24" s="132" t="n"/>
      <c r="M24" s="34" t="n"/>
    </row>
    <row r="25" ht="26" customHeight="1">
      <c r="A25" s="41" t="n"/>
      <c r="B25" s="132" t="n"/>
      <c r="C25" s="34" t="n"/>
      <c r="D25" s="41" t="n"/>
      <c r="E25" s="34" t="n"/>
      <c r="F25" s="66" t="n"/>
      <c r="G25" s="66" t="n"/>
      <c r="H25" s="133" t="n"/>
      <c r="I25" s="41" t="n"/>
      <c r="J25" s="34" t="n"/>
      <c r="K25" s="41" t="n"/>
      <c r="L25" s="132" t="n"/>
      <c r="M25" s="34" t="n"/>
    </row>
    <row r="26" ht="26" customHeight="1">
      <c r="A26" s="41" t="n"/>
      <c r="B26" s="132" t="n"/>
      <c r="C26" s="34" t="n"/>
      <c r="D26" s="41" t="n"/>
      <c r="E26" s="34" t="n"/>
      <c r="F26" s="66" t="n"/>
      <c r="G26" s="66" t="n"/>
      <c r="H26" s="133" t="n"/>
      <c r="I26" s="41" t="n"/>
      <c r="J26" s="34" t="n"/>
      <c r="K26" s="41" t="n"/>
      <c r="L26" s="132" t="n"/>
      <c r="M26" s="34" t="n"/>
    </row>
    <row r="27" ht="26" customHeight="1">
      <c r="A27" s="41" t="n"/>
      <c r="B27" s="132" t="n"/>
      <c r="C27" s="34" t="n"/>
      <c r="D27" s="41" t="n"/>
      <c r="E27" s="34" t="n"/>
      <c r="F27" s="66" t="n"/>
      <c r="G27" s="66" t="n"/>
      <c r="H27" s="133" t="n"/>
      <c r="I27" s="41" t="n"/>
      <c r="J27" s="34" t="n"/>
      <c r="K27" s="41" t="n"/>
      <c r="L27" s="132" t="n"/>
      <c r="M27" s="34" t="n"/>
    </row>
    <row r="28" ht="26" customHeight="1">
      <c r="A28" s="41" t="n"/>
      <c r="B28" s="132" t="n"/>
      <c r="C28" s="34" t="n"/>
      <c r="D28" s="41" t="n"/>
      <c r="E28" s="34" t="n"/>
      <c r="F28" s="66" t="n"/>
      <c r="G28" s="66" t="n"/>
      <c r="H28" s="133" t="n"/>
      <c r="I28" s="41" t="n"/>
      <c r="J28" s="34" t="n"/>
      <c r="K28" s="41" t="n"/>
      <c r="L28" s="132" t="n"/>
      <c r="M28" s="34" t="n"/>
    </row>
    <row r="29" ht="26" customHeight="1">
      <c r="A29" s="41" t="n"/>
      <c r="B29" s="132" t="n"/>
      <c r="C29" s="34" t="n"/>
      <c r="D29" s="41" t="n"/>
      <c r="E29" s="34" t="n"/>
      <c r="F29" s="66" t="n"/>
      <c r="G29" s="66" t="n"/>
      <c r="H29" s="133" t="n"/>
      <c r="I29" s="41" t="n"/>
      <c r="J29" s="34" t="n"/>
      <c r="K29" s="41" t="n"/>
      <c r="L29" s="132" t="n"/>
      <c r="M29" s="34" t="n"/>
    </row>
    <row r="30" ht="26" customHeight="1">
      <c r="A30" s="41" t="n"/>
      <c r="B30" s="132" t="n"/>
      <c r="C30" s="34" t="n"/>
      <c r="D30" s="41" t="n"/>
      <c r="E30" s="34" t="n"/>
      <c r="F30" s="66" t="n"/>
      <c r="G30" s="66" t="n"/>
      <c r="H30" s="133" t="n"/>
      <c r="I30" s="41" t="n"/>
      <c r="J30" s="34" t="n"/>
      <c r="K30" s="41" t="n"/>
      <c r="L30" s="132" t="n"/>
      <c r="M30" s="34" t="n"/>
    </row>
    <row r="31" ht="26" customHeight="1">
      <c r="A31" s="41" t="n"/>
      <c r="B31" s="132" t="n"/>
      <c r="C31" s="34" t="n"/>
      <c r="D31" s="41" t="n"/>
      <c r="E31" s="34" t="n"/>
      <c r="F31" s="66" t="n"/>
      <c r="G31" s="66" t="n"/>
      <c r="H31" s="133" t="n"/>
      <c r="I31" s="41" t="n"/>
      <c r="J31" s="34" t="n"/>
      <c r="K31" s="41" t="n"/>
      <c r="L31" s="132" t="n"/>
      <c r="M31" s="34" t="n"/>
    </row>
    <row r="32" ht="26" customHeight="1">
      <c r="A32" s="41" t="n"/>
      <c r="B32" s="132" t="n"/>
      <c r="C32" s="34" t="n"/>
      <c r="D32" s="41" t="n"/>
      <c r="E32" s="34" t="n"/>
      <c r="F32" s="66" t="n"/>
      <c r="G32" s="66" t="n"/>
      <c r="H32" s="133" t="n"/>
      <c r="I32" s="41" t="n"/>
      <c r="J32" s="34" t="n"/>
      <c r="K32" s="41" t="n"/>
      <c r="L32" s="132" t="n"/>
      <c r="M32" s="34" t="n"/>
    </row>
    <row r="33" ht="26" customHeight="1">
      <c r="A33" s="41" t="n"/>
      <c r="B33" s="132" t="n"/>
      <c r="C33" s="34" t="n"/>
      <c r="D33" s="41" t="n"/>
      <c r="E33" s="34" t="n"/>
      <c r="F33" s="66" t="n"/>
      <c r="G33" s="66" t="n"/>
      <c r="H33" s="133" t="n"/>
      <c r="I33" s="41" t="n"/>
      <c r="J33" s="34" t="n"/>
      <c r="K33" s="41" t="n"/>
      <c r="L33" s="132" t="n"/>
      <c r="M33" s="34" t="n"/>
    </row>
    <row r="34" ht="26" customHeight="1">
      <c r="A34" s="41" t="n"/>
      <c r="B34" s="132" t="n"/>
      <c r="C34" s="34" t="n"/>
      <c r="D34" s="41" t="n"/>
      <c r="E34" s="34" t="n"/>
      <c r="F34" s="66" t="n"/>
      <c r="G34" s="66" t="n"/>
      <c r="H34" s="133" t="n"/>
      <c r="I34" s="41" t="n"/>
      <c r="J34" s="34" t="n"/>
      <c r="K34" s="41" t="n"/>
      <c r="L34" s="132" t="n"/>
      <c r="M34" s="34" t="n"/>
    </row>
    <row r="35" ht="26" customHeight="1">
      <c r="A35" s="41" t="n"/>
      <c r="B35" s="132" t="n"/>
      <c r="C35" s="34" t="n"/>
      <c r="D35" s="41" t="n"/>
      <c r="E35" s="34" t="n"/>
      <c r="F35" s="66" t="n"/>
      <c r="G35" s="66" t="n"/>
      <c r="H35" s="133" t="n"/>
      <c r="I35" s="41" t="n"/>
      <c r="J35" s="34" t="n"/>
      <c r="K35" s="41" t="n"/>
      <c r="L35" s="132" t="n"/>
      <c r="M35" s="34" t="n"/>
    </row>
    <row r="36" ht="26" customHeight="1">
      <c r="A36" s="41" t="n"/>
      <c r="B36" s="132" t="n"/>
      <c r="C36" s="34" t="n"/>
      <c r="D36" s="41" t="n"/>
      <c r="E36" s="34" t="n"/>
      <c r="F36" s="66" t="n"/>
      <c r="G36" s="66" t="n"/>
      <c r="H36" s="133" t="n"/>
      <c r="I36" s="41" t="n"/>
      <c r="J36" s="34" t="n"/>
      <c r="K36" s="41" t="n"/>
      <c r="L36" s="132" t="n"/>
      <c r="M36" s="34" t="n"/>
    </row>
    <row r="37" ht="26" customHeight="1">
      <c r="A37" s="41" t="n"/>
      <c r="B37" s="132" t="n"/>
      <c r="C37" s="34" t="n"/>
      <c r="D37" s="41" t="n"/>
      <c r="E37" s="34" t="n"/>
      <c r="F37" s="66" t="n"/>
      <c r="G37" s="66" t="n"/>
      <c r="H37" s="133" t="n"/>
      <c r="I37" s="41" t="n"/>
      <c r="J37" s="34" t="n"/>
      <c r="K37" s="41" t="n"/>
      <c r="L37" s="132" t="n"/>
      <c r="M37" s="34" t="n"/>
    </row>
    <row r="38" ht="26" customHeight="1">
      <c r="A38" s="41" t="n"/>
      <c r="B38" s="132" t="n"/>
      <c r="C38" s="34" t="n"/>
      <c r="D38" s="41" t="n"/>
      <c r="E38" s="34" t="n"/>
      <c r="F38" s="66" t="n"/>
      <c r="G38" s="66" t="n"/>
      <c r="H38" s="133" t="n"/>
      <c r="I38" s="41" t="n"/>
      <c r="J38" s="34" t="n"/>
      <c r="K38" s="41" t="n"/>
      <c r="L38" s="132" t="n"/>
      <c r="M38" s="34" t="n"/>
    </row>
    <row r="39" ht="26" customHeight="1">
      <c r="A39" s="41" t="n"/>
      <c r="B39" s="132" t="n"/>
      <c r="C39" s="34" t="n"/>
      <c r="D39" s="41" t="n"/>
      <c r="E39" s="34" t="n"/>
      <c r="F39" s="66" t="n"/>
      <c r="G39" s="66" t="n"/>
      <c r="H39" s="133" t="n"/>
      <c r="I39" s="41" t="n"/>
      <c r="J39" s="34" t="n"/>
      <c r="K39" s="41" t="n"/>
      <c r="L39" s="132" t="n"/>
      <c r="M39" s="34" t="n"/>
    </row>
    <row r="40" ht="26" customHeight="1">
      <c r="A40" s="41" t="n"/>
      <c r="B40" s="132" t="n"/>
      <c r="C40" s="34" t="n"/>
      <c r="D40" s="41" t="n"/>
      <c r="E40" s="34" t="n"/>
      <c r="F40" s="66" t="n"/>
      <c r="G40" s="66" t="n"/>
      <c r="H40" s="133" t="n"/>
      <c r="I40" s="41" t="n"/>
      <c r="J40" s="34" t="n"/>
      <c r="K40" s="41" t="n"/>
      <c r="L40" s="132" t="n"/>
      <c r="M40" s="34" t="n"/>
    </row>
    <row r="41" ht="26" customHeight="1">
      <c r="A41" s="41" t="n"/>
      <c r="B41" s="132" t="n"/>
      <c r="C41" s="34" t="n"/>
      <c r="D41" s="41" t="n"/>
      <c r="E41" s="34" t="n"/>
      <c r="F41" s="66" t="n"/>
      <c r="G41" s="66" t="n"/>
      <c r="H41" s="133" t="n"/>
      <c r="I41" s="41" t="n"/>
      <c r="J41" s="34" t="n"/>
      <c r="K41" s="41" t="n"/>
      <c r="L41" s="132" t="n"/>
      <c r="M41" s="34" t="n"/>
    </row>
    <row r="42" ht="26" customHeight="1">
      <c r="A42" s="41" t="n"/>
      <c r="B42" s="132" t="n"/>
      <c r="C42" s="34" t="n"/>
      <c r="D42" s="41" t="n"/>
      <c r="E42" s="34" t="n"/>
      <c r="F42" s="66" t="n"/>
      <c r="G42" s="66" t="n"/>
      <c r="H42" s="133" t="n"/>
      <c r="I42" s="41" t="n"/>
      <c r="J42" s="34" t="n"/>
      <c r="K42" s="41" t="n"/>
      <c r="L42" s="132" t="n"/>
      <c r="M42" s="34" t="n"/>
    </row>
    <row r="43" ht="26" customHeight="1">
      <c r="A43" s="41" t="n"/>
      <c r="B43" s="132" t="n"/>
      <c r="C43" s="34" t="n"/>
      <c r="D43" s="41" t="n"/>
      <c r="E43" s="34" t="n"/>
      <c r="F43" s="66" t="n"/>
      <c r="G43" s="66" t="n"/>
      <c r="H43" s="133" t="n"/>
      <c r="I43" s="41" t="n"/>
      <c r="J43" s="34" t="n"/>
      <c r="K43" s="41" t="n"/>
      <c r="L43" s="132" t="n"/>
      <c r="M43" s="34" t="n"/>
    </row>
    <row r="44" ht="26" customHeight="1">
      <c r="A44" s="41" t="n"/>
      <c r="B44" s="132" t="n"/>
      <c r="C44" s="34" t="n"/>
      <c r="D44" s="41" t="n"/>
      <c r="E44" s="34" t="n"/>
      <c r="F44" s="66" t="n"/>
      <c r="G44" s="66" t="n"/>
      <c r="H44" s="133" t="n"/>
      <c r="I44" s="41" t="n"/>
      <c r="J44" s="34" t="n"/>
      <c r="K44" s="41" t="n"/>
      <c r="L44" s="132" t="n"/>
      <c r="M44" s="34" t="n"/>
    </row>
    <row r="45" ht="26" customHeight="1">
      <c r="A45" s="41" t="n"/>
      <c r="B45" s="132" t="n"/>
      <c r="C45" s="34" t="n"/>
      <c r="D45" s="41" t="n"/>
      <c r="E45" s="34" t="n"/>
      <c r="F45" s="66" t="n"/>
      <c r="G45" s="66" t="n"/>
      <c r="H45" s="133" t="n"/>
      <c r="I45" s="41" t="n"/>
      <c r="J45" s="34" t="n"/>
      <c r="K45" s="41" t="n"/>
      <c r="L45" s="132" t="n"/>
      <c r="M45" s="34" t="n"/>
    </row>
    <row r="46" ht="26" customHeight="1">
      <c r="A46" s="41" t="n"/>
      <c r="B46" s="132" t="n"/>
      <c r="C46" s="34" t="n"/>
      <c r="D46" s="41" t="n"/>
      <c r="E46" s="34" t="n"/>
      <c r="F46" s="66" t="n"/>
      <c r="G46" s="66" t="n"/>
      <c r="H46" s="133" t="n"/>
      <c r="I46" s="41" t="n"/>
      <c r="J46" s="34" t="n"/>
      <c r="K46" s="41" t="n"/>
      <c r="L46" s="132" t="n"/>
      <c r="M46" s="34" t="n"/>
    </row>
  </sheetData>
  <mergeCells count="2">
    <mergeCell ref="A2:M2"/>
    <mergeCell ref="A1:M1"/>
  </mergeCells>
  <conditionalFormatting sqref="K7:K46">
    <cfRule type="cellIs" priority="1" operator="equal" dxfId="5">
      <formula>"Approved"</formula>
    </cfRule>
    <cfRule type="cellIs" priority="2" operator="equal" dxfId="6">
      <formula>"Rejected"</formula>
    </cfRule>
  </conditionalFormatting>
  <dataValidations count="5">
    <dataValidation sqref="C7:C46" showDropDown="0" showInputMessage="0" showErrorMessage="0" allowBlank="1" error="Pick a value from the list." promptTitle="Raised by" type="list">
      <formula1>=LISTS!$H$5:$H$10</formula1>
    </dataValidation>
    <dataValidation sqref="D7:D46" showDropDown="0" showInputMessage="0" showErrorMessage="0" allowBlank="1" error="Pick a value from the list." promptTitle="Change type" type="list">
      <formula1>=LISTS!$S$5:$S$10</formula1>
    </dataValidation>
    <dataValidation sqref="I7:I46" showDropDown="0" showInputMessage="0" showErrorMessage="0" allowBlank="1" error="Pick a value from the list." promptTitle="Milestone" type="list">
      <formula1>=LISTS!$D$5:$D$8</formula1>
    </dataValidation>
    <dataValidation sqref="J7:J46" showDropDown="0" showInputMessage="0" showErrorMessage="0" allowBlank="1" error="Pick a value from the list." promptTitle="Reviewer" type="list">
      <formula1>=LISTS!$H$5:$H$10</formula1>
    </dataValidation>
    <dataValidation sqref="K7:K46" showDropDown="0" showInputMessage="0" showErrorMessage="0" allowBlank="1" error="Pick a value from the list." promptTitle="Decision" type="list">
      <formula1>"Approved,Rejected,Deferred,Pending"</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23.xml><?xml version="1.0" encoding="utf-8"?>
<worksheet xmlns="http://schemas.openxmlformats.org/spreadsheetml/2006/main">
  <sheetPr>
    <tabColor rgb="000B3139"/>
    <outlinePr summaryBelow="1" summaryRight="1"/>
    <pageSetUpPr fitToPage="1"/>
  </sheetPr>
  <dimension ref="A1:T49"/>
  <sheetViews>
    <sheetView showGridLines="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outlineLevelCol="0"/>
  <cols>
    <col width="7" customWidth="1" min="1" max="1"/>
    <col width="30" customWidth="1" min="2" max="2"/>
    <col width="11" customWidth="1" min="3" max="3"/>
    <col width="20" customWidth="1" min="4" max="4"/>
    <col width="18" customWidth="1" min="5" max="5"/>
    <col width="13" customWidth="1" min="6" max="6"/>
    <col width="9" customWidth="1" min="7" max="7"/>
    <col width="9" customWidth="1" min="8" max="8"/>
    <col width="9" customWidth="1" min="9" max="9"/>
    <col width="9" customWidth="1" min="10" max="10"/>
    <col width="9" customWidth="1" min="11" max="11"/>
    <col width="11" customWidth="1" min="12" max="12"/>
    <col width="10" customWidth="1" min="13" max="13"/>
    <col width="9" customWidth="1" min="14" max="14"/>
    <col width="9" customWidth="1" min="15" max="15"/>
    <col width="9" customWidth="1" min="16" max="16"/>
    <col width="9" customWidth="1" min="17" max="17"/>
    <col width="9" customWidth="1" min="18" max="18"/>
    <col width="11" customWidth="1" min="19" max="19"/>
    <col width="10" customWidth="1" min="20" max="20"/>
  </cols>
  <sheetData>
    <row r="1" ht="30" customHeight="1">
      <c r="A1" s="1" t="inlineStr">
        <is>
          <t>Form SUMS  -  Size Summary</t>
        </is>
      </c>
    </row>
    <row r="2" ht="16" customHeight="1">
      <c r="A2" s="2" t="inlineStr">
        <is>
          <t>Screens, widgets, services and their size. Without size there is no density, no rate, no learning.</t>
        </is>
      </c>
    </row>
    <row r="4">
      <c r="A4" s="23" t="inlineStr">
        <is>
          <t>Team</t>
        </is>
      </c>
      <c r="B4" s="24">
        <f>SETUP!$C$10</f>
        <v/>
      </c>
    </row>
    <row r="6">
      <c r="G6" s="80" t="inlineStr">
        <is>
          <t>PLANNED SIZE</t>
        </is>
      </c>
      <c r="N6" s="81" t="inlineStr">
        <is>
          <t>ACTUAL SIZE</t>
        </is>
      </c>
    </row>
    <row r="7" ht="34" customHeight="1">
      <c r="A7" s="6" t="inlineStr">
        <is>
          <t>ID</t>
        </is>
      </c>
      <c r="B7" s="6" t="inlineStr">
        <is>
          <t>Assembly / part name</t>
        </is>
      </c>
      <c r="C7" s="6" t="inlineStr">
        <is>
          <t>Type</t>
        </is>
      </c>
      <c r="D7" s="6" t="inlineStr">
        <is>
          <t>Parent assembly</t>
        </is>
      </c>
      <c r="E7" s="6" t="inlineStr">
        <is>
          <t>Owner</t>
        </is>
      </c>
      <c r="F7" s="6" t="inlineStr">
        <is>
          <t>Size measure</t>
        </is>
      </c>
      <c r="G7" s="6" t="inlineStr">
        <is>
          <t>Base</t>
        </is>
      </c>
      <c r="H7" s="6" t="inlineStr">
        <is>
          <t>Deleted</t>
        </is>
      </c>
      <c r="I7" s="6" t="inlineStr">
        <is>
          <t>Modified</t>
        </is>
      </c>
      <c r="J7" s="6" t="inlineStr">
        <is>
          <t>Added</t>
        </is>
      </c>
      <c r="K7" s="6" t="inlineStr">
        <is>
          <t>Reused</t>
        </is>
      </c>
      <c r="L7" s="6" t="inlineStr">
        <is>
          <t>New &amp; changed</t>
        </is>
      </c>
      <c r="M7" s="6" t="inlineStr">
        <is>
          <t>Total</t>
        </is>
      </c>
      <c r="N7" s="6" t="inlineStr">
        <is>
          <t>Base</t>
        </is>
      </c>
      <c r="O7" s="6" t="inlineStr">
        <is>
          <t>Deleted</t>
        </is>
      </c>
      <c r="P7" s="6" t="inlineStr">
        <is>
          <t>Modified</t>
        </is>
      </c>
      <c r="Q7" s="6" t="inlineStr">
        <is>
          <t>Added</t>
        </is>
      </c>
      <c r="R7" s="6" t="inlineStr">
        <is>
          <t>Reused</t>
        </is>
      </c>
      <c r="S7" s="6" t="inlineStr">
        <is>
          <t>New &amp; changed</t>
        </is>
      </c>
      <c r="T7" s="6" t="inlineStr">
        <is>
          <t>Total</t>
        </is>
      </c>
    </row>
    <row r="8">
      <c r="A8" s="38" t="n">
        <v>1</v>
      </c>
      <c r="B8" s="34" t="inlineStr">
        <is>
          <t>UI / screens</t>
        </is>
      </c>
      <c r="C8" s="41" t="inlineStr">
        <is>
          <t>Part</t>
        </is>
      </c>
      <c r="D8" s="34" t="inlineStr">
        <is>
          <t>SYSTEM</t>
        </is>
      </c>
      <c r="E8" s="34" t="inlineStr">
        <is>
          <t>Priya Nair</t>
        </is>
      </c>
      <c r="F8" s="41" t="inlineStr">
        <is>
          <t>Dart LOC</t>
        </is>
      </c>
      <c r="G8" s="82" t="n">
        <v>0</v>
      </c>
      <c r="H8" s="82" t="n">
        <v>0</v>
      </c>
      <c r="I8" s="82" t="n">
        <v>200</v>
      </c>
      <c r="J8" s="82" t="n">
        <v>1800</v>
      </c>
      <c r="K8" s="82" t="n">
        <v>300</v>
      </c>
      <c r="L8" s="83">
        <f>IF(COUNT($G8:$K8)=0,"",N($I8)+N($J8))</f>
        <v/>
      </c>
      <c r="M8" s="83">
        <f>IF(COUNT($G8:$K8)=0,"",N($G8)-N($H8)+N($J8)+N($K8))</f>
        <v/>
      </c>
      <c r="N8" s="82" t="n">
        <v>0</v>
      </c>
      <c r="O8" s="82" t="n">
        <v>0</v>
      </c>
      <c r="P8" s="82" t="n">
        <v>260</v>
      </c>
      <c r="Q8" s="82" t="n">
        <v>1950</v>
      </c>
      <c r="R8" s="82" t="n">
        <v>300</v>
      </c>
      <c r="S8" s="83">
        <f>IF(COUNT($N8:$R8)=0,"",N($P8)+N($Q8))</f>
        <v/>
      </c>
      <c r="T8" s="83">
        <f>IF(COUNT($N8:$R8)=0,"",N($N8)-N($O8)+N($Q8)+N($R8))</f>
        <v/>
      </c>
    </row>
    <row r="9">
      <c r="A9" s="38" t="n">
        <v>2</v>
      </c>
      <c r="B9" s="34" t="inlineStr">
        <is>
          <t>Order &amp; catalogue service</t>
        </is>
      </c>
      <c r="C9" s="41" t="inlineStr">
        <is>
          <t>Part</t>
        </is>
      </c>
      <c r="D9" s="34" t="inlineStr">
        <is>
          <t>SYSTEM</t>
        </is>
      </c>
      <c r="E9" s="34" t="inlineStr">
        <is>
          <t>Daniel Wong Jun Hao</t>
        </is>
      </c>
      <c r="F9" s="41" t="inlineStr">
        <is>
          <t>Dart LOC</t>
        </is>
      </c>
      <c r="G9" s="82" t="n">
        <v>0</v>
      </c>
      <c r="H9" s="82" t="n">
        <v>0</v>
      </c>
      <c r="I9" s="82" t="n">
        <v>100</v>
      </c>
      <c r="J9" s="82" t="n">
        <v>900</v>
      </c>
      <c r="K9" s="82" t="n">
        <v>150</v>
      </c>
      <c r="L9" s="83">
        <f>IF(COUNT($G9:$K9)=0,"",N($I9)+N($J9))</f>
        <v/>
      </c>
      <c r="M9" s="83">
        <f>IF(COUNT($G9:$K9)=0,"",N($G9)-N($H9)+N($J9)+N($K9))</f>
        <v/>
      </c>
      <c r="N9" s="82" t="n">
        <v>0</v>
      </c>
      <c r="O9" s="82" t="n">
        <v>0</v>
      </c>
      <c r="P9" s="82" t="n">
        <v>140</v>
      </c>
      <c r="Q9" s="82" t="n">
        <v>980</v>
      </c>
      <c r="R9" s="82" t="n">
        <v>150</v>
      </c>
      <c r="S9" s="83">
        <f>IF(COUNT($N9:$R9)=0,"",N($P9)+N($Q9))</f>
        <v/>
      </c>
      <c r="T9" s="83">
        <f>IF(COUNT($N9:$R9)=0,"",N($N9)-N($O9)+N($Q9)+N($R9))</f>
        <v/>
      </c>
    </row>
    <row r="10">
      <c r="A10" s="38" t="n">
        <v>3</v>
      </c>
      <c r="B10" s="34" t="inlineStr">
        <is>
          <t>Local store &amp; sync</t>
        </is>
      </c>
      <c r="C10" s="41" t="inlineStr">
        <is>
          <t>Part</t>
        </is>
      </c>
      <c r="D10" s="34" t="inlineStr">
        <is>
          <t>SYSTEM</t>
        </is>
      </c>
      <c r="E10" s="34" t="inlineStr">
        <is>
          <t>Mei Ling Chong</t>
        </is>
      </c>
      <c r="F10" s="41" t="inlineStr">
        <is>
          <t>Dart LOC</t>
        </is>
      </c>
      <c r="G10" s="82" t="n">
        <v>0</v>
      </c>
      <c r="H10" s="82" t="n">
        <v>0</v>
      </c>
      <c r="I10" s="82" t="n">
        <v>60</v>
      </c>
      <c r="J10" s="82" t="n">
        <v>500</v>
      </c>
      <c r="K10" s="82" t="n">
        <v>80</v>
      </c>
      <c r="L10" s="83">
        <f>IF(COUNT($G10:$K10)=0,"",N($I10)+N($J10))</f>
        <v/>
      </c>
      <c r="M10" s="83">
        <f>IF(COUNT($G10:$K10)=0,"",N($G10)-N($H10)+N($J10)+N($K10))</f>
        <v/>
      </c>
      <c r="N10" s="82" t="n">
        <v>0</v>
      </c>
      <c r="O10" s="82" t="n">
        <v>0</v>
      </c>
      <c r="P10" s="82" t="n">
        <v>90</v>
      </c>
      <c r="Q10" s="82" t="n">
        <v>540</v>
      </c>
      <c r="R10" s="82" t="n">
        <v>80</v>
      </c>
      <c r="S10" s="83">
        <f>IF(COUNT($N10:$R10)=0,"",N($P10)+N($Q10))</f>
        <v/>
      </c>
      <c r="T10" s="83">
        <f>IF(COUNT($N10:$R10)=0,"",N($N10)-N($O10)+N($Q10)+N($R10))</f>
        <v/>
      </c>
    </row>
    <row r="11">
      <c r="A11" s="38" t="n">
        <v>4</v>
      </c>
      <c r="B11" s="34" t="inlineStr">
        <is>
          <t>Shared widgets &amp; theme</t>
        </is>
      </c>
      <c r="C11" s="41" t="inlineStr">
        <is>
          <t>Part</t>
        </is>
      </c>
      <c r="D11" s="34" t="inlineStr">
        <is>
          <t>SYSTEM</t>
        </is>
      </c>
      <c r="E11" s="34" t="inlineStr">
        <is>
          <t>Mei Ling Chong</t>
        </is>
      </c>
      <c r="F11" s="41" t="inlineStr">
        <is>
          <t>Dart LOC</t>
        </is>
      </c>
      <c r="G11" s="82" t="n">
        <v>0</v>
      </c>
      <c r="H11" s="82" t="n">
        <v>0</v>
      </c>
      <c r="I11" s="82" t="n">
        <v>0</v>
      </c>
      <c r="J11" s="82" t="n">
        <v>350</v>
      </c>
      <c r="K11" s="82" t="n">
        <v>0</v>
      </c>
      <c r="L11" s="83">
        <f>IF(COUNT($G11:$K11)=0,"",N($I11)+N($J11))</f>
        <v/>
      </c>
      <c r="M11" s="83">
        <f>IF(COUNT($G11:$K11)=0,"",N($G11)-N($H11)+N($J11)+N($K11))</f>
        <v/>
      </c>
      <c r="N11" s="82" t="n">
        <v>0</v>
      </c>
      <c r="O11" s="82" t="n">
        <v>0</v>
      </c>
      <c r="P11" s="82" t="n">
        <v>30</v>
      </c>
      <c r="Q11" s="82" t="n">
        <v>410</v>
      </c>
      <c r="R11" s="82" t="n">
        <v>0</v>
      </c>
      <c r="S11" s="83">
        <f>IF(COUNT($N11:$R11)=0,"",N($P11)+N($Q11))</f>
        <v/>
      </c>
      <c r="T11" s="83">
        <f>IF(COUNT($N11:$R11)=0,"",N($N11)-N($O11)+N($Q11)+N($R11))</f>
        <v/>
      </c>
    </row>
    <row r="12">
      <c r="A12" s="38" t="n">
        <v>5</v>
      </c>
      <c r="B12" s="34" t="inlineStr">
        <is>
          <t>Order entry screen</t>
        </is>
      </c>
      <c r="C12" s="41" t="inlineStr">
        <is>
          <t>Part</t>
        </is>
      </c>
      <c r="D12" s="34" t="inlineStr">
        <is>
          <t>UI / screens</t>
        </is>
      </c>
      <c r="E12" s="34" t="inlineStr">
        <is>
          <t>Priya Nair</t>
        </is>
      </c>
      <c r="F12" s="41" t="inlineStr">
        <is>
          <t>Screens</t>
        </is>
      </c>
      <c r="G12" s="82" t="n">
        <v>0</v>
      </c>
      <c r="H12" s="82" t="n">
        <v>0</v>
      </c>
      <c r="I12" s="82" t="n">
        <v>0</v>
      </c>
      <c r="J12" s="82" t="n">
        <v>6</v>
      </c>
      <c r="K12" s="82" t="n">
        <v>0</v>
      </c>
      <c r="L12" s="83">
        <f>IF(COUNT($G12:$K12)=0,"",N($I12)+N($J12))</f>
        <v/>
      </c>
      <c r="M12" s="83">
        <f>IF(COUNT($G12:$K12)=0,"",N($G12)-N($H12)+N($J12)+N($K12))</f>
        <v/>
      </c>
      <c r="N12" s="82" t="n">
        <v>0</v>
      </c>
      <c r="O12" s="82" t="n">
        <v>0</v>
      </c>
      <c r="P12" s="82" t="n">
        <v>0</v>
      </c>
      <c r="Q12" s="82" t="n">
        <v>7</v>
      </c>
      <c r="R12" s="82" t="n">
        <v>0</v>
      </c>
      <c r="S12" s="83">
        <f>IF(COUNT($N12:$R12)=0,"",N($P12)+N($Q12))</f>
        <v/>
      </c>
      <c r="T12" s="83">
        <f>IF(COUNT($N12:$R12)=0,"",N($N12)-N($O12)+N($Q12)+N($R12))</f>
        <v/>
      </c>
    </row>
    <row r="13">
      <c r="A13" s="38" t="n">
        <v>6</v>
      </c>
      <c r="B13" s="34" t="inlineStr">
        <is>
          <t>Catalogue screen</t>
        </is>
      </c>
      <c r="C13" s="41" t="inlineStr">
        <is>
          <t>Part</t>
        </is>
      </c>
      <c r="D13" s="34" t="inlineStr">
        <is>
          <t>UI / screens</t>
        </is>
      </c>
      <c r="E13" s="34" t="inlineStr">
        <is>
          <t>Priya Nair</t>
        </is>
      </c>
      <c r="F13" s="41" t="inlineStr">
        <is>
          <t>Screens</t>
        </is>
      </c>
      <c r="G13" s="82" t="n">
        <v>0</v>
      </c>
      <c r="H13" s="82" t="n">
        <v>0</v>
      </c>
      <c r="I13" s="82" t="n">
        <v>0</v>
      </c>
      <c r="J13" s="82" t="n">
        <v>4</v>
      </c>
      <c r="K13" s="82" t="n">
        <v>0</v>
      </c>
      <c r="L13" s="83">
        <f>IF(COUNT($G13:$K13)=0,"",N($I13)+N($J13))</f>
        <v/>
      </c>
      <c r="M13" s="83">
        <f>IF(COUNT($G13:$K13)=0,"",N($G13)-N($H13)+N($J13)+N($K13))</f>
        <v/>
      </c>
      <c r="N13" s="82" t="n">
        <v>0</v>
      </c>
      <c r="O13" s="82" t="n">
        <v>0</v>
      </c>
      <c r="P13" s="82" t="n">
        <v>0</v>
      </c>
      <c r="Q13" s="82" t="n">
        <v>5</v>
      </c>
      <c r="R13" s="82" t="n">
        <v>0</v>
      </c>
      <c r="S13" s="83">
        <f>IF(COUNT($N13:$R13)=0,"",N($P13)+N($Q13))</f>
        <v/>
      </c>
      <c r="T13" s="83">
        <f>IF(COUNT($N13:$R13)=0,"",N($N13)-N($O13)+N($Q13)+N($R13))</f>
        <v/>
      </c>
    </row>
    <row r="14">
      <c r="A14" s="38" t="n">
        <v>7</v>
      </c>
      <c r="B14" s="34" t="inlineStr">
        <is>
          <t>Invoice &amp; history</t>
        </is>
      </c>
      <c r="C14" s="41" t="inlineStr">
        <is>
          <t>Part</t>
        </is>
      </c>
      <c r="D14" s="34" t="inlineStr">
        <is>
          <t>UI / screens</t>
        </is>
      </c>
      <c r="E14" s="34" t="inlineStr">
        <is>
          <t>Harith Bin Ismail</t>
        </is>
      </c>
      <c r="F14" s="41" t="inlineStr">
        <is>
          <t>Screens</t>
        </is>
      </c>
      <c r="G14" s="82" t="n">
        <v>0</v>
      </c>
      <c r="H14" s="82" t="n">
        <v>0</v>
      </c>
      <c r="I14" s="82" t="n">
        <v>0</v>
      </c>
      <c r="J14" s="82" t="n">
        <v>4</v>
      </c>
      <c r="K14" s="82" t="n">
        <v>0</v>
      </c>
      <c r="L14" s="83">
        <f>IF(COUNT($G14:$K14)=0,"",N($I14)+N($J14))</f>
        <v/>
      </c>
      <c r="M14" s="83">
        <f>IF(COUNT($G14:$K14)=0,"",N($G14)-N($H14)+N($J14)+N($K14))</f>
        <v/>
      </c>
      <c r="N14" s="82" t="n">
        <v>0</v>
      </c>
      <c r="O14" s="82" t="n">
        <v>0</v>
      </c>
      <c r="P14" s="82" t="n">
        <v>0</v>
      </c>
      <c r="Q14" s="82" t="n">
        <v>4</v>
      </c>
      <c r="R14" s="82" t="n">
        <v>0</v>
      </c>
      <c r="S14" s="83">
        <f>IF(COUNT($N14:$R14)=0,"",N($P14)+N($Q14))</f>
        <v/>
      </c>
      <c r="T14" s="83">
        <f>IF(COUNT($N14:$R14)=0,"",N($N14)-N($O14)+N($Q14)+N($R14))</f>
        <v/>
      </c>
    </row>
    <row r="15">
      <c r="A15" s="38" t="n">
        <v>8</v>
      </c>
      <c r="B15" s="34" t="n"/>
      <c r="C15" s="41" t="n"/>
      <c r="D15" s="34" t="n"/>
      <c r="E15" s="34" t="n"/>
      <c r="F15" s="41" t="n"/>
      <c r="G15" s="82" t="n"/>
      <c r="H15" s="82" t="n"/>
      <c r="I15" s="82" t="n"/>
      <c r="J15" s="82" t="n"/>
      <c r="K15" s="82" t="n"/>
      <c r="L15" s="83">
        <f>IF(COUNT($G15:$K15)=0,"",N($I15)+N($J15))</f>
        <v/>
      </c>
      <c r="M15" s="83">
        <f>IF(COUNT($G15:$K15)=0,"",N($G15)-N($H15)+N($J15)+N($K15))</f>
        <v/>
      </c>
      <c r="N15" s="82" t="n"/>
      <c r="O15" s="82" t="n"/>
      <c r="P15" s="82" t="n"/>
      <c r="Q15" s="82" t="n"/>
      <c r="R15" s="82" t="n"/>
      <c r="S15" s="83">
        <f>IF(COUNT($N15:$R15)=0,"",N($P15)+N($Q15))</f>
        <v/>
      </c>
      <c r="T15" s="83">
        <f>IF(COUNT($N15:$R15)=0,"",N($N15)-N($O15)+N($Q15)+N($R15))</f>
        <v/>
      </c>
    </row>
    <row r="16">
      <c r="A16" s="38" t="n">
        <v>9</v>
      </c>
      <c r="B16" s="34" t="n"/>
      <c r="C16" s="41" t="n"/>
      <c r="D16" s="34" t="n"/>
      <c r="E16" s="34" t="n"/>
      <c r="F16" s="41" t="n"/>
      <c r="G16" s="82" t="n"/>
      <c r="H16" s="82" t="n"/>
      <c r="I16" s="82" t="n"/>
      <c r="J16" s="82" t="n"/>
      <c r="K16" s="82" t="n"/>
      <c r="L16" s="83">
        <f>IF(COUNT($G16:$K16)=0,"",N($I16)+N($J16))</f>
        <v/>
      </c>
      <c r="M16" s="83">
        <f>IF(COUNT($G16:$K16)=0,"",N($G16)-N($H16)+N($J16)+N($K16))</f>
        <v/>
      </c>
      <c r="N16" s="82" t="n"/>
      <c r="O16" s="82" t="n"/>
      <c r="P16" s="82" t="n"/>
      <c r="Q16" s="82" t="n"/>
      <c r="R16" s="82" t="n"/>
      <c r="S16" s="83">
        <f>IF(COUNT($N16:$R16)=0,"",N($P16)+N($Q16))</f>
        <v/>
      </c>
      <c r="T16" s="83">
        <f>IF(COUNT($N16:$R16)=0,"",N($N16)-N($O16)+N($Q16)+N($R16))</f>
        <v/>
      </c>
    </row>
    <row r="17">
      <c r="A17" s="38" t="n">
        <v>10</v>
      </c>
      <c r="B17" s="34" t="n"/>
      <c r="C17" s="41" t="n"/>
      <c r="D17" s="34" t="n"/>
      <c r="E17" s="34" t="n"/>
      <c r="F17" s="41" t="n"/>
      <c r="G17" s="82" t="n"/>
      <c r="H17" s="82" t="n"/>
      <c r="I17" s="82" t="n"/>
      <c r="J17" s="82" t="n"/>
      <c r="K17" s="82" t="n"/>
      <c r="L17" s="83">
        <f>IF(COUNT($G17:$K17)=0,"",N($I17)+N($J17))</f>
        <v/>
      </c>
      <c r="M17" s="83">
        <f>IF(COUNT($G17:$K17)=0,"",N($G17)-N($H17)+N($J17)+N($K17))</f>
        <v/>
      </c>
      <c r="N17" s="82" t="n"/>
      <c r="O17" s="82" t="n"/>
      <c r="P17" s="82" t="n"/>
      <c r="Q17" s="82" t="n"/>
      <c r="R17" s="82" t="n"/>
      <c r="S17" s="83">
        <f>IF(COUNT($N17:$R17)=0,"",N($P17)+N($Q17))</f>
        <v/>
      </c>
      <c r="T17" s="83">
        <f>IF(COUNT($N17:$R17)=0,"",N($N17)-N($O17)+N($Q17)+N($R17))</f>
        <v/>
      </c>
    </row>
    <row r="18">
      <c r="A18" s="38" t="n">
        <v>11</v>
      </c>
      <c r="B18" s="34" t="n"/>
      <c r="C18" s="41" t="n"/>
      <c r="D18" s="34" t="n"/>
      <c r="E18" s="34" t="n"/>
      <c r="F18" s="41" t="n"/>
      <c r="G18" s="82" t="n"/>
      <c r="H18" s="82" t="n"/>
      <c r="I18" s="82" t="n"/>
      <c r="J18" s="82" t="n"/>
      <c r="K18" s="82" t="n"/>
      <c r="L18" s="83">
        <f>IF(COUNT($G18:$K18)=0,"",N($I18)+N($J18))</f>
        <v/>
      </c>
      <c r="M18" s="83">
        <f>IF(COUNT($G18:$K18)=0,"",N($G18)-N($H18)+N($J18)+N($K18))</f>
        <v/>
      </c>
      <c r="N18" s="82" t="n"/>
      <c r="O18" s="82" t="n"/>
      <c r="P18" s="82" t="n"/>
      <c r="Q18" s="82" t="n"/>
      <c r="R18" s="82" t="n"/>
      <c r="S18" s="83">
        <f>IF(COUNT($N18:$R18)=0,"",N($P18)+N($Q18))</f>
        <v/>
      </c>
      <c r="T18" s="83">
        <f>IF(COUNT($N18:$R18)=0,"",N($N18)-N($O18)+N($Q18)+N($R18))</f>
        <v/>
      </c>
    </row>
    <row r="19">
      <c r="A19" s="38" t="n">
        <v>12</v>
      </c>
      <c r="B19" s="34" t="n"/>
      <c r="C19" s="41" t="n"/>
      <c r="D19" s="34" t="n"/>
      <c r="E19" s="34" t="n"/>
      <c r="F19" s="41" t="n"/>
      <c r="G19" s="82" t="n"/>
      <c r="H19" s="82" t="n"/>
      <c r="I19" s="82" t="n"/>
      <c r="J19" s="82" t="n"/>
      <c r="K19" s="82" t="n"/>
      <c r="L19" s="83">
        <f>IF(COUNT($G19:$K19)=0,"",N($I19)+N($J19))</f>
        <v/>
      </c>
      <c r="M19" s="83">
        <f>IF(COUNT($G19:$K19)=0,"",N($G19)-N($H19)+N($J19)+N($K19))</f>
        <v/>
      </c>
      <c r="N19" s="82" t="n"/>
      <c r="O19" s="82" t="n"/>
      <c r="P19" s="82" t="n"/>
      <c r="Q19" s="82" t="n"/>
      <c r="R19" s="82" t="n"/>
      <c r="S19" s="83">
        <f>IF(COUNT($N19:$R19)=0,"",N($P19)+N($Q19))</f>
        <v/>
      </c>
      <c r="T19" s="83">
        <f>IF(COUNT($N19:$R19)=0,"",N($N19)-N($O19)+N($Q19)+N($R19))</f>
        <v/>
      </c>
    </row>
    <row r="20">
      <c r="A20" s="38" t="n">
        <v>13</v>
      </c>
      <c r="B20" s="34" t="n"/>
      <c r="C20" s="41" t="n"/>
      <c r="D20" s="34" t="n"/>
      <c r="E20" s="34" t="n"/>
      <c r="F20" s="41" t="n"/>
      <c r="G20" s="82" t="n"/>
      <c r="H20" s="82" t="n"/>
      <c r="I20" s="82" t="n"/>
      <c r="J20" s="82" t="n"/>
      <c r="K20" s="82" t="n"/>
      <c r="L20" s="83">
        <f>IF(COUNT($G20:$K20)=0,"",N($I20)+N($J20))</f>
        <v/>
      </c>
      <c r="M20" s="83">
        <f>IF(COUNT($G20:$K20)=0,"",N($G20)-N($H20)+N($J20)+N($K20))</f>
        <v/>
      </c>
      <c r="N20" s="82" t="n"/>
      <c r="O20" s="82" t="n"/>
      <c r="P20" s="82" t="n"/>
      <c r="Q20" s="82" t="n"/>
      <c r="R20" s="82" t="n"/>
      <c r="S20" s="83">
        <f>IF(COUNT($N20:$R20)=0,"",N($P20)+N($Q20))</f>
        <v/>
      </c>
      <c r="T20" s="83">
        <f>IF(COUNT($N20:$R20)=0,"",N($N20)-N($O20)+N($Q20)+N($R20))</f>
        <v/>
      </c>
    </row>
    <row r="21">
      <c r="A21" s="38" t="n">
        <v>14</v>
      </c>
      <c r="B21" s="34" t="n"/>
      <c r="C21" s="41" t="n"/>
      <c r="D21" s="34" t="n"/>
      <c r="E21" s="34" t="n"/>
      <c r="F21" s="41" t="n"/>
      <c r="G21" s="82" t="n"/>
      <c r="H21" s="82" t="n"/>
      <c r="I21" s="82" t="n"/>
      <c r="J21" s="82" t="n"/>
      <c r="K21" s="82" t="n"/>
      <c r="L21" s="83">
        <f>IF(COUNT($G21:$K21)=0,"",N($I21)+N($J21))</f>
        <v/>
      </c>
      <c r="M21" s="83">
        <f>IF(COUNT($G21:$K21)=0,"",N($G21)-N($H21)+N($J21)+N($K21))</f>
        <v/>
      </c>
      <c r="N21" s="82" t="n"/>
      <c r="O21" s="82" t="n"/>
      <c r="P21" s="82" t="n"/>
      <c r="Q21" s="82" t="n"/>
      <c r="R21" s="82" t="n"/>
      <c r="S21" s="83">
        <f>IF(COUNT($N21:$R21)=0,"",N($P21)+N($Q21))</f>
        <v/>
      </c>
      <c r="T21" s="83">
        <f>IF(COUNT($N21:$R21)=0,"",N($N21)-N($O21)+N($Q21)+N($R21))</f>
        <v/>
      </c>
    </row>
    <row r="22">
      <c r="A22" s="38" t="n">
        <v>15</v>
      </c>
      <c r="B22" s="34" t="n"/>
      <c r="C22" s="41" t="n"/>
      <c r="D22" s="34" t="n"/>
      <c r="E22" s="34" t="n"/>
      <c r="F22" s="41" t="n"/>
      <c r="G22" s="82" t="n"/>
      <c r="H22" s="82" t="n"/>
      <c r="I22" s="82" t="n"/>
      <c r="J22" s="82" t="n"/>
      <c r="K22" s="82" t="n"/>
      <c r="L22" s="83">
        <f>IF(COUNT($G22:$K22)=0,"",N($I22)+N($J22))</f>
        <v/>
      </c>
      <c r="M22" s="83">
        <f>IF(COUNT($G22:$K22)=0,"",N($G22)-N($H22)+N($J22)+N($K22))</f>
        <v/>
      </c>
      <c r="N22" s="82" t="n"/>
      <c r="O22" s="82" t="n"/>
      <c r="P22" s="82" t="n"/>
      <c r="Q22" s="82" t="n"/>
      <c r="R22" s="82" t="n"/>
      <c r="S22" s="83">
        <f>IF(COUNT($N22:$R22)=0,"",N($P22)+N($Q22))</f>
        <v/>
      </c>
      <c r="T22" s="83">
        <f>IF(COUNT($N22:$R22)=0,"",N($N22)-N($O22)+N($Q22)+N($R22))</f>
        <v/>
      </c>
    </row>
    <row r="23">
      <c r="A23" s="38" t="n">
        <v>16</v>
      </c>
      <c r="B23" s="34" t="n"/>
      <c r="C23" s="41" t="n"/>
      <c r="D23" s="34" t="n"/>
      <c r="E23" s="34" t="n"/>
      <c r="F23" s="41" t="n"/>
      <c r="G23" s="82" t="n"/>
      <c r="H23" s="82" t="n"/>
      <c r="I23" s="82" t="n"/>
      <c r="J23" s="82" t="n"/>
      <c r="K23" s="82" t="n"/>
      <c r="L23" s="83">
        <f>IF(COUNT($G23:$K23)=0,"",N($I23)+N($J23))</f>
        <v/>
      </c>
      <c r="M23" s="83">
        <f>IF(COUNT($G23:$K23)=0,"",N($G23)-N($H23)+N($J23)+N($K23))</f>
        <v/>
      </c>
      <c r="N23" s="82" t="n"/>
      <c r="O23" s="82" t="n"/>
      <c r="P23" s="82" t="n"/>
      <c r="Q23" s="82" t="n"/>
      <c r="R23" s="82" t="n"/>
      <c r="S23" s="83">
        <f>IF(COUNT($N23:$R23)=0,"",N($P23)+N($Q23))</f>
        <v/>
      </c>
      <c r="T23" s="83">
        <f>IF(COUNT($N23:$R23)=0,"",N($N23)-N($O23)+N($Q23)+N($R23))</f>
        <v/>
      </c>
    </row>
    <row r="24">
      <c r="A24" s="38" t="n">
        <v>17</v>
      </c>
      <c r="B24" s="34" t="n"/>
      <c r="C24" s="41" t="n"/>
      <c r="D24" s="34" t="n"/>
      <c r="E24" s="34" t="n"/>
      <c r="F24" s="41" t="n"/>
      <c r="G24" s="82" t="n"/>
      <c r="H24" s="82" t="n"/>
      <c r="I24" s="82" t="n"/>
      <c r="J24" s="82" t="n"/>
      <c r="K24" s="82" t="n"/>
      <c r="L24" s="83">
        <f>IF(COUNT($G24:$K24)=0,"",N($I24)+N($J24))</f>
        <v/>
      </c>
      <c r="M24" s="83">
        <f>IF(COUNT($G24:$K24)=0,"",N($G24)-N($H24)+N($J24)+N($K24))</f>
        <v/>
      </c>
      <c r="N24" s="82" t="n"/>
      <c r="O24" s="82" t="n"/>
      <c r="P24" s="82" t="n"/>
      <c r="Q24" s="82" t="n"/>
      <c r="R24" s="82" t="n"/>
      <c r="S24" s="83">
        <f>IF(COUNT($N24:$R24)=0,"",N($P24)+N($Q24))</f>
        <v/>
      </c>
      <c r="T24" s="83">
        <f>IF(COUNT($N24:$R24)=0,"",N($N24)-N($O24)+N($Q24)+N($R24))</f>
        <v/>
      </c>
    </row>
    <row r="25">
      <c r="A25" s="38" t="n">
        <v>18</v>
      </c>
      <c r="B25" s="34" t="n"/>
      <c r="C25" s="41" t="n"/>
      <c r="D25" s="34" t="n"/>
      <c r="E25" s="34" t="n"/>
      <c r="F25" s="41" t="n"/>
      <c r="G25" s="82" t="n"/>
      <c r="H25" s="82" t="n"/>
      <c r="I25" s="82" t="n"/>
      <c r="J25" s="82" t="n"/>
      <c r="K25" s="82" t="n"/>
      <c r="L25" s="83">
        <f>IF(COUNT($G25:$K25)=0,"",N($I25)+N($J25))</f>
        <v/>
      </c>
      <c r="M25" s="83">
        <f>IF(COUNT($G25:$K25)=0,"",N($G25)-N($H25)+N($J25)+N($K25))</f>
        <v/>
      </c>
      <c r="N25" s="82" t="n"/>
      <c r="O25" s="82" t="n"/>
      <c r="P25" s="82" t="n"/>
      <c r="Q25" s="82" t="n"/>
      <c r="R25" s="82" t="n"/>
      <c r="S25" s="83">
        <f>IF(COUNT($N25:$R25)=0,"",N($P25)+N($Q25))</f>
        <v/>
      </c>
      <c r="T25" s="83">
        <f>IF(COUNT($N25:$R25)=0,"",N($N25)-N($O25)+N($Q25)+N($R25))</f>
        <v/>
      </c>
    </row>
    <row r="26">
      <c r="A26" s="38" t="n">
        <v>19</v>
      </c>
      <c r="B26" s="34" t="n"/>
      <c r="C26" s="41" t="n"/>
      <c r="D26" s="34" t="n"/>
      <c r="E26" s="34" t="n"/>
      <c r="F26" s="41" t="n"/>
      <c r="G26" s="82" t="n"/>
      <c r="H26" s="82" t="n"/>
      <c r="I26" s="82" t="n"/>
      <c r="J26" s="82" t="n"/>
      <c r="K26" s="82" t="n"/>
      <c r="L26" s="83">
        <f>IF(COUNT($G26:$K26)=0,"",N($I26)+N($J26))</f>
        <v/>
      </c>
      <c r="M26" s="83">
        <f>IF(COUNT($G26:$K26)=0,"",N($G26)-N($H26)+N($J26)+N($K26))</f>
        <v/>
      </c>
      <c r="N26" s="82" t="n"/>
      <c r="O26" s="82" t="n"/>
      <c r="P26" s="82" t="n"/>
      <c r="Q26" s="82" t="n"/>
      <c r="R26" s="82" t="n"/>
      <c r="S26" s="83">
        <f>IF(COUNT($N26:$R26)=0,"",N($P26)+N($Q26))</f>
        <v/>
      </c>
      <c r="T26" s="83">
        <f>IF(COUNT($N26:$R26)=0,"",N($N26)-N($O26)+N($Q26)+N($R26))</f>
        <v/>
      </c>
    </row>
    <row r="27">
      <c r="A27" s="38" t="n">
        <v>20</v>
      </c>
      <c r="B27" s="34" t="n"/>
      <c r="C27" s="41" t="n"/>
      <c r="D27" s="34" t="n"/>
      <c r="E27" s="34" t="n"/>
      <c r="F27" s="41" t="n"/>
      <c r="G27" s="82" t="n"/>
      <c r="H27" s="82" t="n"/>
      <c r="I27" s="82" t="n"/>
      <c r="J27" s="82" t="n"/>
      <c r="K27" s="82" t="n"/>
      <c r="L27" s="83">
        <f>IF(COUNT($G27:$K27)=0,"",N($I27)+N($J27))</f>
        <v/>
      </c>
      <c r="M27" s="83">
        <f>IF(COUNT($G27:$K27)=0,"",N($G27)-N($H27)+N($J27)+N($K27))</f>
        <v/>
      </c>
      <c r="N27" s="82" t="n"/>
      <c r="O27" s="82" t="n"/>
      <c r="P27" s="82" t="n"/>
      <c r="Q27" s="82" t="n"/>
      <c r="R27" s="82" t="n"/>
      <c r="S27" s="83">
        <f>IF(COUNT($N27:$R27)=0,"",N($P27)+N($Q27))</f>
        <v/>
      </c>
      <c r="T27" s="83">
        <f>IF(COUNT($N27:$R27)=0,"",N($N27)-N($O27)+N($Q27)+N($R27))</f>
        <v/>
      </c>
    </row>
    <row r="28">
      <c r="A28" s="38" t="n">
        <v>21</v>
      </c>
      <c r="B28" s="34" t="n"/>
      <c r="C28" s="41" t="n"/>
      <c r="D28" s="34" t="n"/>
      <c r="E28" s="34" t="n"/>
      <c r="F28" s="41" t="n"/>
      <c r="G28" s="82" t="n"/>
      <c r="H28" s="82" t="n"/>
      <c r="I28" s="82" t="n"/>
      <c r="J28" s="82" t="n"/>
      <c r="K28" s="82" t="n"/>
      <c r="L28" s="83">
        <f>IF(COUNT($G28:$K28)=0,"",N($I28)+N($J28))</f>
        <v/>
      </c>
      <c r="M28" s="83">
        <f>IF(COUNT($G28:$K28)=0,"",N($G28)-N($H28)+N($J28)+N($K28))</f>
        <v/>
      </c>
      <c r="N28" s="82" t="n"/>
      <c r="O28" s="82" t="n"/>
      <c r="P28" s="82" t="n"/>
      <c r="Q28" s="82" t="n"/>
      <c r="R28" s="82" t="n"/>
      <c r="S28" s="83">
        <f>IF(COUNT($N28:$R28)=0,"",N($P28)+N($Q28))</f>
        <v/>
      </c>
      <c r="T28" s="83">
        <f>IF(COUNT($N28:$R28)=0,"",N($N28)-N($O28)+N($Q28)+N($R28))</f>
        <v/>
      </c>
    </row>
    <row r="29">
      <c r="A29" s="38" t="n">
        <v>22</v>
      </c>
      <c r="B29" s="34" t="n"/>
      <c r="C29" s="41" t="n"/>
      <c r="D29" s="34" t="n"/>
      <c r="E29" s="34" t="n"/>
      <c r="F29" s="41" t="n"/>
      <c r="G29" s="82" t="n"/>
      <c r="H29" s="82" t="n"/>
      <c r="I29" s="82" t="n"/>
      <c r="J29" s="82" t="n"/>
      <c r="K29" s="82" t="n"/>
      <c r="L29" s="83">
        <f>IF(COUNT($G29:$K29)=0,"",N($I29)+N($J29))</f>
        <v/>
      </c>
      <c r="M29" s="83">
        <f>IF(COUNT($G29:$K29)=0,"",N($G29)-N($H29)+N($J29)+N($K29))</f>
        <v/>
      </c>
      <c r="N29" s="82" t="n"/>
      <c r="O29" s="82" t="n"/>
      <c r="P29" s="82" t="n"/>
      <c r="Q29" s="82" t="n"/>
      <c r="R29" s="82" t="n"/>
      <c r="S29" s="83">
        <f>IF(COUNT($N29:$R29)=0,"",N($P29)+N($Q29))</f>
        <v/>
      </c>
      <c r="T29" s="83">
        <f>IF(COUNT($N29:$R29)=0,"",N($N29)-N($O29)+N($Q29)+N($R29))</f>
        <v/>
      </c>
    </row>
    <row r="30">
      <c r="A30" s="38" t="n">
        <v>23</v>
      </c>
      <c r="B30" s="34" t="n"/>
      <c r="C30" s="41" t="n"/>
      <c r="D30" s="34" t="n"/>
      <c r="E30" s="34" t="n"/>
      <c r="F30" s="41" t="n"/>
      <c r="G30" s="82" t="n"/>
      <c r="H30" s="82" t="n"/>
      <c r="I30" s="82" t="n"/>
      <c r="J30" s="82" t="n"/>
      <c r="K30" s="82" t="n"/>
      <c r="L30" s="83">
        <f>IF(COUNT($G30:$K30)=0,"",N($I30)+N($J30))</f>
        <v/>
      </c>
      <c r="M30" s="83">
        <f>IF(COUNT($G30:$K30)=0,"",N($G30)-N($H30)+N($J30)+N($K30))</f>
        <v/>
      </c>
      <c r="N30" s="82" t="n"/>
      <c r="O30" s="82" t="n"/>
      <c r="P30" s="82" t="n"/>
      <c r="Q30" s="82" t="n"/>
      <c r="R30" s="82" t="n"/>
      <c r="S30" s="83">
        <f>IF(COUNT($N30:$R30)=0,"",N($P30)+N($Q30))</f>
        <v/>
      </c>
      <c r="T30" s="83">
        <f>IF(COUNT($N30:$R30)=0,"",N($N30)-N($O30)+N($Q30)+N($R30))</f>
        <v/>
      </c>
    </row>
    <row r="31">
      <c r="A31" s="38" t="n">
        <v>24</v>
      </c>
      <c r="B31" s="34" t="n"/>
      <c r="C31" s="41" t="n"/>
      <c r="D31" s="34" t="n"/>
      <c r="E31" s="34" t="n"/>
      <c r="F31" s="41" t="n"/>
      <c r="G31" s="82" t="n"/>
      <c r="H31" s="82" t="n"/>
      <c r="I31" s="82" t="n"/>
      <c r="J31" s="82" t="n"/>
      <c r="K31" s="82" t="n"/>
      <c r="L31" s="83">
        <f>IF(COUNT($G31:$K31)=0,"",N($I31)+N($J31))</f>
        <v/>
      </c>
      <c r="M31" s="83">
        <f>IF(COUNT($G31:$K31)=0,"",N($G31)-N($H31)+N($J31)+N($K31))</f>
        <v/>
      </c>
      <c r="N31" s="82" t="n"/>
      <c r="O31" s="82" t="n"/>
      <c r="P31" s="82" t="n"/>
      <c r="Q31" s="82" t="n"/>
      <c r="R31" s="82" t="n"/>
      <c r="S31" s="83">
        <f>IF(COUNT($N31:$R31)=0,"",N($P31)+N($Q31))</f>
        <v/>
      </c>
      <c r="T31" s="83">
        <f>IF(COUNT($N31:$R31)=0,"",N($N31)-N($O31)+N($Q31)+N($R31))</f>
        <v/>
      </c>
    </row>
    <row r="32">
      <c r="A32" s="38" t="n">
        <v>25</v>
      </c>
      <c r="B32" s="34" t="n"/>
      <c r="C32" s="41" t="n"/>
      <c r="D32" s="34" t="n"/>
      <c r="E32" s="34" t="n"/>
      <c r="F32" s="41" t="n"/>
      <c r="G32" s="82" t="n"/>
      <c r="H32" s="82" t="n"/>
      <c r="I32" s="82" t="n"/>
      <c r="J32" s="82" t="n"/>
      <c r="K32" s="82" t="n"/>
      <c r="L32" s="83">
        <f>IF(COUNT($G32:$K32)=0,"",N($I32)+N($J32))</f>
        <v/>
      </c>
      <c r="M32" s="83">
        <f>IF(COUNT($G32:$K32)=0,"",N($G32)-N($H32)+N($J32)+N($K32))</f>
        <v/>
      </c>
      <c r="N32" s="82" t="n"/>
      <c r="O32" s="82" t="n"/>
      <c r="P32" s="82" t="n"/>
      <c r="Q32" s="82" t="n"/>
      <c r="R32" s="82" t="n"/>
      <c r="S32" s="83">
        <f>IF(COUNT($N32:$R32)=0,"",N($P32)+N($Q32))</f>
        <v/>
      </c>
      <c r="T32" s="83">
        <f>IF(COUNT($N32:$R32)=0,"",N($N32)-N($O32)+N($Q32)+N($R32))</f>
        <v/>
      </c>
    </row>
    <row r="33">
      <c r="A33" s="38" t="n">
        <v>26</v>
      </c>
      <c r="B33" s="34" t="n"/>
      <c r="C33" s="41" t="n"/>
      <c r="D33" s="34" t="n"/>
      <c r="E33" s="34" t="n"/>
      <c r="F33" s="41" t="n"/>
      <c r="G33" s="82" t="n"/>
      <c r="H33" s="82" t="n"/>
      <c r="I33" s="82" t="n"/>
      <c r="J33" s="82" t="n"/>
      <c r="K33" s="82" t="n"/>
      <c r="L33" s="83">
        <f>IF(COUNT($G33:$K33)=0,"",N($I33)+N($J33))</f>
        <v/>
      </c>
      <c r="M33" s="83">
        <f>IF(COUNT($G33:$K33)=0,"",N($G33)-N($H33)+N($J33)+N($K33))</f>
        <v/>
      </c>
      <c r="N33" s="82" t="n"/>
      <c r="O33" s="82" t="n"/>
      <c r="P33" s="82" t="n"/>
      <c r="Q33" s="82" t="n"/>
      <c r="R33" s="82" t="n"/>
      <c r="S33" s="83">
        <f>IF(COUNT($N33:$R33)=0,"",N($P33)+N($Q33))</f>
        <v/>
      </c>
      <c r="T33" s="83">
        <f>IF(COUNT($N33:$R33)=0,"",N($N33)-N($O33)+N($Q33)+N($R33))</f>
        <v/>
      </c>
    </row>
    <row r="34">
      <c r="A34" s="38" t="n">
        <v>27</v>
      </c>
      <c r="B34" s="34" t="n"/>
      <c r="C34" s="41" t="n"/>
      <c r="D34" s="34" t="n"/>
      <c r="E34" s="34" t="n"/>
      <c r="F34" s="41" t="n"/>
      <c r="G34" s="82" t="n"/>
      <c r="H34" s="82" t="n"/>
      <c r="I34" s="82" t="n"/>
      <c r="J34" s="82" t="n"/>
      <c r="K34" s="82" t="n"/>
      <c r="L34" s="83">
        <f>IF(COUNT($G34:$K34)=0,"",N($I34)+N($J34))</f>
        <v/>
      </c>
      <c r="M34" s="83">
        <f>IF(COUNT($G34:$K34)=0,"",N($G34)-N($H34)+N($J34)+N($K34))</f>
        <v/>
      </c>
      <c r="N34" s="82" t="n"/>
      <c r="O34" s="82" t="n"/>
      <c r="P34" s="82" t="n"/>
      <c r="Q34" s="82" t="n"/>
      <c r="R34" s="82" t="n"/>
      <c r="S34" s="83">
        <f>IF(COUNT($N34:$R34)=0,"",N($P34)+N($Q34))</f>
        <v/>
      </c>
      <c r="T34" s="83">
        <f>IF(COUNT($N34:$R34)=0,"",N($N34)-N($O34)+N($Q34)+N($R34))</f>
        <v/>
      </c>
    </row>
    <row r="35">
      <c r="A35" s="38" t="n">
        <v>28</v>
      </c>
      <c r="B35" s="34" t="n"/>
      <c r="C35" s="41" t="n"/>
      <c r="D35" s="34" t="n"/>
      <c r="E35" s="34" t="n"/>
      <c r="F35" s="41" t="n"/>
      <c r="G35" s="82" t="n"/>
      <c r="H35" s="82" t="n"/>
      <c r="I35" s="82" t="n"/>
      <c r="J35" s="82" t="n"/>
      <c r="K35" s="82" t="n"/>
      <c r="L35" s="83">
        <f>IF(COUNT($G35:$K35)=0,"",N($I35)+N($J35))</f>
        <v/>
      </c>
      <c r="M35" s="83">
        <f>IF(COUNT($G35:$K35)=0,"",N($G35)-N($H35)+N($J35)+N($K35))</f>
        <v/>
      </c>
      <c r="N35" s="82" t="n"/>
      <c r="O35" s="82" t="n"/>
      <c r="P35" s="82" t="n"/>
      <c r="Q35" s="82" t="n"/>
      <c r="R35" s="82" t="n"/>
      <c r="S35" s="83">
        <f>IF(COUNT($N35:$R35)=0,"",N($P35)+N($Q35))</f>
        <v/>
      </c>
      <c r="T35" s="83">
        <f>IF(COUNT($N35:$R35)=0,"",N($N35)-N($O35)+N($Q35)+N($R35))</f>
        <v/>
      </c>
    </row>
    <row r="36">
      <c r="A36" s="38" t="n">
        <v>29</v>
      </c>
      <c r="B36" s="34" t="n"/>
      <c r="C36" s="41" t="n"/>
      <c r="D36" s="34" t="n"/>
      <c r="E36" s="34" t="n"/>
      <c r="F36" s="41" t="n"/>
      <c r="G36" s="82" t="n"/>
      <c r="H36" s="82" t="n"/>
      <c r="I36" s="82" t="n"/>
      <c r="J36" s="82" t="n"/>
      <c r="K36" s="82" t="n"/>
      <c r="L36" s="83">
        <f>IF(COUNT($G36:$K36)=0,"",N($I36)+N($J36))</f>
        <v/>
      </c>
      <c r="M36" s="83">
        <f>IF(COUNT($G36:$K36)=0,"",N($G36)-N($H36)+N($J36)+N($K36))</f>
        <v/>
      </c>
      <c r="N36" s="82" t="n"/>
      <c r="O36" s="82" t="n"/>
      <c r="P36" s="82" t="n"/>
      <c r="Q36" s="82" t="n"/>
      <c r="R36" s="82" t="n"/>
      <c r="S36" s="83">
        <f>IF(COUNT($N36:$R36)=0,"",N($P36)+N($Q36))</f>
        <v/>
      </c>
      <c r="T36" s="83">
        <f>IF(COUNT($N36:$R36)=0,"",N($N36)-N($O36)+N($Q36)+N($R36))</f>
        <v/>
      </c>
    </row>
    <row r="37">
      <c r="A37" s="38" t="n">
        <v>30</v>
      </c>
      <c r="B37" s="34" t="n"/>
      <c r="C37" s="41" t="n"/>
      <c r="D37" s="34" t="n"/>
      <c r="E37" s="34" t="n"/>
      <c r="F37" s="41" t="n"/>
      <c r="G37" s="82" t="n"/>
      <c r="H37" s="82" t="n"/>
      <c r="I37" s="82" t="n"/>
      <c r="J37" s="82" t="n"/>
      <c r="K37" s="82" t="n"/>
      <c r="L37" s="83">
        <f>IF(COUNT($G37:$K37)=0,"",N($I37)+N($J37))</f>
        <v/>
      </c>
      <c r="M37" s="83">
        <f>IF(COUNT($G37:$K37)=0,"",N($G37)-N($H37)+N($J37)+N($K37))</f>
        <v/>
      </c>
      <c r="N37" s="82" t="n"/>
      <c r="O37" s="82" t="n"/>
      <c r="P37" s="82" t="n"/>
      <c r="Q37" s="82" t="n"/>
      <c r="R37" s="82" t="n"/>
      <c r="S37" s="83">
        <f>IF(COUNT($N37:$R37)=0,"",N($P37)+N($Q37))</f>
        <v/>
      </c>
      <c r="T37" s="83">
        <f>IF(COUNT($N37:$R37)=0,"",N($N37)-N($O37)+N($Q37)+N($R37))</f>
        <v/>
      </c>
    </row>
    <row r="38">
      <c r="A38" s="52" t="n"/>
      <c r="B38" s="53" t="inlineStr">
        <is>
          <t>TOTAL  (Dart LOC rows only)</t>
        </is>
      </c>
      <c r="C38" s="52" t="n"/>
      <c r="D38" s="52" t="n"/>
      <c r="E38" s="52" t="n"/>
      <c r="F38" s="52" t="n"/>
      <c r="G38" s="84">
        <f>SUMIF($F$8:$F$37,"Dart LOC",G$8:G$37)</f>
        <v/>
      </c>
      <c r="H38" s="84">
        <f>SUMIF($F$8:$F$37,"Dart LOC",H$8:H$37)</f>
        <v/>
      </c>
      <c r="I38" s="84">
        <f>SUMIF($F$8:$F$37,"Dart LOC",I$8:I$37)</f>
        <v/>
      </c>
      <c r="J38" s="84">
        <f>SUMIF($F$8:$F$37,"Dart LOC",J$8:J$37)</f>
        <v/>
      </c>
      <c r="K38" s="84">
        <f>SUMIF($F$8:$F$37,"Dart LOC",K$8:K$37)</f>
        <v/>
      </c>
      <c r="L38" s="84">
        <f>SUMIF($F$8:$F$37,"Dart LOC",L$8:L$37)</f>
        <v/>
      </c>
      <c r="M38" s="84">
        <f>SUMIF($F$8:$F$37,"Dart LOC",M$8:M$37)</f>
        <v/>
      </c>
      <c r="N38" s="84">
        <f>SUMIF($F$8:$F$37,"Dart LOC",N$8:N$37)</f>
        <v/>
      </c>
      <c r="O38" s="84">
        <f>SUMIF($F$8:$F$37,"Dart LOC",O$8:O$37)</f>
        <v/>
      </c>
      <c r="P38" s="84">
        <f>SUMIF($F$8:$F$37,"Dart LOC",P$8:P$37)</f>
        <v/>
      </c>
      <c r="Q38" s="84">
        <f>SUMIF($F$8:$F$37,"Dart LOC",Q$8:Q$37)</f>
        <v/>
      </c>
      <c r="R38" s="84">
        <f>SUMIF($F$8:$F$37,"Dart LOC",R$8:R$37)</f>
        <v/>
      </c>
      <c r="S38" s="84">
        <f>SUMIF($F$8:$F$37,"Dart LOC",S$8:S$37)</f>
        <v/>
      </c>
      <c r="T38" s="84">
        <f>SUMIF($F$8:$F$37,"Dart LOC",T$8:T$37)</f>
        <v/>
      </c>
    </row>
    <row r="40" ht="19" customHeight="1">
      <c r="A40" s="5" t="inlineStr">
        <is>
          <t>Document &amp; Artefact Size</t>
        </is>
      </c>
    </row>
    <row r="41" ht="18" customHeight="1">
      <c r="A41" s="6" t="inlineStr"/>
      <c r="B41" s="6" t="inlineStr">
        <is>
          <t>Artefact</t>
        </is>
      </c>
      <c r="C41" s="6" t="inlineStr"/>
      <c r="D41" s="6" t="inlineStr"/>
      <c r="E41" s="6" t="inlineStr"/>
      <c r="F41" s="6" t="inlineStr">
        <is>
          <t>Measure</t>
        </is>
      </c>
      <c r="G41" s="6" t="inlineStr">
        <is>
          <t>Plan</t>
        </is>
      </c>
      <c r="H41" s="6" t="inlineStr"/>
      <c r="I41" s="6" t="inlineStr"/>
      <c r="J41" s="6" t="inlineStr"/>
      <c r="K41" s="6" t="inlineStr"/>
      <c r="L41" s="6" t="inlineStr"/>
      <c r="M41" s="6" t="inlineStr">
        <is>
          <t>Actual</t>
        </is>
      </c>
    </row>
    <row r="42">
      <c r="B42" s="37" t="inlineStr">
        <is>
          <t>Software Requirements Specification (SRS)</t>
        </is>
      </c>
      <c r="F42" s="38" t="inlineStr">
        <is>
          <t>SRS Pages</t>
        </is>
      </c>
      <c r="G42" s="82" t="n">
        <v>60</v>
      </c>
      <c r="M42" s="82" t="n">
        <v>64</v>
      </c>
    </row>
    <row r="43">
      <c r="B43" s="37" t="inlineStr">
        <is>
          <t>Software Design Document (SDD)</t>
        </is>
      </c>
      <c r="F43" s="38" t="inlineStr">
        <is>
          <t>SDD Pages</t>
        </is>
      </c>
      <c r="G43" s="82" t="n">
        <v>50</v>
      </c>
      <c r="M43" s="82" t="n">
        <v>58</v>
      </c>
    </row>
    <row r="44">
      <c r="B44" s="37" t="inlineStr">
        <is>
          <t>User Manual</t>
        </is>
      </c>
      <c r="F44" s="38" t="inlineStr">
        <is>
          <t>Documents</t>
        </is>
      </c>
      <c r="G44" s="82" t="n">
        <v>1</v>
      </c>
      <c r="M44" s="82" t="n">
        <v>1</v>
      </c>
    </row>
    <row r="45">
      <c r="B45" s="37" t="inlineStr">
        <is>
          <t>Test Plan</t>
        </is>
      </c>
      <c r="F45" s="38" t="inlineStr">
        <is>
          <t>Documents</t>
        </is>
      </c>
      <c r="G45" s="82" t="n">
        <v>1</v>
      </c>
      <c r="M45" s="82" t="n">
        <v>1</v>
      </c>
    </row>
    <row r="46">
      <c r="B46" s="37" t="inlineStr">
        <is>
          <t>Final Report</t>
        </is>
      </c>
      <c r="F46" s="38" t="inlineStr">
        <is>
          <t>Documents</t>
        </is>
      </c>
      <c r="G46" s="82" t="n">
        <v>1</v>
      </c>
      <c r="M46" s="82" t="n">
        <v>1</v>
      </c>
    </row>
    <row r="47">
      <c r="B47" s="37" t="inlineStr">
        <is>
          <t>Screens delivered</t>
        </is>
      </c>
      <c r="F47" s="38" t="inlineStr">
        <is>
          <t>Screens</t>
        </is>
      </c>
      <c r="G47" s="82" t="n">
        <v>14</v>
      </c>
      <c r="M47" s="82" t="n">
        <v>16</v>
      </c>
    </row>
    <row r="48">
      <c r="B48" s="37" t="inlineStr">
        <is>
          <t>Reusable widgets built</t>
        </is>
      </c>
      <c r="F48" s="38" t="inlineStr">
        <is>
          <t>Widgets</t>
        </is>
      </c>
      <c r="G48" s="82" t="n">
        <v>20</v>
      </c>
      <c r="M48" s="82" t="n">
        <v>24</v>
      </c>
    </row>
    <row r="49">
      <c r="B49" s="37" t="inlineStr">
        <is>
          <t>API endpoints consumed</t>
        </is>
      </c>
      <c r="F49" s="38" t="inlineStr">
        <is>
          <t>API Endpoints</t>
        </is>
      </c>
      <c r="G49" s="82" t="n">
        <v>8</v>
      </c>
      <c r="M49" s="82" t="n">
        <v>9</v>
      </c>
    </row>
  </sheetData>
  <mergeCells count="5">
    <mergeCell ref="A1:T1"/>
    <mergeCell ref="G6:M6"/>
    <mergeCell ref="A40:T40"/>
    <mergeCell ref="A2:T2"/>
    <mergeCell ref="N6:T6"/>
  </mergeCells>
  <dataValidations count="3">
    <dataValidation sqref="C8:C37" showDropDown="0" showInputMessage="0" showErrorMessage="0" allowBlank="1" error="Pick a value from the list." promptTitle="Assembly or Part" type="list">
      <formula1>=LISTS!$T$5:$T$6</formula1>
    </dataValidation>
    <dataValidation sqref="E8:E37" showDropDown="0" showInputMessage="0" showErrorMessage="0" allowBlank="1" error="Pick a value from the list." promptTitle="Owner" type="list">
      <formula1>=LISTS!$H$5:$H$10</formula1>
    </dataValidation>
    <dataValidation sqref="F8:F37" showDropDown="0" showInputMessage="0" showErrorMessage="0" allowBlank="1" error="Pick a value from the list." promptTitle="Size measure" type="list">
      <formula1>=LISTS!$F$5:$F$12</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24.xml><?xml version="1.0" encoding="utf-8"?>
<worksheet xmlns="http://schemas.openxmlformats.org/spreadsheetml/2006/main">
  <sheetPr>
    <tabColor rgb="000B3139"/>
    <outlinePr summaryBelow="1" summaryRight="1"/>
    <pageSetUpPr fitToPage="1"/>
  </sheetPr>
  <dimension ref="A1:F108"/>
  <sheetViews>
    <sheetView showGridLines="0" workbookViewId="0">
      <pane ySplit="7" topLeftCell="A8" activePane="bottomLeft" state="frozen"/>
      <selection pane="bottomLeft" activeCell="A1" sqref="A1"/>
    </sheetView>
  </sheetViews>
  <sheetFormatPr baseColWidth="8" defaultRowHeight="15" outlineLevelCol="0"/>
  <cols>
    <col width="44" customWidth="1" min="1" max="1"/>
    <col width="13" customWidth="1" min="2" max="2"/>
    <col width="13" customWidth="1" min="3" max="3"/>
    <col width="11" customWidth="1" min="4" max="4"/>
    <col width="11" customWidth="1" min="5" max="5"/>
    <col width="46" customWidth="1" min="6" max="6"/>
  </cols>
  <sheetData>
    <row r="1" ht="30" customHeight="1">
      <c r="A1" s="1" t="inlineStr">
        <is>
          <t>Form SUMP  -  Plan Summary</t>
        </is>
      </c>
    </row>
    <row r="2" ht="16" customHeight="1">
      <c r="A2" s="2" t="inlineStr">
        <is>
          <t>Plan columns are yours to fill at the launch. Actual columns read themselves out of the logs.</t>
        </is>
      </c>
    </row>
    <row r="4">
      <c r="A4" s="23" t="inlineStr">
        <is>
          <t>Team</t>
        </is>
      </c>
      <c r="B4" s="24">
        <f>SETUP!$C$10</f>
        <v/>
      </c>
      <c r="D4" s="23" t="inlineStr">
        <is>
          <t>Cycle / milestone</t>
        </is>
      </c>
      <c r="E4" s="41" t="n"/>
    </row>
    <row r="6" ht="19" customHeight="1">
      <c r="A6" s="5" t="inlineStr">
        <is>
          <t>Program Size</t>
        </is>
      </c>
    </row>
    <row r="7" ht="18" customHeight="1">
      <c r="A7" s="6" t="inlineStr"/>
      <c r="B7" s="6" t="inlineStr">
        <is>
          <t>Plan</t>
        </is>
      </c>
      <c r="C7" s="6" t="inlineStr">
        <is>
          <t>Actual</t>
        </is>
      </c>
      <c r="D7" s="6" t="inlineStr">
        <is>
          <t>Actual %</t>
        </is>
      </c>
      <c r="E7" s="6" t="inlineStr"/>
      <c r="F7" s="6" t="inlineStr">
        <is>
          <t>Source</t>
        </is>
      </c>
    </row>
    <row r="8">
      <c r="A8" s="85" t="inlineStr">
        <is>
          <t>Total requirements pages (SRS)</t>
        </is>
      </c>
      <c r="B8" s="86">
        <f>SUMS!$G$42</f>
        <v/>
      </c>
      <c r="C8" s="86">
        <f>SUMS!$M$42</f>
        <v/>
      </c>
      <c r="F8" s="87" t="inlineStr">
        <is>
          <t>SUMS document block</t>
        </is>
      </c>
    </row>
    <row r="9">
      <c r="A9" s="85" t="inlineStr">
        <is>
          <t>Total design pages (SDD)</t>
        </is>
      </c>
      <c r="B9" s="86">
        <f>SUMS!$G$43</f>
        <v/>
      </c>
      <c r="C9" s="86">
        <f>SUMS!$M$43</f>
        <v/>
      </c>
      <c r="F9" s="87" t="inlineStr">
        <is>
          <t>SUMS document block</t>
        </is>
      </c>
    </row>
    <row r="10">
      <c r="A10" s="85" t="inlineStr">
        <is>
          <t>New &amp; changed Dart LOC (N)</t>
        </is>
      </c>
      <c r="B10" s="86">
        <f>SUMS!$L$38</f>
        <v/>
      </c>
      <c r="C10" s="86">
        <f>SUMS!$S$38</f>
        <v/>
      </c>
      <c r="F10" s="87" t="inlineStr">
        <is>
          <t>SUMS component totals</t>
        </is>
      </c>
    </row>
    <row r="11">
      <c r="A11" s="85" t="inlineStr">
        <is>
          <t>Total Dart LOC (T)</t>
        </is>
      </c>
      <c r="B11" s="86">
        <f>SUMS!$M$38</f>
        <v/>
      </c>
      <c r="C11" s="86">
        <f>SUMS!$T$38</f>
        <v/>
      </c>
      <c r="F11" s="87" t="inlineStr">
        <is>
          <t>SUMS component totals</t>
        </is>
      </c>
    </row>
    <row r="12">
      <c r="A12" s="85" t="inlineStr">
        <is>
          <t>Reused Dart LOC (R)</t>
        </is>
      </c>
      <c r="B12" s="86">
        <f>SUMS!$K$38</f>
        <v/>
      </c>
      <c r="C12" s="86">
        <f>SUMS!$R$38</f>
        <v/>
      </c>
      <c r="F12" s="87" t="inlineStr">
        <is>
          <t>SUMS component totals</t>
        </is>
      </c>
    </row>
    <row r="13">
      <c r="A13" s="85" t="inlineStr">
        <is>
          <t>Screens delivered</t>
        </is>
      </c>
      <c r="B13" s="86">
        <f>SUMS!$G$47</f>
        <v/>
      </c>
      <c r="C13" s="86">
        <f>SUMS!$M$47</f>
        <v/>
      </c>
      <c r="F13" s="87" t="inlineStr">
        <is>
          <t>SUMS document block</t>
        </is>
      </c>
    </row>
    <row r="14">
      <c r="A14" s="85" t="inlineStr">
        <is>
          <t>Reusable widgets built</t>
        </is>
      </c>
      <c r="B14" s="86">
        <f>SUMS!$G$48</f>
        <v/>
      </c>
      <c r="C14" s="86">
        <f>SUMS!$M$48</f>
        <v/>
      </c>
      <c r="F14" s="87" t="inlineStr">
        <is>
          <t>SUMS document block</t>
        </is>
      </c>
    </row>
    <row r="16" ht="19" customHeight="1">
      <c r="A16" s="5" t="inlineStr">
        <is>
          <t>Time in Phase (hours)</t>
        </is>
      </c>
    </row>
    <row r="17" ht="18" customHeight="1">
      <c r="A17" s="6" t="inlineStr">
        <is>
          <t>Phase</t>
        </is>
      </c>
      <c r="B17" s="6" t="inlineStr">
        <is>
          <t>Plan</t>
        </is>
      </c>
      <c r="C17" s="6" t="inlineStr">
        <is>
          <t>Actual</t>
        </is>
      </c>
      <c r="D17" s="6" t="inlineStr">
        <is>
          <t>Actual %</t>
        </is>
      </c>
      <c r="E17" s="6" t="inlineStr">
        <is>
          <t>Plan %</t>
        </is>
      </c>
      <c r="F17" s="6" t="inlineStr">
        <is>
          <t>Description</t>
        </is>
      </c>
    </row>
    <row r="18">
      <c r="A18" s="88" t="inlineStr">
        <is>
          <t>MGMT</t>
        </is>
      </c>
      <c r="B18" s="133" t="n">
        <v>7</v>
      </c>
      <c r="C18" s="134">
        <f>SUMIFS(LOGT!$K$7:$K$406,LOGT!$E$7:$E$406,"MGMT")/60</f>
        <v/>
      </c>
      <c r="D18" s="135">
        <f>IF($C$44=0,"",$C18/$C$44)</f>
        <v/>
      </c>
      <c r="E18" s="135">
        <f>IF($B$44=0,"",$B18/$B$44)</f>
        <v/>
      </c>
      <c r="F18" s="63" t="inlineStr">
        <is>
          <t>Management &amp; Miscellaneous</t>
        </is>
      </c>
    </row>
    <row r="19">
      <c r="A19" s="88" t="inlineStr">
        <is>
          <t>STRAT</t>
        </is>
      </c>
      <c r="B19" s="133" t="n">
        <v>11</v>
      </c>
      <c r="C19" s="134">
        <f>SUMIFS(LOGT!$K$7:$K$406,LOGT!$E$7:$E$406,"STRAT")/60</f>
        <v/>
      </c>
      <c r="D19" s="135">
        <f>IF($C$44=0,"",$C19/$C$44)</f>
        <v/>
      </c>
      <c r="E19" s="135">
        <f>IF($B$44=0,"",$B19/$B$44)</f>
        <v/>
      </c>
      <c r="F19" s="63" t="inlineStr">
        <is>
          <t>Launch &amp; Strategy</t>
        </is>
      </c>
    </row>
    <row r="20">
      <c r="A20" s="88" t="inlineStr">
        <is>
          <t>PLAN</t>
        </is>
      </c>
      <c r="B20" s="133" t="n">
        <v>10.5</v>
      </c>
      <c r="C20" s="134">
        <f>SUMIFS(LOGT!$K$7:$K$406,LOGT!$E$7:$E$406,"PLAN")/60</f>
        <v/>
      </c>
      <c r="D20" s="135">
        <f>IF($C$44=0,"",$C20/$C$44)</f>
        <v/>
      </c>
      <c r="E20" s="135">
        <f>IF($B$44=0,"",$B20/$B$44)</f>
        <v/>
      </c>
      <c r="F20" s="63" t="inlineStr">
        <is>
          <t>Planning</t>
        </is>
      </c>
    </row>
    <row r="21">
      <c r="A21" s="88" t="inlineStr">
        <is>
          <t>REQ</t>
        </is>
      </c>
      <c r="B21" s="133" t="n">
        <v>7</v>
      </c>
      <c r="C21" s="134">
        <f>SUMIFS(LOGT!$K$7:$K$406,LOGT!$E$7:$E$406,"REQ")/60</f>
        <v/>
      </c>
      <c r="D21" s="135">
        <f>IF($C$44=0,"",$C21/$C$44)</f>
        <v/>
      </c>
      <c r="E21" s="135">
        <f>IF($B$44=0,"",$B21/$B$44)</f>
        <v/>
      </c>
      <c r="F21" s="63" t="inlineStr">
        <is>
          <t>Requirements / SRS</t>
        </is>
      </c>
    </row>
    <row r="22">
      <c r="A22" s="88" t="inlineStr">
        <is>
          <t>STP</t>
        </is>
      </c>
      <c r="B22" s="133" t="n">
        <v>6</v>
      </c>
      <c r="C22" s="134">
        <f>SUMIFS(LOGT!$K$7:$K$406,LOGT!$E$7:$E$406,"STP")/60</f>
        <v/>
      </c>
      <c r="D22" s="135">
        <f>IF($C$44=0,"",$C22/$C$44)</f>
        <v/>
      </c>
      <c r="E22" s="135">
        <f>IF($B$44=0,"",$B22/$B$44)</f>
        <v/>
      </c>
      <c r="F22" s="63" t="inlineStr">
        <is>
          <t>System Test Plan</t>
        </is>
      </c>
    </row>
    <row r="23">
      <c r="A23" s="88" t="inlineStr">
        <is>
          <t>REQINSP</t>
        </is>
      </c>
      <c r="B23" s="133" t="n">
        <v>11</v>
      </c>
      <c r="C23" s="134">
        <f>SUMIFS(LOGT!$K$7:$K$406,LOGT!$E$7:$E$406,"REQINSP")/60</f>
        <v/>
      </c>
      <c r="D23" s="135">
        <f>IF($C$44=0,"",$C23/$C$44)</f>
        <v/>
      </c>
      <c r="E23" s="135">
        <f>IF($B$44=0,"",$B23/$B$44)</f>
        <v/>
      </c>
      <c r="F23" s="63" t="inlineStr">
        <is>
          <t>Requirements Inspection</t>
        </is>
      </c>
    </row>
    <row r="24">
      <c r="A24" s="88" t="inlineStr">
        <is>
          <t>HLD</t>
        </is>
      </c>
      <c r="B24" s="133" t="n">
        <v>9.5</v>
      </c>
      <c r="C24" s="134">
        <f>SUMIFS(LOGT!$K$7:$K$406,LOGT!$E$7:$E$406,"HLD")/60</f>
        <v/>
      </c>
      <c r="D24" s="135">
        <f>IF($C$44=0,"",$C24/$C$44)</f>
        <v/>
      </c>
      <c r="E24" s="135">
        <f>IF($B$44=0,"",$B24/$B$44)</f>
        <v/>
      </c>
      <c r="F24" s="63" t="inlineStr">
        <is>
          <t>High-Level Design / Architecture (SDD)</t>
        </is>
      </c>
    </row>
    <row r="25">
      <c r="A25" s="88" t="inlineStr">
        <is>
          <t>ITP</t>
        </is>
      </c>
      <c r="B25" s="133" t="n">
        <v>6</v>
      </c>
      <c r="C25" s="134">
        <f>SUMIFS(LOGT!$K$7:$K$406,LOGT!$E$7:$E$406,"ITP")/60</f>
        <v/>
      </c>
      <c r="D25" s="135">
        <f>IF($C$44=0,"",$C25/$C$44)</f>
        <v/>
      </c>
      <c r="E25" s="135">
        <f>IF($B$44=0,"",$B25/$B$44)</f>
        <v/>
      </c>
      <c r="F25" s="63" t="inlineStr">
        <is>
          <t>Integration Test Plan</t>
        </is>
      </c>
    </row>
    <row r="26">
      <c r="A26" s="88" t="inlineStr">
        <is>
          <t>HLDINSP</t>
        </is>
      </c>
      <c r="B26" s="133" t="n">
        <v>6</v>
      </c>
      <c r="C26" s="134">
        <f>SUMIFS(LOGT!$K$7:$K$406,LOGT!$E$7:$E$406,"HLDINSP")/60</f>
        <v/>
      </c>
      <c r="D26" s="135">
        <f>IF($C$44=0,"",$C26/$C$44)</f>
        <v/>
      </c>
      <c r="E26" s="135">
        <f>IF($B$44=0,"",$B26/$B$44)</f>
        <v/>
      </c>
      <c r="F26" s="63" t="inlineStr">
        <is>
          <t>HLD Inspection</t>
        </is>
      </c>
    </row>
    <row r="27">
      <c r="A27" s="88" t="inlineStr">
        <is>
          <t>DLD</t>
        </is>
      </c>
      <c r="B27" s="133" t="n">
        <v>27.5</v>
      </c>
      <c r="C27" s="134">
        <f>SUMIFS(LOGT!$K$7:$K$406,LOGT!$E$7:$E$406,"DLD")/60</f>
        <v/>
      </c>
      <c r="D27" s="135">
        <f>IF($C$44=0,"",$C27/$C$44)</f>
        <v/>
      </c>
      <c r="E27" s="135">
        <f>IF($B$44=0,"",$B27/$B$44)</f>
        <v/>
      </c>
      <c r="F27" s="63" t="inlineStr">
        <is>
          <t>Detailed Design (screens, widgets, models)</t>
        </is>
      </c>
    </row>
    <row r="28">
      <c r="A28" s="88" t="inlineStr">
        <is>
          <t>DLDR</t>
        </is>
      </c>
      <c r="B28" s="133" t="n">
        <v>40.5</v>
      </c>
      <c r="C28" s="134">
        <f>SUMIFS(LOGT!$K$7:$K$406,LOGT!$E$7:$E$406,"DLDR")/60</f>
        <v/>
      </c>
      <c r="D28" s="135">
        <f>IF($C$44=0,"",$C28/$C$44)</f>
        <v/>
      </c>
      <c r="E28" s="135">
        <f>IF($B$44=0,"",$B28/$B$44)</f>
        <v/>
      </c>
      <c r="F28" s="63" t="inlineStr">
        <is>
          <t>Detailed Design Review</t>
        </is>
      </c>
    </row>
    <row r="29">
      <c r="A29" s="88" t="inlineStr">
        <is>
          <t>TD</t>
        </is>
      </c>
      <c r="B29" s="133" t="n">
        <v>37</v>
      </c>
      <c r="C29" s="134">
        <f>SUMIFS(LOGT!$K$7:$K$406,LOGT!$E$7:$E$406,"TD")/60</f>
        <v/>
      </c>
      <c r="D29" s="135">
        <f>IF($C$44=0,"",$C29/$C$44)</f>
        <v/>
      </c>
      <c r="E29" s="135">
        <f>IF($B$44=0,"",$B29/$B$44)</f>
        <v/>
      </c>
      <c r="F29" s="63" t="inlineStr">
        <is>
          <t>Test Development</t>
        </is>
      </c>
    </row>
    <row r="30">
      <c r="A30" s="88" t="inlineStr">
        <is>
          <t>DLDINSP</t>
        </is>
      </c>
      <c r="B30" s="133" t="n">
        <v>25.5</v>
      </c>
      <c r="C30" s="134">
        <f>SUMIFS(LOGT!$K$7:$K$406,LOGT!$E$7:$E$406,"DLDINSP")/60</f>
        <v/>
      </c>
      <c r="D30" s="135">
        <f>IF($C$44=0,"",$C30/$C$44)</f>
        <v/>
      </c>
      <c r="E30" s="135">
        <f>IF($B$44=0,"",$B30/$B$44)</f>
        <v/>
      </c>
      <c r="F30" s="63" t="inlineStr">
        <is>
          <t>Detailed Design Inspection</t>
        </is>
      </c>
    </row>
    <row r="31">
      <c r="A31" s="88" t="inlineStr">
        <is>
          <t>CODE</t>
        </is>
      </c>
      <c r="B31" s="133" t="n">
        <v>66</v>
      </c>
      <c r="C31" s="134">
        <f>SUMIFS(LOGT!$K$7:$K$406,LOGT!$E$7:$E$406,"CODE")/60</f>
        <v/>
      </c>
      <c r="D31" s="135">
        <f>IF($C$44=0,"",$C31/$C$44)</f>
        <v/>
      </c>
      <c r="E31" s="135">
        <f>IF($B$44=0,"",$B31/$B$44)</f>
        <v/>
      </c>
      <c r="F31" s="63" t="inlineStr">
        <is>
          <t>Code - hand-written Dart/Flutter</t>
        </is>
      </c>
    </row>
    <row r="32">
      <c r="A32" s="88" t="inlineStr">
        <is>
          <t>AIGEN</t>
        </is>
      </c>
      <c r="B32" s="133" t="n">
        <v>30</v>
      </c>
      <c r="C32" s="134">
        <f>SUMIFS(LOGT!$K$7:$K$406,LOGT!$E$7:$E$406,"AIGEN")/60</f>
        <v/>
      </c>
      <c r="D32" s="135">
        <f>IF($C$44=0,"",$C32/$C$44)</f>
        <v/>
      </c>
      <c r="E32" s="135">
        <f>IF($B$44=0,"",$B32/$B$44)</f>
        <v/>
      </c>
      <c r="F32" s="63" t="inlineStr">
        <is>
          <t>Code - AI-assisted generation (Vibe)</t>
        </is>
      </c>
    </row>
    <row r="33">
      <c r="A33" s="88" t="inlineStr">
        <is>
          <t>CR</t>
        </is>
      </c>
      <c r="B33" s="133" t="n">
        <v>37</v>
      </c>
      <c r="C33" s="134">
        <f>SUMIFS(LOGT!$K$7:$K$406,LOGT!$E$7:$E$406,"CR")/60</f>
        <v/>
      </c>
      <c r="D33" s="135">
        <f>IF($C$44=0,"",$C33/$C$44)</f>
        <v/>
      </c>
      <c r="E33" s="135">
        <f>IF($B$44=0,"",$B33/$B$44)</f>
        <v/>
      </c>
      <c r="F33" s="63" t="inlineStr">
        <is>
          <t>Code Review / Pull-Request Review</t>
        </is>
      </c>
    </row>
    <row r="34">
      <c r="A34" s="88" t="inlineStr">
        <is>
          <t>BUILD</t>
        </is>
      </c>
      <c r="B34" s="133" t="n">
        <v>34.5</v>
      </c>
      <c r="C34" s="134">
        <f>SUMIFS(LOGT!$K$7:$K$406,LOGT!$E$7:$E$406,"BUILD")/60</f>
        <v/>
      </c>
      <c r="D34" s="135">
        <f>IF($C$44=0,"",$C34/$C$44)</f>
        <v/>
      </c>
      <c r="E34" s="135">
        <f>IF($B$44=0,"",$B34/$B$44)</f>
        <v/>
      </c>
      <c r="F34" s="63" t="inlineStr">
        <is>
          <t>Build &amp; Static Analysis (flutter analyze)</t>
        </is>
      </c>
    </row>
    <row r="35">
      <c r="A35" s="88" t="inlineStr">
        <is>
          <t>CODEINSP</t>
        </is>
      </c>
      <c r="B35" s="133" t="n">
        <v>36</v>
      </c>
      <c r="C35" s="134">
        <f>SUMIFS(LOGT!$K$7:$K$406,LOGT!$E$7:$E$406,"CODEINSP")/60</f>
        <v/>
      </c>
      <c r="D35" s="135">
        <f>IF($C$44=0,"",$C35/$C$44)</f>
        <v/>
      </c>
      <c r="E35" s="135">
        <f>IF($B$44=0,"",$B35/$B$44)</f>
        <v/>
      </c>
      <c r="F35" s="63" t="inlineStr">
        <is>
          <t>Code Inspection</t>
        </is>
      </c>
    </row>
    <row r="36">
      <c r="A36" s="88" t="inlineStr">
        <is>
          <t>UT</t>
        </is>
      </c>
      <c r="B36" s="133" t="n">
        <v>35</v>
      </c>
      <c r="C36" s="134">
        <f>SUMIFS(LOGT!$K$7:$K$406,LOGT!$E$7:$E$406,"UT")/60</f>
        <v/>
      </c>
      <c r="D36" s="135">
        <f>IF($C$44=0,"",$C36/$C$44)</f>
        <v/>
      </c>
      <c r="E36" s="135">
        <f>IF($B$44=0,"",$B36/$B$44)</f>
        <v/>
      </c>
      <c r="F36" s="63" t="inlineStr">
        <is>
          <t>Unit Test</t>
        </is>
      </c>
    </row>
    <row r="37">
      <c r="A37" s="88" t="inlineStr">
        <is>
          <t>WT</t>
        </is>
      </c>
      <c r="B37" s="133" t="n">
        <v>14</v>
      </c>
      <c r="C37" s="134">
        <f>SUMIFS(LOGT!$K$7:$K$406,LOGT!$E$7:$E$406,"WT")/60</f>
        <v/>
      </c>
      <c r="D37" s="135">
        <f>IF($C$44=0,"",$C37/$C$44)</f>
        <v/>
      </c>
      <c r="E37" s="135">
        <f>IF($B$44=0,"",$B37/$B$44)</f>
        <v/>
      </c>
      <c r="F37" s="63" t="inlineStr">
        <is>
          <t>Widget Test</t>
        </is>
      </c>
    </row>
    <row r="38">
      <c r="A38" s="88" t="inlineStr">
        <is>
          <t>IT</t>
        </is>
      </c>
      <c r="B38" s="133" t="n">
        <v>17</v>
      </c>
      <c r="C38" s="134">
        <f>SUMIFS(LOGT!$K$7:$K$406,LOGT!$E$7:$E$406,"IT")/60</f>
        <v/>
      </c>
      <c r="D38" s="135">
        <f>IF($C$44=0,"",$C38/$C$44)</f>
        <v/>
      </c>
      <c r="E38" s="135">
        <f>IF($B$44=0,"",$B38/$B$44)</f>
        <v/>
      </c>
      <c r="F38" s="63" t="inlineStr">
        <is>
          <t>Build &amp; Integration Test</t>
        </is>
      </c>
    </row>
    <row r="39">
      <c r="A39" s="88" t="inlineStr">
        <is>
          <t>CICD</t>
        </is>
      </c>
      <c r="B39" s="133" t="n">
        <v>10</v>
      </c>
      <c r="C39" s="134">
        <f>SUMIFS(LOGT!$K$7:$K$406,LOGT!$E$7:$E$406,"CICD")/60</f>
        <v/>
      </c>
      <c r="D39" s="135">
        <f>IF($C$44=0,"",$C39/$C$44)</f>
        <v/>
      </c>
      <c r="E39" s="135">
        <f>IF($B$44=0,"",$B39/$B$44)</f>
        <v/>
      </c>
      <c r="F39" s="63" t="inlineStr">
        <is>
          <t>CI/CD Pipeline (GitHub Actions)</t>
        </is>
      </c>
    </row>
    <row r="40">
      <c r="A40" s="88" t="inlineStr">
        <is>
          <t>ST</t>
        </is>
      </c>
      <c r="B40" s="133" t="n">
        <v>20</v>
      </c>
      <c r="C40" s="134">
        <f>SUMIFS(LOGT!$K$7:$K$406,LOGT!$E$7:$E$406,"ST")/60</f>
        <v/>
      </c>
      <c r="D40" s="135">
        <f>IF($C$44=0,"",$C40/$C$44)</f>
        <v/>
      </c>
      <c r="E40" s="135">
        <f>IF($B$44=0,"",$B40/$B$44)</f>
        <v/>
      </c>
      <c r="F40" s="63" t="inlineStr">
        <is>
          <t>System Test</t>
        </is>
      </c>
    </row>
    <row r="41">
      <c r="A41" s="88" t="inlineStr">
        <is>
          <t>UAT</t>
        </is>
      </c>
      <c r="B41" s="133" t="n">
        <v>8</v>
      </c>
      <c r="C41" s="134">
        <f>SUMIFS(LOGT!$K$7:$K$406,LOGT!$E$7:$E$406,"UAT")/60</f>
        <v/>
      </c>
      <c r="D41" s="135">
        <f>IF($C$44=0,"",$C41/$C$44)</f>
        <v/>
      </c>
      <c r="E41" s="135">
        <f>IF($B$44=0,"",$B41/$B$44)</f>
        <v/>
      </c>
      <c r="F41" s="63" t="inlineStr">
        <is>
          <t>Client Acceptance Test</t>
        </is>
      </c>
    </row>
    <row r="42">
      <c r="A42" s="88" t="inlineStr">
        <is>
          <t>DOC</t>
        </is>
      </c>
      <c r="B42" s="133" t="n">
        <v>16</v>
      </c>
      <c r="C42" s="134">
        <f>SUMIFS(LOGT!$K$7:$K$406,LOGT!$E$7:$E$406,"DOC")/60</f>
        <v/>
      </c>
      <c r="D42" s="135">
        <f>IF($C$44=0,"",$C42/$C$44)</f>
        <v/>
      </c>
      <c r="E42" s="135">
        <f>IF($B$44=0,"",$B42/$B$44)</f>
        <v/>
      </c>
      <c r="F42" s="63" t="inlineStr">
        <is>
          <t>Documentation &amp; User Manual</t>
        </is>
      </c>
    </row>
    <row r="43">
      <c r="A43" s="88" t="inlineStr">
        <is>
          <t>PM</t>
        </is>
      </c>
      <c r="B43" s="133" t="n">
        <v>12</v>
      </c>
      <c r="C43" s="134">
        <f>SUMIFS(LOGT!$K$7:$K$406,LOGT!$E$7:$E$406,"PM")/60</f>
        <v/>
      </c>
      <c r="D43" s="135">
        <f>IF($C$44=0,"",$C43/$C$44)</f>
        <v/>
      </c>
      <c r="E43" s="135">
        <f>IF($B$44=0,"",$B43/$B$44)</f>
        <v/>
      </c>
      <c r="F43" s="63" t="inlineStr">
        <is>
          <t>Postmortem</t>
        </is>
      </c>
    </row>
    <row r="44">
      <c r="A44" s="58" t="inlineStr">
        <is>
          <t>TOTAL</t>
        </is>
      </c>
      <c r="B44" s="137">
        <f>SUM(B18:B43)</f>
        <v/>
      </c>
      <c r="C44" s="137">
        <f>SUM(C18:C43)</f>
        <v/>
      </c>
      <c r="D44" s="139">
        <f>IF($C$44=0,"",1)</f>
        <v/>
      </c>
      <c r="E44" s="139">
        <f>IF($B$44=0,"",1)</f>
        <v/>
      </c>
    </row>
    <row r="46" ht="19" customHeight="1">
      <c r="A46" s="5" t="inlineStr">
        <is>
          <t>Defects Injected</t>
        </is>
      </c>
    </row>
    <row r="47" ht="18" customHeight="1">
      <c r="A47" s="6" t="inlineStr">
        <is>
          <t>Phase</t>
        </is>
      </c>
      <c r="B47" s="6" t="inlineStr">
        <is>
          <t>Plan</t>
        </is>
      </c>
      <c r="C47" s="6" t="inlineStr">
        <is>
          <t>Actual</t>
        </is>
      </c>
      <c r="D47" s="6" t="inlineStr">
        <is>
          <t>Actual %</t>
        </is>
      </c>
      <c r="E47" s="6" t="inlineStr"/>
      <c r="F47" s="6" t="inlineStr">
        <is>
          <t>Description</t>
        </is>
      </c>
    </row>
    <row r="48">
      <c r="A48" s="88" t="inlineStr">
        <is>
          <t>PLAN</t>
        </is>
      </c>
      <c r="B48" s="44" t="n"/>
      <c r="C48" s="26">
        <f>COUNTIFS(LOGD!$G$7:$G$306,"PLAN")</f>
        <v/>
      </c>
      <c r="D48" s="135">
        <f>IF($C$69=0,"",$C48/$C$69)</f>
        <v/>
      </c>
      <c r="F48" s="63" t="inlineStr">
        <is>
          <t>Planning</t>
        </is>
      </c>
    </row>
    <row r="49">
      <c r="A49" s="88" t="inlineStr">
        <is>
          <t>REQ</t>
        </is>
      </c>
      <c r="B49" s="44" t="n">
        <v>8</v>
      </c>
      <c r="C49" s="26">
        <f>COUNTIFS(LOGD!$G$7:$G$306,"REQ")</f>
        <v/>
      </c>
      <c r="D49" s="135">
        <f>IF($C$69=0,"",$C49/$C$69)</f>
        <v/>
      </c>
      <c r="F49" s="63" t="inlineStr">
        <is>
          <t>Requirements / SRS</t>
        </is>
      </c>
    </row>
    <row r="50">
      <c r="A50" s="88" t="inlineStr">
        <is>
          <t>STP</t>
        </is>
      </c>
      <c r="B50" s="44" t="n"/>
      <c r="C50" s="26">
        <f>COUNTIFS(LOGD!$G$7:$G$306,"STP")</f>
        <v/>
      </c>
      <c r="D50" s="135">
        <f>IF($C$69=0,"",$C50/$C$69)</f>
        <v/>
      </c>
      <c r="F50" s="63" t="inlineStr">
        <is>
          <t>System Test Plan</t>
        </is>
      </c>
    </row>
    <row r="51">
      <c r="A51" s="88" t="inlineStr">
        <is>
          <t>REQINSP</t>
        </is>
      </c>
      <c r="B51" s="44" t="n"/>
      <c r="C51" s="26">
        <f>COUNTIFS(LOGD!$G$7:$G$306,"REQINSP")</f>
        <v/>
      </c>
      <c r="D51" s="135">
        <f>IF($C$69=0,"",$C51/$C$69)</f>
        <v/>
      </c>
      <c r="F51" s="63" t="inlineStr">
        <is>
          <t>Requirements Inspection</t>
        </is>
      </c>
    </row>
    <row r="52">
      <c r="A52" s="88" t="inlineStr">
        <is>
          <t>HLD</t>
        </is>
      </c>
      <c r="B52" s="44" t="n">
        <v>7</v>
      </c>
      <c r="C52" s="26">
        <f>COUNTIFS(LOGD!$G$7:$G$306,"HLD")</f>
        <v/>
      </c>
      <c r="D52" s="135">
        <f>IF($C$69=0,"",$C52/$C$69)</f>
        <v/>
      </c>
      <c r="F52" s="63" t="inlineStr">
        <is>
          <t>High-Level Design / Architecture (SDD)</t>
        </is>
      </c>
    </row>
    <row r="53">
      <c r="A53" s="88" t="inlineStr">
        <is>
          <t>ITP</t>
        </is>
      </c>
      <c r="B53" s="44" t="n"/>
      <c r="C53" s="26">
        <f>COUNTIFS(LOGD!$G$7:$G$306,"ITP")</f>
        <v/>
      </c>
      <c r="D53" s="135">
        <f>IF($C$69=0,"",$C53/$C$69)</f>
        <v/>
      </c>
      <c r="F53" s="63" t="inlineStr">
        <is>
          <t>Integration Test Plan</t>
        </is>
      </c>
    </row>
    <row r="54">
      <c r="A54" s="88" t="inlineStr">
        <is>
          <t>HLDINSP</t>
        </is>
      </c>
      <c r="B54" s="44" t="n"/>
      <c r="C54" s="26">
        <f>COUNTIFS(LOGD!$G$7:$G$306,"HLDINSP")</f>
        <v/>
      </c>
      <c r="D54" s="135">
        <f>IF($C$69=0,"",$C54/$C$69)</f>
        <v/>
      </c>
      <c r="F54" s="63" t="inlineStr">
        <is>
          <t>HLD Inspection</t>
        </is>
      </c>
    </row>
    <row r="55">
      <c r="A55" s="88" t="inlineStr">
        <is>
          <t>DLD</t>
        </is>
      </c>
      <c r="B55" s="44" t="n">
        <v>12</v>
      </c>
      <c r="C55" s="26">
        <f>COUNTIFS(LOGD!$G$7:$G$306,"DLD")</f>
        <v/>
      </c>
      <c r="D55" s="135">
        <f>IF($C$69=0,"",$C55/$C$69)</f>
        <v/>
      </c>
      <c r="F55" s="63" t="inlineStr">
        <is>
          <t>Detailed Design (screens, widgets, models)</t>
        </is>
      </c>
    </row>
    <row r="56">
      <c r="A56" s="88" t="inlineStr">
        <is>
          <t>DLDR</t>
        </is>
      </c>
      <c r="B56" s="44" t="n">
        <v>2</v>
      </c>
      <c r="C56" s="26">
        <f>COUNTIFS(LOGD!$G$7:$G$306,"DLDR")</f>
        <v/>
      </c>
      <c r="D56" s="135">
        <f>IF($C$69=0,"",$C56/$C$69)</f>
        <v/>
      </c>
      <c r="F56" s="63" t="inlineStr">
        <is>
          <t>Detailed Design Review</t>
        </is>
      </c>
    </row>
    <row r="57">
      <c r="A57" s="88" t="inlineStr">
        <is>
          <t>TD</t>
        </is>
      </c>
      <c r="B57" s="44" t="n"/>
      <c r="C57" s="26">
        <f>COUNTIFS(LOGD!$G$7:$G$306,"TD")</f>
        <v/>
      </c>
      <c r="D57" s="135">
        <f>IF($C$69=0,"",$C57/$C$69)</f>
        <v/>
      </c>
      <c r="F57" s="63" t="inlineStr">
        <is>
          <t>Test Development</t>
        </is>
      </c>
    </row>
    <row r="58">
      <c r="A58" s="88" t="inlineStr">
        <is>
          <t>DLDINSP</t>
        </is>
      </c>
      <c r="B58" s="44" t="n"/>
      <c r="C58" s="26">
        <f>COUNTIFS(LOGD!$G$7:$G$306,"DLDINSP")</f>
        <v/>
      </c>
      <c r="D58" s="135">
        <f>IF($C$69=0,"",$C58/$C$69)</f>
        <v/>
      </c>
      <c r="F58" s="63" t="inlineStr">
        <is>
          <t>Detailed Design Inspection</t>
        </is>
      </c>
    </row>
    <row r="59">
      <c r="A59" s="88" t="inlineStr">
        <is>
          <t>CODE</t>
        </is>
      </c>
      <c r="B59" s="44" t="n">
        <v>20</v>
      </c>
      <c r="C59" s="26">
        <f>COUNTIFS(LOGD!$G$7:$G$306,"CODE")</f>
        <v/>
      </c>
      <c r="D59" s="135">
        <f>IF($C$69=0,"",$C59/$C$69)</f>
        <v/>
      </c>
      <c r="F59" s="63" t="inlineStr">
        <is>
          <t>Code - hand-written Dart/Flutter</t>
        </is>
      </c>
    </row>
    <row r="60">
      <c r="A60" s="88" t="inlineStr">
        <is>
          <t>AIGEN</t>
        </is>
      </c>
      <c r="B60" s="44" t="n">
        <v>6</v>
      </c>
      <c r="C60" s="26">
        <f>COUNTIFS(LOGD!$G$7:$G$306,"AIGEN")</f>
        <v/>
      </c>
      <c r="D60" s="135">
        <f>IF($C$69=0,"",$C60/$C$69)</f>
        <v/>
      </c>
      <c r="F60" s="63" t="inlineStr">
        <is>
          <t>Code - AI-assisted generation (Vibe)</t>
        </is>
      </c>
    </row>
    <row r="61">
      <c r="A61" s="88" t="inlineStr">
        <is>
          <t>CR</t>
        </is>
      </c>
      <c r="B61" s="44" t="n"/>
      <c r="C61" s="26">
        <f>COUNTIFS(LOGD!$G$7:$G$306,"CR")</f>
        <v/>
      </c>
      <c r="D61" s="135">
        <f>IF($C$69=0,"",$C61/$C$69)</f>
        <v/>
      </c>
      <c r="F61" s="63" t="inlineStr">
        <is>
          <t>Code Review / Pull-Request Review</t>
        </is>
      </c>
    </row>
    <row r="62">
      <c r="A62" s="88" t="inlineStr">
        <is>
          <t>BUILD</t>
        </is>
      </c>
      <c r="B62" s="44" t="n"/>
      <c r="C62" s="26">
        <f>COUNTIFS(LOGD!$G$7:$G$306,"BUILD")</f>
        <v/>
      </c>
      <c r="D62" s="135">
        <f>IF($C$69=0,"",$C62/$C$69)</f>
        <v/>
      </c>
      <c r="F62" s="63" t="inlineStr">
        <is>
          <t>Build &amp; Static Analysis (flutter analyze)</t>
        </is>
      </c>
    </row>
    <row r="63">
      <c r="A63" s="88" t="inlineStr">
        <is>
          <t>CODEINSP</t>
        </is>
      </c>
      <c r="B63" s="44" t="n"/>
      <c r="C63" s="26">
        <f>COUNTIFS(LOGD!$G$7:$G$306,"CODEINSP")</f>
        <v/>
      </c>
      <c r="D63" s="135">
        <f>IF($C$69=0,"",$C63/$C$69)</f>
        <v/>
      </c>
      <c r="F63" s="63" t="inlineStr">
        <is>
          <t>Code Inspection</t>
        </is>
      </c>
    </row>
    <row r="64">
      <c r="A64" s="88" t="inlineStr">
        <is>
          <t>UT</t>
        </is>
      </c>
      <c r="B64" s="44" t="n"/>
      <c r="C64" s="26">
        <f>COUNTIFS(LOGD!$G$7:$G$306,"UT")</f>
        <v/>
      </c>
      <c r="D64" s="135">
        <f>IF($C$69=0,"",$C64/$C$69)</f>
        <v/>
      </c>
      <c r="F64" s="63" t="inlineStr">
        <is>
          <t>Unit Test</t>
        </is>
      </c>
    </row>
    <row r="65">
      <c r="A65" s="88" t="inlineStr">
        <is>
          <t>WT</t>
        </is>
      </c>
      <c r="B65" s="44" t="n"/>
      <c r="C65" s="26">
        <f>COUNTIFS(LOGD!$G$7:$G$306,"WT")</f>
        <v/>
      </c>
      <c r="D65" s="135">
        <f>IF($C$69=0,"",$C65/$C$69)</f>
        <v/>
      </c>
      <c r="F65" s="63" t="inlineStr">
        <is>
          <t>Widget Test</t>
        </is>
      </c>
    </row>
    <row r="66">
      <c r="A66" s="88" t="inlineStr">
        <is>
          <t>IT</t>
        </is>
      </c>
      <c r="B66" s="44" t="n"/>
      <c r="C66" s="26">
        <f>COUNTIFS(LOGD!$G$7:$G$306,"IT")</f>
        <v/>
      </c>
      <c r="D66" s="135">
        <f>IF($C$69=0,"",$C66/$C$69)</f>
        <v/>
      </c>
      <c r="F66" s="63" t="inlineStr">
        <is>
          <t>Build &amp; Integration Test</t>
        </is>
      </c>
    </row>
    <row r="67">
      <c r="A67" s="88" t="inlineStr">
        <is>
          <t>CICD</t>
        </is>
      </c>
      <c r="B67" s="44" t="n"/>
      <c r="C67" s="26">
        <f>COUNTIFS(LOGD!$G$7:$G$306,"CICD")</f>
        <v/>
      </c>
      <c r="D67" s="135">
        <f>IF($C$69=0,"",$C67/$C$69)</f>
        <v/>
      </c>
      <c r="F67" s="63" t="inlineStr">
        <is>
          <t>CI/CD Pipeline (GitHub Actions)</t>
        </is>
      </c>
    </row>
    <row r="68">
      <c r="A68" s="88" t="inlineStr">
        <is>
          <t>ST</t>
        </is>
      </c>
      <c r="B68" s="44" t="n"/>
      <c r="C68" s="26">
        <f>COUNTIFS(LOGD!$G$7:$G$306,"ST")</f>
        <v/>
      </c>
      <c r="D68" s="135">
        <f>IF($C$69=0,"",$C68/$C$69)</f>
        <v/>
      </c>
      <c r="F68" s="63" t="inlineStr">
        <is>
          <t>System Test</t>
        </is>
      </c>
    </row>
    <row r="69">
      <c r="A69" s="58" t="inlineStr">
        <is>
          <t>TOTAL DEVELOPMENT DEFECTS INJECTED</t>
        </is>
      </c>
      <c r="B69" s="59">
        <f>SUM(B48:B68)</f>
        <v/>
      </c>
      <c r="C69" s="59">
        <f>SUM(C48:C68)</f>
        <v/>
      </c>
    </row>
    <row r="70">
      <c r="A70" s="85" t="inlineStr">
        <is>
          <t>UAT  -  injected in client acceptance test</t>
        </is>
      </c>
      <c r="B70" s="44" t="n"/>
      <c r="C70" s="26">
        <f>COUNTIFS(LOGD!$G$7:$G$306,"UAT")</f>
        <v/>
      </c>
    </row>
    <row r="71">
      <c r="A71" s="85" t="inlineStr">
        <is>
          <t>PL  -  injected after release</t>
        </is>
      </c>
      <c r="B71" s="44" t="n"/>
      <c r="C71" s="26">
        <f>COUNTIFS(LOGD!$G$7:$G$306,"PL")</f>
        <v/>
      </c>
    </row>
    <row r="73" ht="19" customHeight="1">
      <c r="A73" s="5" t="inlineStr">
        <is>
          <t>Defects Removed</t>
        </is>
      </c>
    </row>
    <row r="74" ht="18" customHeight="1">
      <c r="A74" s="6" t="inlineStr">
        <is>
          <t>Phase</t>
        </is>
      </c>
      <c r="B74" s="6" t="inlineStr">
        <is>
          <t>Plan</t>
        </is>
      </c>
      <c r="C74" s="6" t="inlineStr">
        <is>
          <t>Actual</t>
        </is>
      </c>
      <c r="D74" s="6" t="inlineStr">
        <is>
          <t>Actual %</t>
        </is>
      </c>
      <c r="E74" s="6" t="inlineStr"/>
      <c r="F74" s="6" t="inlineStr">
        <is>
          <t>Description</t>
        </is>
      </c>
    </row>
    <row r="75">
      <c r="A75" s="88" t="inlineStr">
        <is>
          <t>PLAN</t>
        </is>
      </c>
      <c r="B75" s="44" t="n"/>
      <c r="C75" s="26">
        <f>COUNTIFS(LOGD!$H$7:$H$306,"PLAN")</f>
        <v/>
      </c>
      <c r="D75" s="135">
        <f>IF($C$96=0,"",$C75/$C$96)</f>
        <v/>
      </c>
      <c r="F75" s="63" t="inlineStr">
        <is>
          <t>Planning</t>
        </is>
      </c>
    </row>
    <row r="76">
      <c r="A76" s="88" t="inlineStr">
        <is>
          <t>REQ</t>
        </is>
      </c>
      <c r="B76" s="44" t="n"/>
      <c r="C76" s="26">
        <f>COUNTIFS(LOGD!$H$7:$H$306,"REQ")</f>
        <v/>
      </c>
      <c r="D76" s="135">
        <f>IF($C$96=0,"",$C76/$C$96)</f>
        <v/>
      </c>
      <c r="F76" s="63" t="inlineStr">
        <is>
          <t>Requirements / SRS</t>
        </is>
      </c>
    </row>
    <row r="77">
      <c r="A77" s="88" t="inlineStr">
        <is>
          <t>STP</t>
        </is>
      </c>
      <c r="B77" s="44" t="n"/>
      <c r="C77" s="26">
        <f>COUNTIFS(LOGD!$H$7:$H$306,"STP")</f>
        <v/>
      </c>
      <c r="D77" s="135">
        <f>IF($C$96=0,"",$C77/$C$96)</f>
        <v/>
      </c>
      <c r="F77" s="63" t="inlineStr">
        <is>
          <t>System Test Plan</t>
        </is>
      </c>
    </row>
    <row r="78">
      <c r="A78" s="88" t="inlineStr">
        <is>
          <t>REQINSP</t>
        </is>
      </c>
      <c r="B78" s="44" t="n">
        <v>6</v>
      </c>
      <c r="C78" s="26">
        <f>COUNTIFS(LOGD!$H$7:$H$306,"REQINSP")</f>
        <v/>
      </c>
      <c r="D78" s="135">
        <f>IF($C$96=0,"",$C78/$C$96)</f>
        <v/>
      </c>
      <c r="F78" s="63" t="inlineStr">
        <is>
          <t>Requirements Inspection</t>
        </is>
      </c>
    </row>
    <row r="79">
      <c r="A79" s="88" t="inlineStr">
        <is>
          <t>HLD</t>
        </is>
      </c>
      <c r="B79" s="44" t="n"/>
      <c r="C79" s="26">
        <f>COUNTIFS(LOGD!$H$7:$H$306,"HLD")</f>
        <v/>
      </c>
      <c r="D79" s="135">
        <f>IF($C$96=0,"",$C79/$C$96)</f>
        <v/>
      </c>
      <c r="F79" s="63" t="inlineStr">
        <is>
          <t>High-Level Design / Architecture (SDD)</t>
        </is>
      </c>
    </row>
    <row r="80">
      <c r="A80" s="88" t="inlineStr">
        <is>
          <t>ITP</t>
        </is>
      </c>
      <c r="B80" s="44" t="n"/>
      <c r="C80" s="26">
        <f>COUNTIFS(LOGD!$H$7:$H$306,"ITP")</f>
        <v/>
      </c>
      <c r="D80" s="135">
        <f>IF($C$96=0,"",$C80/$C$96)</f>
        <v/>
      </c>
      <c r="F80" s="63" t="inlineStr">
        <is>
          <t>Integration Test Plan</t>
        </is>
      </c>
    </row>
    <row r="81">
      <c r="A81" s="88" t="inlineStr">
        <is>
          <t>HLDINSP</t>
        </is>
      </c>
      <c r="B81" s="44" t="n">
        <v>5</v>
      </c>
      <c r="C81" s="26">
        <f>COUNTIFS(LOGD!$H$7:$H$306,"HLDINSP")</f>
        <v/>
      </c>
      <c r="D81" s="135">
        <f>IF($C$96=0,"",$C81/$C$96)</f>
        <v/>
      </c>
      <c r="F81" s="63" t="inlineStr">
        <is>
          <t>HLD Inspection</t>
        </is>
      </c>
    </row>
    <row r="82">
      <c r="A82" s="88" t="inlineStr">
        <is>
          <t>DLD</t>
        </is>
      </c>
      <c r="B82" s="44" t="n"/>
      <c r="C82" s="26">
        <f>COUNTIFS(LOGD!$H$7:$H$306,"DLD")</f>
        <v/>
      </c>
      <c r="D82" s="135">
        <f>IF($C$96=0,"",$C82/$C$96)</f>
        <v/>
      </c>
      <c r="F82" s="63" t="inlineStr">
        <is>
          <t>Detailed Design (screens, widgets, models)</t>
        </is>
      </c>
    </row>
    <row r="83">
      <c r="A83" s="88" t="inlineStr">
        <is>
          <t>DLDR</t>
        </is>
      </c>
      <c r="B83" s="44" t="n">
        <v>8</v>
      </c>
      <c r="C83" s="26">
        <f>COUNTIFS(LOGD!$H$7:$H$306,"DLDR")</f>
        <v/>
      </c>
      <c r="D83" s="135">
        <f>IF($C$96=0,"",$C83/$C$96)</f>
        <v/>
      </c>
      <c r="F83" s="63" t="inlineStr">
        <is>
          <t>Detailed Design Review</t>
        </is>
      </c>
    </row>
    <row r="84">
      <c r="A84" s="88" t="inlineStr">
        <is>
          <t>TD</t>
        </is>
      </c>
      <c r="B84" s="44" t="n"/>
      <c r="C84" s="26">
        <f>COUNTIFS(LOGD!$H$7:$H$306,"TD")</f>
        <v/>
      </c>
      <c r="D84" s="135">
        <f>IF($C$96=0,"",$C84/$C$96)</f>
        <v/>
      </c>
      <c r="F84" s="63" t="inlineStr">
        <is>
          <t>Test Development</t>
        </is>
      </c>
    </row>
    <row r="85">
      <c r="A85" s="88" t="inlineStr">
        <is>
          <t>DLDINSP</t>
        </is>
      </c>
      <c r="B85" s="44" t="n">
        <v>4</v>
      </c>
      <c r="C85" s="26">
        <f>COUNTIFS(LOGD!$H$7:$H$306,"DLDINSP")</f>
        <v/>
      </c>
      <c r="D85" s="135">
        <f>IF($C$96=0,"",$C85/$C$96)</f>
        <v/>
      </c>
      <c r="F85" s="63" t="inlineStr">
        <is>
          <t>Detailed Design Inspection</t>
        </is>
      </c>
    </row>
    <row r="86">
      <c r="A86" s="88" t="inlineStr">
        <is>
          <t>CODE</t>
        </is>
      </c>
      <c r="B86" s="44" t="n"/>
      <c r="C86" s="26">
        <f>COUNTIFS(LOGD!$H$7:$H$306,"CODE")</f>
        <v/>
      </c>
      <c r="D86" s="135">
        <f>IF($C$96=0,"",$C86/$C$96)</f>
        <v/>
      </c>
      <c r="F86" s="63" t="inlineStr">
        <is>
          <t>Code - hand-written Dart/Flutter</t>
        </is>
      </c>
    </row>
    <row r="87">
      <c r="A87" s="88" t="inlineStr">
        <is>
          <t>AIGEN</t>
        </is>
      </c>
      <c r="B87" s="44" t="n"/>
      <c r="C87" s="26">
        <f>COUNTIFS(LOGD!$H$7:$H$306,"AIGEN")</f>
        <v/>
      </c>
      <c r="D87" s="135">
        <f>IF($C$96=0,"",$C87/$C$96)</f>
        <v/>
      </c>
      <c r="F87" s="63" t="inlineStr">
        <is>
          <t>Code - AI-assisted generation (Vibe)</t>
        </is>
      </c>
    </row>
    <row r="88">
      <c r="A88" s="88" t="inlineStr">
        <is>
          <t>CR</t>
        </is>
      </c>
      <c r="B88" s="44" t="n">
        <v>11</v>
      </c>
      <c r="C88" s="26">
        <f>COUNTIFS(LOGD!$H$7:$H$306,"CR")</f>
        <v/>
      </c>
      <c r="D88" s="135">
        <f>IF($C$96=0,"",$C88/$C$96)</f>
        <v/>
      </c>
      <c r="F88" s="63" t="inlineStr">
        <is>
          <t>Code Review / Pull-Request Review</t>
        </is>
      </c>
    </row>
    <row r="89">
      <c r="A89" s="88" t="inlineStr">
        <is>
          <t>BUILD</t>
        </is>
      </c>
      <c r="B89" s="44" t="n">
        <v>5</v>
      </c>
      <c r="C89" s="26">
        <f>COUNTIFS(LOGD!$H$7:$H$306,"BUILD")</f>
        <v/>
      </c>
      <c r="D89" s="135">
        <f>IF($C$96=0,"",$C89/$C$96)</f>
        <v/>
      </c>
      <c r="F89" s="63" t="inlineStr">
        <is>
          <t>Build &amp; Static Analysis (flutter analyze)</t>
        </is>
      </c>
    </row>
    <row r="90">
      <c r="A90" s="88" t="inlineStr">
        <is>
          <t>CODEINSP</t>
        </is>
      </c>
      <c r="B90" s="44" t="n">
        <v>4</v>
      </c>
      <c r="C90" s="26">
        <f>COUNTIFS(LOGD!$H$7:$H$306,"CODEINSP")</f>
        <v/>
      </c>
      <c r="D90" s="135">
        <f>IF($C$96=0,"",$C90/$C$96)</f>
        <v/>
      </c>
      <c r="F90" s="63" t="inlineStr">
        <is>
          <t>Code Inspection</t>
        </is>
      </c>
    </row>
    <row r="91">
      <c r="A91" s="88" t="inlineStr">
        <is>
          <t>UT</t>
        </is>
      </c>
      <c r="B91" s="44" t="n">
        <v>5</v>
      </c>
      <c r="C91" s="26">
        <f>COUNTIFS(LOGD!$H$7:$H$306,"UT")</f>
        <v/>
      </c>
      <c r="D91" s="135">
        <f>IF($C$96=0,"",$C91/$C$96)</f>
        <v/>
      </c>
      <c r="F91" s="63" t="inlineStr">
        <is>
          <t>Unit Test</t>
        </is>
      </c>
    </row>
    <row r="92">
      <c r="A92" s="88" t="inlineStr">
        <is>
          <t>WT</t>
        </is>
      </c>
      <c r="B92" s="44" t="n">
        <v>2</v>
      </c>
      <c r="C92" s="26">
        <f>COUNTIFS(LOGD!$H$7:$H$306,"WT")</f>
        <v/>
      </c>
      <c r="D92" s="135">
        <f>IF($C$96=0,"",$C92/$C$96)</f>
        <v/>
      </c>
      <c r="F92" s="63" t="inlineStr">
        <is>
          <t>Widget Test</t>
        </is>
      </c>
    </row>
    <row r="93">
      <c r="A93" s="88" t="inlineStr">
        <is>
          <t>IT</t>
        </is>
      </c>
      <c r="B93" s="44" t="n">
        <v>1</v>
      </c>
      <c r="C93" s="26">
        <f>COUNTIFS(LOGD!$H$7:$H$306,"IT")</f>
        <v/>
      </c>
      <c r="D93" s="135">
        <f>IF($C$96=0,"",$C93/$C$96)</f>
        <v/>
      </c>
      <c r="F93" s="63" t="inlineStr">
        <is>
          <t>Build &amp; Integration Test</t>
        </is>
      </c>
    </row>
    <row r="94">
      <c r="A94" s="88" t="inlineStr">
        <is>
          <t>CICD</t>
        </is>
      </c>
      <c r="B94" s="44" t="n"/>
      <c r="C94" s="26">
        <f>COUNTIFS(LOGD!$H$7:$H$306,"CICD")</f>
        <v/>
      </c>
      <c r="D94" s="135">
        <f>IF($C$96=0,"",$C94/$C$96)</f>
        <v/>
      </c>
      <c r="F94" s="63" t="inlineStr">
        <is>
          <t>CI/CD Pipeline (GitHub Actions)</t>
        </is>
      </c>
    </row>
    <row r="95">
      <c r="A95" s="88" t="inlineStr">
        <is>
          <t>ST</t>
        </is>
      </c>
      <c r="B95" s="44" t="n">
        <v>1</v>
      </c>
      <c r="C95" s="26">
        <f>COUNTIFS(LOGD!$H$7:$H$306,"ST")</f>
        <v/>
      </c>
      <c r="D95" s="135">
        <f>IF($C$96=0,"",$C95/$C$96)</f>
        <v/>
      </c>
      <c r="F95" s="63" t="inlineStr">
        <is>
          <t>System Test</t>
        </is>
      </c>
    </row>
    <row r="96">
      <c r="A96" s="58" t="inlineStr">
        <is>
          <t>TOTAL DEVELOPMENT DEFECTS REMOVED</t>
        </is>
      </c>
      <c r="B96" s="59">
        <f>SUM(B75:B95)</f>
        <v/>
      </c>
      <c r="C96" s="59">
        <f>SUM(C75:C95)</f>
        <v/>
      </c>
    </row>
    <row r="97">
      <c r="A97" s="85" t="inlineStr">
        <is>
          <t>UAT  -  removed in client acceptance test</t>
        </is>
      </c>
      <c r="B97" s="44" t="n"/>
      <c r="C97" s="26">
        <f>COUNTIFS(LOGD!$H$7:$H$306,"UAT")</f>
        <v/>
      </c>
    </row>
    <row r="98">
      <c r="A98" s="85" t="inlineStr">
        <is>
          <t>PL  -  removed after release</t>
        </is>
      </c>
      <c r="B98" s="44" t="n"/>
      <c r="C98" s="26">
        <f>COUNTIFS(LOGD!$H$7:$H$306,"PL")</f>
        <v/>
      </c>
    </row>
    <row r="100" ht="19" customHeight="1">
      <c r="A100" s="5" t="inlineStr">
        <is>
          <t>Summary Measures</t>
        </is>
      </c>
    </row>
    <row r="101" ht="18" customHeight="1">
      <c r="A101" s="6" t="inlineStr"/>
      <c r="B101" s="6" t="inlineStr">
        <is>
          <t>Plan</t>
        </is>
      </c>
      <c r="C101" s="6" t="inlineStr">
        <is>
          <t>Actual</t>
        </is>
      </c>
      <c r="D101" s="6" t="inlineStr"/>
      <c r="E101" s="6" t="inlineStr"/>
      <c r="F101" s="6" t="inlineStr">
        <is>
          <t>What it tells you</t>
        </is>
      </c>
    </row>
    <row r="102">
      <c r="A102" s="85" t="inlineStr">
        <is>
          <t>LOC per hour</t>
        </is>
      </c>
      <c r="B102" s="77">
        <f>IF($B$44=0,"",$B10/$B$44)</f>
        <v/>
      </c>
      <c r="C102" s="90">
        <f>IF($C$44=0,"",$C10/$C$44)</f>
        <v/>
      </c>
      <c r="F102" s="45" t="inlineStr">
        <is>
          <t>Team productivity. Compare cycle to cycle, never team to team.</t>
        </is>
      </c>
    </row>
    <row r="103">
      <c r="A103" s="85" t="inlineStr">
        <is>
          <t>Cost performance index (CPI)</t>
        </is>
      </c>
      <c r="B103" s="52" t="n"/>
      <c r="C103" s="90">
        <f>IF($C$44=0,"",$B$44/$C$44)</f>
        <v/>
      </c>
      <c r="F103" s="45" t="inlineStr">
        <is>
          <t>Planned hours over actual hours. Below 1.0 means the work cost more than planned.</t>
        </is>
      </c>
    </row>
    <row r="104">
      <c r="A104" s="85" t="inlineStr">
        <is>
          <t>Defects per KLOC (development)</t>
        </is>
      </c>
      <c r="B104" s="77">
        <f>IF(N($B10)=0,"",$B$96/($B10/1000))</f>
        <v/>
      </c>
      <c r="C104" s="90">
        <f>IF(N($C10)=0,"",$C$96/($C10/1000))</f>
        <v/>
      </c>
      <c r="F104" s="45" t="inlineStr">
        <is>
          <t>Defect density in new and changed code.</t>
        </is>
      </c>
    </row>
    <row r="105">
      <c r="A105" s="85" t="inlineStr">
        <is>
          <t>Hours per defect removed</t>
        </is>
      </c>
      <c r="B105" s="77">
        <f>IF($B$96=0,"",$B$44/$B$96)</f>
        <v/>
      </c>
      <c r="C105" s="90">
        <f>IF($C$96=0,"",$C$44/$C$96)</f>
        <v/>
      </c>
      <c r="F105" s="45" t="inlineStr">
        <is>
          <t>Rising cost per defect is the signal to review earlier, not test harder.</t>
        </is>
      </c>
    </row>
    <row r="106">
      <c r="A106" s="85" t="inlineStr">
        <is>
          <t>% of code that is AI-assisted</t>
        </is>
      </c>
      <c r="B106" s="52" t="n"/>
      <c r="C106" s="139">
        <f>IF(N($C10)=0,"",SUM(LOGAI!$I$7:$I$256)/$C10)</f>
        <v/>
      </c>
      <c r="F106" s="45" t="inlineStr">
        <is>
          <t>Lines kept from AI generation as a share of new and changed code.</t>
        </is>
      </c>
    </row>
    <row r="107">
      <c r="A107" s="85" t="inlineStr">
        <is>
          <t>Defects traced to AI-generated code</t>
        </is>
      </c>
      <c r="B107" s="52" t="n"/>
      <c r="C107" s="59">
        <f>COUNTIF(LOGD!$L$7:$L$306,"Yes")</f>
        <v/>
      </c>
      <c r="F107" s="45" t="inlineStr">
        <is>
          <t>If this climbs, the review rule is not being applied.</t>
        </is>
      </c>
    </row>
    <row r="108">
      <c r="A108" s="85" t="inlineStr">
        <is>
          <t>Client acceptance defects</t>
        </is>
      </c>
      <c r="B108" s="52" t="n"/>
      <c r="C108" s="59">
        <f>COUNTIFS(LOGD!$H$7:$H$306,"UAT")</f>
        <v/>
      </c>
      <c r="F108" s="45" t="inlineStr">
        <is>
          <t>The number the client sees. The goal is zero critical.</t>
        </is>
      </c>
    </row>
  </sheetData>
  <mergeCells count="7">
    <mergeCell ref="A73:F73"/>
    <mergeCell ref="A16:F16"/>
    <mergeCell ref="A2:F2"/>
    <mergeCell ref="A46:F46"/>
    <mergeCell ref="A1:F1"/>
    <mergeCell ref="A6:F6"/>
    <mergeCell ref="A100:F100"/>
  </mergeCells>
  <dataValidations count="1">
    <dataValidation sqref="E4" showDropDown="0" showInputMessage="0" showErrorMessage="0" allowBlank="1" error="Pick a value from the list." promptTitle="Milestone" type="list">
      <formula1>=LISTS!$D$5:$D$8</formula1>
    </dataValidation>
  </dataValidation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worksheet>
</file>

<file path=xl/worksheets/sheet25.xml><?xml version="1.0" encoding="utf-8"?>
<worksheet xmlns="http://schemas.openxmlformats.org/spreadsheetml/2006/main">
  <sheetPr>
    <tabColor rgb="000B3139"/>
    <outlinePr summaryBelow="1" summaryRight="1"/>
    <pageSetUpPr fitToPage="1"/>
  </sheetPr>
  <dimension ref="A1:F88"/>
  <sheetViews>
    <sheetView showGridLines="0" workbookViewId="0">
      <pane ySplit="7" topLeftCell="A8" activePane="bottomLeft" state="frozen"/>
      <selection pane="bottomLeft" activeCell="A1" sqref="A1"/>
    </sheetView>
  </sheetViews>
  <sheetFormatPr baseColWidth="8" defaultRowHeight="15" outlineLevelCol="0"/>
  <cols>
    <col width="42" customWidth="1" min="1" max="1"/>
    <col width="12" customWidth="1" min="2" max="2"/>
    <col width="12" customWidth="1" min="3" max="3"/>
    <col width="16" customWidth="1" min="4" max="4"/>
    <col width="12" customWidth="1" min="5" max="5"/>
    <col width="50" customWidth="1" min="6" max="6"/>
  </cols>
  <sheetData>
    <row r="1" ht="30" customHeight="1">
      <c r="A1" s="1" t="inlineStr">
        <is>
          <t>Form SUMQ  -  Quality Summary</t>
        </is>
      </c>
    </row>
    <row r="2" ht="16" customHeight="1">
      <c r="A2" s="2" t="inlineStr">
        <is>
          <t>Everything here is derived. If a number looks wrong, the log is wrong - fix the log, not this sheet.</t>
        </is>
      </c>
    </row>
    <row r="4">
      <c r="A4" s="23" t="inlineStr">
        <is>
          <t>Team</t>
        </is>
      </c>
      <c r="B4" s="24">
        <f>SETUP!$C$10</f>
        <v/>
      </c>
      <c r="D4" s="23" t="inlineStr">
        <is>
          <t>Cycle / milestone</t>
        </is>
      </c>
      <c r="E4" s="41" t="n"/>
    </row>
    <row r="6" ht="19" customHeight="1">
      <c r="A6" s="5" t="inlineStr">
        <is>
          <t>Defect Density</t>
        </is>
      </c>
    </row>
    <row r="7" ht="18" customHeight="1">
      <c r="A7" s="6" t="inlineStr">
        <is>
          <t>Measure</t>
        </is>
      </c>
      <c r="B7" s="6" t="inlineStr">
        <is>
          <t>Plan</t>
        </is>
      </c>
      <c r="C7" s="6" t="inlineStr">
        <is>
          <t>Actual</t>
        </is>
      </c>
      <c r="D7" s="6" t="inlineStr">
        <is>
          <t>Guideline</t>
        </is>
      </c>
      <c r="E7" s="6" t="inlineStr">
        <is>
          <t>Verdict</t>
        </is>
      </c>
      <c r="F7" s="6" t="inlineStr">
        <is>
          <t>Interpretation</t>
        </is>
      </c>
    </row>
    <row r="8">
      <c r="A8" s="85" t="inlineStr">
        <is>
          <t>Defects / page  -  requirements inspection</t>
        </is>
      </c>
      <c r="B8" s="77">
        <f>IF(N(SUMP!$B$8)=0,"",SUMP!$B$78/SUMP!$B$8)</f>
        <v/>
      </c>
      <c r="C8" s="77">
        <f>IF(N(SUMP!$C$8)=0,"",SUMP!$C$78/SUMP!$C$8)</f>
        <v/>
      </c>
      <c r="D8" s="91" t="inlineStr"/>
      <c r="E8" s="52" t="n"/>
      <c r="F8" s="45" t="inlineStr">
        <is>
          <t>Few defects per page usually means the inspection was too fast, not that the SRS was clean.</t>
        </is>
      </c>
    </row>
    <row r="9">
      <c r="A9" s="85" t="inlineStr">
        <is>
          <t>Defects / page  -  design inspection</t>
        </is>
      </c>
      <c r="B9" s="77">
        <f>IF(N(SUMP!$B$9)=0,"",SUMP!$B$81/SUMP!$B$9)</f>
        <v/>
      </c>
      <c r="C9" s="77">
        <f>IF(N(SUMP!$C$9)=0,"",SUMP!$C$81/SUMP!$C$9)</f>
        <v/>
      </c>
      <c r="D9" s="91" t="inlineStr"/>
      <c r="E9" s="52" t="n"/>
      <c r="F9" s="45" t="inlineStr"/>
    </row>
    <row r="10">
      <c r="A10" s="85" t="inlineStr">
        <is>
          <t>Defects / KLOC  -  Detailed design review</t>
        </is>
      </c>
      <c r="B10" s="77">
        <f>IF(N(SUMP!$B$10)=0,"",SUMP!$B$83/(SUMP!$B$10/1000))</f>
        <v/>
      </c>
      <c r="C10" s="77">
        <f>IF(N(SUMP!$C$10)=0,"",SUMP!$C$83/(SUMP!$C$10/1000))</f>
        <v/>
      </c>
      <c r="D10" s="91" t="inlineStr"/>
      <c r="E10" s="52" t="n"/>
      <c r="F10" s="45" t="inlineStr"/>
    </row>
    <row r="11">
      <c r="A11" s="85" t="inlineStr">
        <is>
          <t>Defects / KLOC  -  Detailed design inspection</t>
        </is>
      </c>
      <c r="B11" s="77">
        <f>IF(N(SUMP!$B$10)=0,"",SUMP!$B$85/(SUMP!$B$10/1000))</f>
        <v/>
      </c>
      <c r="C11" s="77">
        <f>IF(N(SUMP!$C$10)=0,"",SUMP!$C$85/(SUMP!$C$10/1000))</f>
        <v/>
      </c>
      <c r="D11" s="91" t="inlineStr"/>
      <c r="E11" s="52" t="n"/>
      <c r="F11" s="45" t="inlineStr"/>
    </row>
    <row r="12">
      <c r="A12" s="85" t="inlineStr">
        <is>
          <t>Defects / KLOC  -  Code review / PR review</t>
        </is>
      </c>
      <c r="B12" s="77">
        <f>IF(N(SUMP!$B$10)=0,"",SUMP!$B$88/(SUMP!$B$10/1000))</f>
        <v/>
      </c>
      <c r="C12" s="77">
        <f>IF(N(SUMP!$C$10)=0,"",SUMP!$C$88/(SUMP!$C$10/1000))</f>
        <v/>
      </c>
      <c r="D12" s="91" t="inlineStr"/>
      <c r="E12" s="52" t="n"/>
      <c r="F12" s="45" t="inlineStr"/>
    </row>
    <row r="13">
      <c r="A13" s="85" t="inlineStr">
        <is>
          <t>Defects / KLOC  -  Build &amp; static analysis</t>
        </is>
      </c>
      <c r="B13" s="77">
        <f>IF(N(SUMP!$B$10)=0,"",SUMP!$B$89/(SUMP!$B$10/1000))</f>
        <v/>
      </c>
      <c r="C13" s="77">
        <f>IF(N(SUMP!$C$10)=0,"",SUMP!$C$89/(SUMP!$C$10/1000))</f>
        <v/>
      </c>
      <c r="D13" s="91" t="inlineStr"/>
      <c r="E13" s="52" t="n"/>
      <c r="F13" s="45" t="inlineStr"/>
    </row>
    <row r="14">
      <c r="A14" s="85" t="inlineStr">
        <is>
          <t>Defects / KLOC  -  Code inspection</t>
        </is>
      </c>
      <c r="B14" s="77">
        <f>IF(N(SUMP!$B$10)=0,"",SUMP!$B$90/(SUMP!$B$10/1000))</f>
        <v/>
      </c>
      <c r="C14" s="77">
        <f>IF(N(SUMP!$C$10)=0,"",SUMP!$C$90/(SUMP!$C$10/1000))</f>
        <v/>
      </c>
      <c r="D14" s="91" t="inlineStr"/>
      <c r="E14" s="52" t="n"/>
      <c r="F14" s="45" t="inlineStr"/>
    </row>
    <row r="15">
      <c r="A15" s="85" t="inlineStr">
        <is>
          <t>Defects / KLOC  -  Unit test</t>
        </is>
      </c>
      <c r="B15" s="77">
        <f>IF(N(SUMP!$B$10)=0,"",SUMP!$B$91/(SUMP!$B$10/1000))</f>
        <v/>
      </c>
      <c r="C15" s="77">
        <f>IF(N(SUMP!$C$10)=0,"",SUMP!$C$91/(SUMP!$C$10/1000))</f>
        <v/>
      </c>
      <c r="D15" s="91" t="inlineStr"/>
      <c r="E15" s="52" t="n"/>
      <c r="F15" s="45" t="inlineStr"/>
    </row>
    <row r="16">
      <c r="A16" s="85" t="inlineStr">
        <is>
          <t>Defects / KLOC  -  Widget test</t>
        </is>
      </c>
      <c r="B16" s="77">
        <f>IF(N(SUMP!$B$10)=0,"",SUMP!$B$92/(SUMP!$B$10/1000))</f>
        <v/>
      </c>
      <c r="C16" s="77">
        <f>IF(N(SUMP!$C$10)=0,"",SUMP!$C$92/(SUMP!$C$10/1000))</f>
        <v/>
      </c>
      <c r="D16" s="91" t="inlineStr"/>
      <c r="E16" s="52" t="n"/>
      <c r="F16" s="45" t="inlineStr"/>
    </row>
    <row r="17">
      <c r="A17" s="85" t="inlineStr">
        <is>
          <t>Defects / KLOC  -  Integration test</t>
        </is>
      </c>
      <c r="B17" s="77">
        <f>IF(N(SUMP!$B$10)=0,"",SUMP!$B$93/(SUMP!$B$10/1000))</f>
        <v/>
      </c>
      <c r="C17" s="77">
        <f>IF(N(SUMP!$C$10)=0,"",SUMP!$C$93/(SUMP!$C$10/1000))</f>
        <v/>
      </c>
      <c r="D17" s="91" t="inlineStr"/>
      <c r="E17" s="52" t="n"/>
      <c r="F17" s="45" t="inlineStr"/>
    </row>
    <row r="18">
      <c r="A18" s="85" t="inlineStr">
        <is>
          <t>Defects / KLOC  -  System test</t>
        </is>
      </c>
      <c r="B18" s="77">
        <f>IF(N(SUMP!$B$10)=0,"",SUMP!$B$95/(SUMP!$B$10/1000))</f>
        <v/>
      </c>
      <c r="C18" s="77">
        <f>IF(N(SUMP!$C$10)=0,"",SUMP!$C$95/(SUMP!$C$10/1000))</f>
        <v/>
      </c>
      <c r="D18" s="91" t="inlineStr"/>
      <c r="E18" s="52" t="n"/>
      <c r="F18" s="45" t="inlineStr"/>
    </row>
    <row r="19">
      <c r="A19" s="85" t="inlineStr">
        <is>
          <t>Defects / KLOC  -  total development</t>
        </is>
      </c>
      <c r="B19" s="77">
        <f>IF(N(SUMP!$B$10)=0,"",SUMP!$B$96/(SUMP!$B$10/1000))</f>
        <v/>
      </c>
      <c r="C19" s="77">
        <f>IF(N(SUMP!$C$10)=0,"",SUMP!$C$96/(SUMP!$C$10/1000))</f>
        <v/>
      </c>
      <c r="D19" s="91" t="inlineStr"/>
      <c r="E19" s="52" t="n"/>
      <c r="F19" s="45" t="inlineStr"/>
    </row>
    <row r="20">
      <c r="A20" s="85" t="inlineStr">
        <is>
          <t>Defects / KLOC  -  client acceptance test</t>
        </is>
      </c>
      <c r="B20" s="52" t="n"/>
      <c r="C20" s="77">
        <f>IF(N(SUMP!$C$10)=0,"",SUMP!$C$97/(SUMP!$C$10/1000))</f>
        <v/>
      </c>
      <c r="D20" s="91" t="inlineStr">
        <is>
          <t>0</t>
        </is>
      </c>
      <c r="E20" s="52" t="n"/>
      <c r="F20" s="45" t="inlineStr">
        <is>
          <t>This is the one the client experiences. Everything upstream exists to drive it to zero.</t>
        </is>
      </c>
    </row>
    <row r="22" ht="19" customHeight="1">
      <c r="A22" s="5" t="inlineStr">
        <is>
          <t>Defect Ratios</t>
        </is>
      </c>
    </row>
    <row r="23" ht="18" customHeight="1">
      <c r="A23" s="6" t="inlineStr">
        <is>
          <t>Measure</t>
        </is>
      </c>
      <c r="B23" s="6" t="inlineStr">
        <is>
          <t>Plan</t>
        </is>
      </c>
      <c r="C23" s="6" t="inlineStr">
        <is>
          <t>Actual</t>
        </is>
      </c>
      <c r="D23" s="6" t="inlineStr">
        <is>
          <t>Guideline</t>
        </is>
      </c>
      <c r="E23" s="6" t="inlineStr">
        <is>
          <t>Verdict</t>
        </is>
      </c>
      <c r="F23" s="6" t="inlineStr">
        <is>
          <t>Interpretation</t>
        </is>
      </c>
    </row>
    <row r="24">
      <c r="A24" s="85" t="inlineStr">
        <is>
          <t>Design review defects / unit test defects</t>
        </is>
      </c>
      <c r="B24" s="77">
        <f>IF(N(SUMP!$B$91)=0,"",SUMP!$B$83/SUMP!$B$91)</f>
        <v/>
      </c>
      <c r="C24" s="77">
        <f>IF(N(SUMP!$C$91)=0,"",SUMP!$C$83/SUMP!$C$91)</f>
        <v/>
      </c>
      <c r="D24" s="91" t="inlineStr">
        <is>
          <t>&gt;= 2.0</t>
        </is>
      </c>
      <c r="E24" s="52" t="n"/>
      <c r="F24" s="45" t="inlineStr">
        <is>
          <t>Finding design defects in test instead of review is the expensive way round.</t>
        </is>
      </c>
    </row>
    <row r="25">
      <c r="A25" s="85" t="inlineStr">
        <is>
          <t>Code review defects / build defects</t>
        </is>
      </c>
      <c r="B25" s="77">
        <f>IF(N(SUMP!$B$89)=0,"",SUMP!$B$88/SUMP!$B$89)</f>
        <v/>
      </c>
      <c r="C25" s="77">
        <f>IF(N(SUMP!$C$89)=0,"",SUMP!$C$88/SUMP!$C$89)</f>
        <v/>
      </c>
      <c r="D25" s="91" t="inlineStr">
        <is>
          <t>&gt;= 2.0</t>
        </is>
      </c>
      <c r="E25" s="52" t="n"/>
      <c r="F25" s="45" t="inlineStr"/>
    </row>
    <row r="27" ht="19" customHeight="1">
      <c r="A27" s="5" t="inlineStr">
        <is>
          <t>Development Time Ratios</t>
        </is>
      </c>
    </row>
    <row r="28" ht="18" customHeight="1">
      <c r="A28" s="6" t="inlineStr">
        <is>
          <t>Measure</t>
        </is>
      </c>
      <c r="B28" s="6" t="inlineStr">
        <is>
          <t>Plan</t>
        </is>
      </c>
      <c r="C28" s="6" t="inlineStr">
        <is>
          <t>Actual</t>
        </is>
      </c>
      <c r="D28" s="6" t="inlineStr">
        <is>
          <t>Guideline</t>
        </is>
      </c>
      <c r="E28" s="6" t="inlineStr">
        <is>
          <t>Verdict</t>
        </is>
      </c>
      <c r="F28" s="6" t="inlineStr">
        <is>
          <t>Interpretation</t>
        </is>
      </c>
    </row>
    <row r="29">
      <c r="A29" s="85" t="inlineStr">
        <is>
          <t>Requirements inspection / requirements</t>
        </is>
      </c>
      <c r="B29" s="77">
        <f>IF(N(SUMP!$B$21)=0,"",SUMP!$B$23/SUMP!$B$21)</f>
        <v/>
      </c>
      <c r="C29" s="77">
        <f>IF(N(SUMP!$C$21)=0,"",SUMP!$C$23/SUMP!$C$21)</f>
        <v/>
      </c>
      <c r="D29" s="91" t="inlineStr">
        <is>
          <t>&gt;= 0.20</t>
        </is>
      </c>
      <c r="E29" s="52" t="n"/>
      <c r="F29" s="45" t="inlineStr"/>
    </row>
    <row r="30">
      <c r="A30" s="85" t="inlineStr">
        <is>
          <t>Design inspection / high-level design</t>
        </is>
      </c>
      <c r="B30" s="77">
        <f>IF(N(SUMP!$B$24)=0,"",SUMP!$B$26/SUMP!$B$24)</f>
        <v/>
      </c>
      <c r="C30" s="77">
        <f>IF(N(SUMP!$C$24)=0,"",SUMP!$C$26/SUMP!$C$24)</f>
        <v/>
      </c>
      <c r="D30" s="91" t="inlineStr">
        <is>
          <t>&gt;= 0.20</t>
        </is>
      </c>
      <c r="E30" s="52" t="n"/>
      <c r="F30" s="45" t="inlineStr"/>
    </row>
    <row r="31">
      <c r="A31" s="85" t="inlineStr">
        <is>
          <t>Detailed design / code</t>
        </is>
      </c>
      <c r="B31" s="77">
        <f>IF(N(SUMP!$B$31)=0,"",SUMP!$B$27/SUMP!$B$31)</f>
        <v/>
      </c>
      <c r="C31" s="77">
        <f>IF(N(SUMP!$C$31)=0,"",SUMP!$C$27/SUMP!$C$31)</f>
        <v/>
      </c>
      <c r="D31" s="91" t="inlineStr">
        <is>
          <t>&gt;= 1.00</t>
        </is>
      </c>
      <c r="E31" s="52" t="n"/>
      <c r="F31" s="45" t="inlineStr"/>
    </row>
    <row r="32">
      <c r="A32" s="85" t="inlineStr">
        <is>
          <t>Design review / detailed design</t>
        </is>
      </c>
      <c r="B32" s="77">
        <f>IF(N(SUMP!$B$27)=0,"",SUMP!$B$28/SUMP!$B$27)</f>
        <v/>
      </c>
      <c r="C32" s="77">
        <f>IF(N(SUMP!$C$27)=0,"",SUMP!$C$28/SUMP!$C$27)</f>
        <v/>
      </c>
      <c r="D32" s="91" t="inlineStr">
        <is>
          <t>&gt;= 0.50</t>
        </is>
      </c>
      <c r="E32" s="52" t="n"/>
      <c r="F32" s="45" t="inlineStr"/>
    </row>
    <row r="33">
      <c r="A33" s="85" t="inlineStr">
        <is>
          <t>Code review / code</t>
        </is>
      </c>
      <c r="B33" s="77">
        <f>IF(N(SUMP!$B$31)=0,"",SUMP!$B$33/SUMP!$B$31)</f>
        <v/>
      </c>
      <c r="C33" s="77">
        <f>IF(N(SUMP!$C$31)=0,"",SUMP!$C$33/SUMP!$C$31)</f>
        <v/>
      </c>
      <c r="D33" s="91" t="inlineStr">
        <is>
          <t>&gt;= 0.50</t>
        </is>
      </c>
      <c r="E33" s="52" t="n"/>
      <c r="F33" s="45" t="inlineStr"/>
    </row>
    <row r="34">
      <c r="A34" s="85" t="inlineStr">
        <is>
          <t>AI generation / total coding</t>
        </is>
      </c>
      <c r="B34" s="77">
        <f>IF(N(SUMP!$B$31)=0,"",SUMP!$B$32/SUMP!$B$31)</f>
        <v/>
      </c>
      <c r="C34" s="77">
        <f>IF(N(SUMP!$C$31)=0,"",SUMP!$C$32/SUMP!$C$31)</f>
        <v/>
      </c>
      <c r="D34" s="91" t="inlineStr">
        <is>
          <t>no target</t>
        </is>
      </c>
      <c r="E34" s="52" t="n"/>
      <c r="F34" s="45" t="inlineStr">
        <is>
          <t>Not a quality target - it tells the team how much of its coding effort is prompting rather than writing, which is worth knowing at the postmortem.</t>
        </is>
      </c>
    </row>
    <row r="36" ht="19" customHeight="1">
      <c r="A36" s="5" t="inlineStr">
        <is>
          <t>Review &amp; Inspection Rates</t>
        </is>
      </c>
    </row>
    <row r="37" ht="18" customHeight="1">
      <c r="A37" s="6" t="inlineStr">
        <is>
          <t>Measure</t>
        </is>
      </c>
      <c r="B37" s="6" t="inlineStr">
        <is>
          <t>Plan</t>
        </is>
      </c>
      <c r="C37" s="6" t="inlineStr">
        <is>
          <t>Actual</t>
        </is>
      </c>
      <c r="D37" s="6" t="inlineStr">
        <is>
          <t>Guideline</t>
        </is>
      </c>
      <c r="E37" s="6" t="inlineStr">
        <is>
          <t>Verdict</t>
        </is>
      </c>
      <c r="F37" s="6" t="inlineStr">
        <is>
          <t>Interpretation</t>
        </is>
      </c>
    </row>
    <row r="38">
      <c r="A38" s="85" t="inlineStr">
        <is>
          <t>Requirements inspection (pages/hr)</t>
        </is>
      </c>
      <c r="B38" s="134">
        <f>IF(N(SUMP!$B$23)=0,"",SUMP!$B$8/SUMP!$B$23)</f>
        <v/>
      </c>
      <c r="C38" s="134">
        <f>IF(N(SUMP!$C$23)=0,"",SUMP!$C$8/SUMP!$C$23)</f>
        <v/>
      </c>
      <c r="D38" s="91" t="inlineStr">
        <is>
          <t>&lt;= 10</t>
        </is>
      </c>
      <c r="E38" s="92">
        <f>IF(N(SUMP!$C$23)=0,"",IF(SUMP!$C$8/SUMP!$C$23&lt;=10,"OK","TOO FAST"))</f>
        <v/>
      </c>
      <c r="F38" s="45" t="inlineStr">
        <is>
          <t>Reviewing faster than the guideline reliably means defects were missed.</t>
        </is>
      </c>
    </row>
    <row r="39">
      <c r="A39" s="85" t="inlineStr">
        <is>
          <t>Design inspection (pages/hr)</t>
        </is>
      </c>
      <c r="B39" s="134">
        <f>IF(N(SUMP!$B$26)=0,"",SUMP!$B$9/SUMP!$B$26)</f>
        <v/>
      </c>
      <c r="C39" s="134">
        <f>IF(N(SUMP!$C$26)=0,"",SUMP!$C$9/SUMP!$C$26)</f>
        <v/>
      </c>
      <c r="D39" s="91" t="inlineStr">
        <is>
          <t>&lt;= 10</t>
        </is>
      </c>
      <c r="E39" s="92">
        <f>IF(N(SUMP!$C$26)=0,"",IF(SUMP!$C$9/SUMP!$C$26&lt;=10,"OK","TOO FAST"))</f>
        <v/>
      </c>
      <c r="F39" s="45" t="inlineStr">
        <is>
          <t>Reviewing faster than the guideline reliably means defects were missed.</t>
        </is>
      </c>
    </row>
    <row r="40">
      <c r="A40" s="85" t="inlineStr">
        <is>
          <t>Detailed design review (LOC/hr)</t>
        </is>
      </c>
      <c r="B40" s="134">
        <f>IF(N(SUMP!$B$28)=0,"",SUMP!$B$10/SUMP!$B$28)</f>
        <v/>
      </c>
      <c r="C40" s="134">
        <f>IF(N(SUMP!$C$28)=0,"",SUMP!$C$10/SUMP!$C$28)</f>
        <v/>
      </c>
      <c r="D40" s="91" t="inlineStr">
        <is>
          <t>&lt;= 200</t>
        </is>
      </c>
      <c r="E40" s="92">
        <f>IF(N(SUMP!$C$28)=0,"",IF(SUMP!$C$10/SUMP!$C$28&lt;=200,"OK","TOO FAST"))</f>
        <v/>
      </c>
      <c r="F40" s="45" t="inlineStr">
        <is>
          <t>Reviewing faster than the guideline reliably means defects were missed.</t>
        </is>
      </c>
    </row>
    <row r="41">
      <c r="A41" s="85" t="inlineStr">
        <is>
          <t>Detailed design inspection (LOC/hr)</t>
        </is>
      </c>
      <c r="B41" s="134">
        <f>IF(N(SUMP!$B$30)=0,"",SUMP!$B$10/SUMP!$B$30)</f>
        <v/>
      </c>
      <c r="C41" s="134">
        <f>IF(N(SUMP!$C$30)=0,"",SUMP!$C$10/SUMP!$C$30)</f>
        <v/>
      </c>
      <c r="D41" s="91" t="inlineStr">
        <is>
          <t>&lt;= 200</t>
        </is>
      </c>
      <c r="E41" s="92">
        <f>IF(N(SUMP!$C$30)=0,"",IF(SUMP!$C$10/SUMP!$C$30&lt;=200,"OK","TOO FAST"))</f>
        <v/>
      </c>
      <c r="F41" s="45" t="inlineStr">
        <is>
          <t>Reviewing faster than the guideline reliably means defects were missed.</t>
        </is>
      </c>
    </row>
    <row r="42">
      <c r="A42" s="85" t="inlineStr">
        <is>
          <t>Code review (LOC/hr)</t>
        </is>
      </c>
      <c r="B42" s="134">
        <f>IF(N(SUMP!$B$33)=0,"",SUMP!$B$10/SUMP!$B$33)</f>
        <v/>
      </c>
      <c r="C42" s="134">
        <f>IF(N(SUMP!$C$33)=0,"",SUMP!$C$10/SUMP!$C$33)</f>
        <v/>
      </c>
      <c r="D42" s="91" t="inlineStr">
        <is>
          <t>&lt;= 200</t>
        </is>
      </c>
      <c r="E42" s="92">
        <f>IF(N(SUMP!$C$33)=0,"",IF(SUMP!$C$10/SUMP!$C$33&lt;=200,"OK","TOO FAST"))</f>
        <v/>
      </c>
      <c r="F42" s="45" t="inlineStr">
        <is>
          <t>Reviewing faster than the guideline reliably means defects were missed.</t>
        </is>
      </c>
    </row>
    <row r="43">
      <c r="A43" s="85" t="inlineStr">
        <is>
          <t>Code inspection (LOC/hr)</t>
        </is>
      </c>
      <c r="B43" s="134">
        <f>IF(N(SUMP!$B$35)=0,"",SUMP!$B$10/SUMP!$B$35)</f>
        <v/>
      </c>
      <c r="C43" s="134">
        <f>IF(N(SUMP!$C$35)=0,"",SUMP!$C$10/SUMP!$C$35)</f>
        <v/>
      </c>
      <c r="D43" s="91" t="inlineStr">
        <is>
          <t>&lt;= 200</t>
        </is>
      </c>
      <c r="E43" s="92">
        <f>IF(N(SUMP!$C$35)=0,"",IF(SUMP!$C$10/SUMP!$C$35&lt;=200,"OK","TOO FAST"))</f>
        <v/>
      </c>
      <c r="F43" s="45" t="inlineStr">
        <is>
          <t>Reviewing faster than the guideline reliably means defects were missed.</t>
        </is>
      </c>
    </row>
    <row r="44">
      <c r="A44" s="85" t="inlineStr">
        <is>
          <t>Appraisal / failure ratio (A/FR)</t>
        </is>
      </c>
      <c r="B44" s="77">
        <f>IF((SUMP!$B$34+SUMP!$B$36+SUMP!$B$37+SUMP!$B$38+SUMP!$B$40)=0,"",(SUMP!$B$28+SUMP!$B$30+SUMP!$B$33+SUMP!$B$35)/(SUMP!$B$34+SUMP!$B$36+SUMP!$B$37+SUMP!$B$38+SUMP!$B$40))</f>
        <v/>
      </c>
      <c r="C44" s="77">
        <f>IF((SUMP!$C$34+SUMP!$C$36+SUMP!$C$37+SUMP!$C$38+SUMP!$C$40)=0,"",(SUMP!$C$28+SUMP!$C$30+SUMP!$C$33+SUMP!$C$35)/(SUMP!$C$34+SUMP!$C$36+SUMP!$C$37+SUMP!$C$38+SUMP!$C$40))</f>
        <v/>
      </c>
      <c r="D44" s="91" t="inlineStr">
        <is>
          <t>&gt;= 2.0</t>
        </is>
      </c>
      <c r="E44" s="92">
        <f>IF((SUMP!$C$34+SUMP!$C$36+SUMP!$C$37+SUMP!$C$38+SUMP!$C$40)=0,"",IF((SUMP!$C$28+SUMP!$C$30+SUMP!$C$33+SUMP!$C$35)/(SUMP!$C$34+SUMP!$C$36+SUMP!$C$37+SUMP!$C$38+SUMP!$C$40)&gt;=2,"OK","LOW"))</f>
        <v/>
      </c>
      <c r="F44" s="45" t="inlineStr">
        <is>
          <t>Time spent reviewing versus time spent fixing in test. Low A/FR predicts a painful system test.</t>
        </is>
      </c>
    </row>
    <row r="46" ht="19" customHeight="1">
      <c r="A46" s="5" t="inlineStr">
        <is>
          <t>Phase Yield  -  % of defects present that this phase caught</t>
        </is>
      </c>
    </row>
    <row r="47" ht="18" customHeight="1">
      <c r="A47" s="6" t="inlineStr">
        <is>
          <t>Measure</t>
        </is>
      </c>
      <c r="B47" s="6" t="inlineStr">
        <is>
          <t>Plan</t>
        </is>
      </c>
      <c r="C47" s="6" t="inlineStr">
        <is>
          <t>Actual</t>
        </is>
      </c>
      <c r="D47" s="6" t="inlineStr">
        <is>
          <t>Guideline</t>
        </is>
      </c>
      <c r="E47" s="6" t="inlineStr">
        <is>
          <t>Verdict</t>
        </is>
      </c>
      <c r="F47" s="6" t="inlineStr">
        <is>
          <t>Interpretation</t>
        </is>
      </c>
    </row>
    <row r="48">
      <c r="A48" s="85" t="inlineStr">
        <is>
          <t>PLAN  -  Planning</t>
        </is>
      </c>
      <c r="B48" s="52" t="n"/>
      <c r="C48" s="135">
        <f>IF((SUM(SUMP!$C$48:$C$48)-(0))&lt;=0,"",SUMP!$C$75/(SUM(SUMP!$C$48:$C$48)-(0)))</f>
        <v/>
      </c>
      <c r="D48" s="91" t="inlineStr"/>
      <c r="E48" s="52" t="n"/>
      <c r="F48" s="45" t="inlineStr"/>
    </row>
    <row r="49">
      <c r="A49" s="85" t="inlineStr">
        <is>
          <t>REQ  -  Requirements / SRS</t>
        </is>
      </c>
      <c r="B49" s="52" t="n"/>
      <c r="C49" s="135">
        <f>IF((SUM(SUMP!$C$48:$C$49)-(SUM(SUMP!$C$75:$C$76)-SUMP!$C$76))&lt;=0,"",SUMP!$C$76/(SUM(SUMP!$C$48:$C$49)-(SUM(SUMP!$C$75:$C$76)-SUMP!$C$76)))</f>
        <v/>
      </c>
      <c r="D49" s="91" t="inlineStr"/>
      <c r="E49" s="52" t="n"/>
      <c r="F49" s="45" t="inlineStr"/>
    </row>
    <row r="50">
      <c r="A50" s="85" t="inlineStr">
        <is>
          <t>STP  -  System Test Plan</t>
        </is>
      </c>
      <c r="B50" s="52" t="n"/>
      <c r="C50" s="135">
        <f>IF((SUM(SUMP!$C$48:$C$50)-(SUM(SUMP!$C$75:$C$77)-SUMP!$C$77))&lt;=0,"",SUMP!$C$77/(SUM(SUMP!$C$48:$C$50)-(SUM(SUMP!$C$75:$C$77)-SUMP!$C$77)))</f>
        <v/>
      </c>
      <c r="D50" s="91" t="inlineStr"/>
      <c r="E50" s="52" t="n"/>
      <c r="F50" s="45" t="inlineStr"/>
    </row>
    <row r="51">
      <c r="A51" s="85" t="inlineStr">
        <is>
          <t>REQINSP  -  Requirements Inspection</t>
        </is>
      </c>
      <c r="B51" s="52" t="n"/>
      <c r="C51" s="135">
        <f>IF((SUM(SUMP!$C$48:$C$51)-(SUM(SUMP!$C$75:$C$78)-SUMP!$C$78))&lt;=0,"",SUMP!$C$78/(SUM(SUMP!$C$48:$C$51)-(SUM(SUMP!$C$75:$C$78)-SUMP!$C$78)))</f>
        <v/>
      </c>
      <c r="D51" s="91" t="inlineStr"/>
      <c r="E51" s="52" t="n"/>
      <c r="F51" s="45" t="inlineStr"/>
    </row>
    <row r="52">
      <c r="A52" s="85" t="inlineStr">
        <is>
          <t>HLD  -  High-Level Design / Architecture (SDD)</t>
        </is>
      </c>
      <c r="B52" s="52" t="n"/>
      <c r="C52" s="135">
        <f>IF((SUM(SUMP!$C$48:$C$52)-(SUM(SUMP!$C$75:$C$79)-SUMP!$C$79))&lt;=0,"",SUMP!$C$79/(SUM(SUMP!$C$48:$C$52)-(SUM(SUMP!$C$75:$C$79)-SUMP!$C$79)))</f>
        <v/>
      </c>
      <c r="D52" s="91" t="inlineStr"/>
      <c r="E52" s="52" t="n"/>
      <c r="F52" s="45" t="inlineStr"/>
    </row>
    <row r="53">
      <c r="A53" s="85" t="inlineStr">
        <is>
          <t>ITP  -  Integration Test Plan</t>
        </is>
      </c>
      <c r="B53" s="52" t="n"/>
      <c r="C53" s="135">
        <f>IF((SUM(SUMP!$C$48:$C$53)-(SUM(SUMP!$C$75:$C$80)-SUMP!$C$80))&lt;=0,"",SUMP!$C$80/(SUM(SUMP!$C$48:$C$53)-(SUM(SUMP!$C$75:$C$80)-SUMP!$C$80)))</f>
        <v/>
      </c>
      <c r="D53" s="91" t="inlineStr"/>
      <c r="E53" s="52" t="n"/>
      <c r="F53" s="45" t="inlineStr"/>
    </row>
    <row r="54">
      <c r="A54" s="85" t="inlineStr">
        <is>
          <t>HLDINSP  -  HLD Inspection</t>
        </is>
      </c>
      <c r="B54" s="52" t="n"/>
      <c r="C54" s="135">
        <f>IF((SUM(SUMP!$C$48:$C$54)-(SUM(SUMP!$C$75:$C$81)-SUMP!$C$81))&lt;=0,"",SUMP!$C$81/(SUM(SUMP!$C$48:$C$54)-(SUM(SUMP!$C$75:$C$81)-SUMP!$C$81)))</f>
        <v/>
      </c>
      <c r="D54" s="91" t="inlineStr"/>
      <c r="E54" s="52" t="n"/>
      <c r="F54" s="45" t="inlineStr"/>
    </row>
    <row r="55">
      <c r="A55" s="85" t="inlineStr">
        <is>
          <t>DLD  -  Detailed Design (screens, widgets, models)</t>
        </is>
      </c>
      <c r="B55" s="52" t="n"/>
      <c r="C55" s="135">
        <f>IF((SUM(SUMP!$C$48:$C$55)-(SUM(SUMP!$C$75:$C$82)-SUMP!$C$82))&lt;=0,"",SUMP!$C$82/(SUM(SUMP!$C$48:$C$55)-(SUM(SUMP!$C$75:$C$82)-SUMP!$C$82)))</f>
        <v/>
      </c>
      <c r="D55" s="91" t="inlineStr"/>
      <c r="E55" s="52" t="n"/>
      <c r="F55" s="45" t="inlineStr"/>
    </row>
    <row r="56">
      <c r="A56" s="85" t="inlineStr">
        <is>
          <t>DLDR  -  Detailed Design Review</t>
        </is>
      </c>
      <c r="B56" s="52" t="n"/>
      <c r="C56" s="135">
        <f>IF((SUM(SUMP!$C$48:$C$56)-(SUM(SUMP!$C$75:$C$83)-SUMP!$C$83))&lt;=0,"",SUMP!$C$83/(SUM(SUMP!$C$48:$C$56)-(SUM(SUMP!$C$75:$C$83)-SUMP!$C$83)))</f>
        <v/>
      </c>
      <c r="D56" s="91" t="inlineStr"/>
      <c r="E56" s="52" t="n"/>
      <c r="F56" s="45" t="inlineStr"/>
    </row>
    <row r="57">
      <c r="A57" s="85" t="inlineStr">
        <is>
          <t>TD  -  Test Development</t>
        </is>
      </c>
      <c r="B57" s="52" t="n"/>
      <c r="C57" s="135">
        <f>IF((SUM(SUMP!$C$48:$C$57)-(SUM(SUMP!$C$75:$C$84)-SUMP!$C$84))&lt;=0,"",SUMP!$C$84/(SUM(SUMP!$C$48:$C$57)-(SUM(SUMP!$C$75:$C$84)-SUMP!$C$84)))</f>
        <v/>
      </c>
      <c r="D57" s="91" t="inlineStr"/>
      <c r="E57" s="52" t="n"/>
      <c r="F57" s="45" t="inlineStr"/>
    </row>
    <row r="58">
      <c r="A58" s="85" t="inlineStr">
        <is>
          <t>DLDINSP  -  Detailed Design Inspection</t>
        </is>
      </c>
      <c r="B58" s="52" t="n"/>
      <c r="C58" s="135">
        <f>IF((SUM(SUMP!$C$48:$C$58)-(SUM(SUMP!$C$75:$C$85)-SUMP!$C$85))&lt;=0,"",SUMP!$C$85/(SUM(SUMP!$C$48:$C$58)-(SUM(SUMP!$C$75:$C$85)-SUMP!$C$85)))</f>
        <v/>
      </c>
      <c r="D58" s="91" t="inlineStr"/>
      <c r="E58" s="52" t="n"/>
      <c r="F58" s="45" t="inlineStr"/>
    </row>
    <row r="59">
      <c r="A59" s="85" t="inlineStr">
        <is>
          <t>CODE  -  Code - hand-written Dart/Flutter</t>
        </is>
      </c>
      <c r="B59" s="52" t="n"/>
      <c r="C59" s="135">
        <f>IF((SUM(SUMP!$C$48:$C$59)-(SUM(SUMP!$C$75:$C$86)-SUMP!$C$86))&lt;=0,"",SUMP!$C$86/(SUM(SUMP!$C$48:$C$59)-(SUM(SUMP!$C$75:$C$86)-SUMP!$C$86)))</f>
        <v/>
      </c>
      <c r="D59" s="91" t="inlineStr"/>
      <c r="E59" s="52" t="n"/>
      <c r="F59" s="45" t="inlineStr"/>
    </row>
    <row r="60">
      <c r="A60" s="85" t="inlineStr">
        <is>
          <t>AIGEN  -  Code - AI-assisted generation (Vibe)</t>
        </is>
      </c>
      <c r="B60" s="52" t="n"/>
      <c r="C60" s="135">
        <f>IF((SUM(SUMP!$C$48:$C$60)-(SUM(SUMP!$C$75:$C$87)-SUMP!$C$87))&lt;=0,"",SUMP!$C$87/(SUM(SUMP!$C$48:$C$60)-(SUM(SUMP!$C$75:$C$87)-SUMP!$C$87)))</f>
        <v/>
      </c>
      <c r="D60" s="91" t="inlineStr"/>
      <c r="E60" s="52" t="n"/>
      <c r="F60" s="45" t="inlineStr"/>
    </row>
    <row r="61">
      <c r="A61" s="85" t="inlineStr">
        <is>
          <t>CR  -  Code Review / Pull-Request Review</t>
        </is>
      </c>
      <c r="B61" s="52" t="n"/>
      <c r="C61" s="135">
        <f>IF((SUM(SUMP!$C$48:$C$61)-(SUM(SUMP!$C$75:$C$88)-SUMP!$C$88))&lt;=0,"",SUMP!$C$88/(SUM(SUMP!$C$48:$C$61)-(SUM(SUMP!$C$75:$C$88)-SUMP!$C$88)))</f>
        <v/>
      </c>
      <c r="D61" s="91" t="inlineStr"/>
      <c r="E61" s="52" t="n"/>
      <c r="F61" s="45" t="inlineStr"/>
    </row>
    <row r="62">
      <c r="A62" s="85" t="inlineStr">
        <is>
          <t>BUILD  -  Build &amp; Static Analysis (flutter analyze)</t>
        </is>
      </c>
      <c r="B62" s="52" t="n"/>
      <c r="C62" s="135">
        <f>IF((SUM(SUMP!$C$48:$C$62)-(SUM(SUMP!$C$75:$C$89)-SUMP!$C$89))&lt;=0,"",SUMP!$C$89/(SUM(SUMP!$C$48:$C$62)-(SUM(SUMP!$C$75:$C$89)-SUMP!$C$89)))</f>
        <v/>
      </c>
      <c r="D62" s="91" t="inlineStr"/>
      <c r="E62" s="52" t="n"/>
      <c r="F62" s="45" t="inlineStr"/>
    </row>
    <row r="63">
      <c r="A63" s="85" t="inlineStr">
        <is>
          <t>CODEINSP  -  Code Inspection</t>
        </is>
      </c>
      <c r="B63" s="52" t="n"/>
      <c r="C63" s="135">
        <f>IF((SUM(SUMP!$C$48:$C$63)-(SUM(SUMP!$C$75:$C$90)-SUMP!$C$90))&lt;=0,"",SUMP!$C$90/(SUM(SUMP!$C$48:$C$63)-(SUM(SUMP!$C$75:$C$90)-SUMP!$C$90)))</f>
        <v/>
      </c>
      <c r="D63" s="91" t="inlineStr"/>
      <c r="E63" s="52" t="n"/>
      <c r="F63" s="45" t="inlineStr"/>
    </row>
    <row r="64">
      <c r="A64" s="85" t="inlineStr">
        <is>
          <t>UT  -  Unit Test</t>
        </is>
      </c>
      <c r="B64" s="52" t="n"/>
      <c r="C64" s="135">
        <f>IF((SUM(SUMP!$C$48:$C$64)-(SUM(SUMP!$C$75:$C$91)-SUMP!$C$91))&lt;=0,"",SUMP!$C$91/(SUM(SUMP!$C$48:$C$64)-(SUM(SUMP!$C$75:$C$91)-SUMP!$C$91)))</f>
        <v/>
      </c>
      <c r="D64" s="91" t="inlineStr"/>
      <c r="E64" s="52" t="n"/>
      <c r="F64" s="45" t="inlineStr"/>
    </row>
    <row r="65">
      <c r="A65" s="85" t="inlineStr">
        <is>
          <t>WT  -  Widget Test</t>
        </is>
      </c>
      <c r="B65" s="52" t="n"/>
      <c r="C65" s="135">
        <f>IF((SUM(SUMP!$C$48:$C$65)-(SUM(SUMP!$C$75:$C$92)-SUMP!$C$92))&lt;=0,"",SUMP!$C$92/(SUM(SUMP!$C$48:$C$65)-(SUM(SUMP!$C$75:$C$92)-SUMP!$C$92)))</f>
        <v/>
      </c>
      <c r="D65" s="91" t="inlineStr"/>
      <c r="E65" s="52" t="n"/>
      <c r="F65" s="45" t="inlineStr"/>
    </row>
    <row r="66">
      <c r="A66" s="85" t="inlineStr">
        <is>
          <t>IT  -  Build &amp; Integration Test</t>
        </is>
      </c>
      <c r="B66" s="52" t="n"/>
      <c r="C66" s="135">
        <f>IF((SUM(SUMP!$C$48:$C$66)-(SUM(SUMP!$C$75:$C$93)-SUMP!$C$93))&lt;=0,"",SUMP!$C$93/(SUM(SUMP!$C$48:$C$66)-(SUM(SUMP!$C$75:$C$93)-SUMP!$C$93)))</f>
        <v/>
      </c>
      <c r="D66" s="91" t="inlineStr"/>
      <c r="E66" s="52" t="n"/>
      <c r="F66" s="45" t="inlineStr"/>
    </row>
    <row r="67">
      <c r="A67" s="85" t="inlineStr">
        <is>
          <t>CICD  -  CI/CD Pipeline (GitHub Actions)</t>
        </is>
      </c>
      <c r="B67" s="52" t="n"/>
      <c r="C67" s="135">
        <f>IF((SUM(SUMP!$C$48:$C$67)-(SUM(SUMP!$C$75:$C$94)-SUMP!$C$94))&lt;=0,"",SUMP!$C$94/(SUM(SUMP!$C$48:$C$67)-(SUM(SUMP!$C$75:$C$94)-SUMP!$C$94)))</f>
        <v/>
      </c>
      <c r="D67" s="91" t="inlineStr"/>
      <c r="E67" s="52" t="n"/>
      <c r="F67" s="45" t="inlineStr"/>
    </row>
    <row r="68">
      <c r="A68" s="85" t="inlineStr">
        <is>
          <t>ST  -  System Test</t>
        </is>
      </c>
      <c r="B68" s="52" t="n"/>
      <c r="C68" s="135">
        <f>IF((SUM(SUMP!$C$48:$C$68)-(SUM(SUMP!$C$75:$C$95)-SUMP!$C$95))&lt;=0,"",SUMP!$C$95/(SUM(SUMP!$C$48:$C$68)-(SUM(SUMP!$C$75:$C$95)-SUMP!$C$95)))</f>
        <v/>
      </c>
      <c r="D68" s="91" t="inlineStr"/>
      <c r="E68" s="52" t="n"/>
      <c r="F68" s="45" t="inlineStr"/>
    </row>
    <row r="70" ht="19" customHeight="1">
      <c r="A70" s="5" t="inlineStr">
        <is>
          <t>Process Yield  -  % of defects removed before entering this phase</t>
        </is>
      </c>
    </row>
    <row r="71" ht="18" customHeight="1">
      <c r="A71" s="6" t="inlineStr">
        <is>
          <t>Measure</t>
        </is>
      </c>
      <c r="B71" s="6" t="inlineStr">
        <is>
          <t>Plan</t>
        </is>
      </c>
      <c r="C71" s="6" t="inlineStr">
        <is>
          <t>Actual</t>
        </is>
      </c>
      <c r="D71" s="6" t="inlineStr">
        <is>
          <t>Guideline</t>
        </is>
      </c>
      <c r="E71" s="6" t="inlineStr">
        <is>
          <t>Verdict</t>
        </is>
      </c>
      <c r="F71" s="6" t="inlineStr">
        <is>
          <t>Interpretation</t>
        </is>
      </c>
    </row>
    <row r="72">
      <c r="A72" s="85" t="inlineStr">
        <is>
          <t>% removed before build &amp; static analysis</t>
        </is>
      </c>
      <c r="B72" s="52" t="n"/>
      <c r="C72" s="135">
        <f>IF(SUM(SUMP!$C$48:$C$61)=0,"",SUM(SUMP!$C$75:$C$88)/SUM(SUMP!$C$48:$C$61))</f>
        <v/>
      </c>
      <c r="D72" s="91" t="inlineStr">
        <is>
          <t>&gt;= 70%</t>
        </is>
      </c>
      <c r="E72" s="92">
        <f>IF(SUM(SUMP!$C$48:$C$61)=0,"",IF(SUM(SUMP!$C$75:$C$88)/SUM(SUMP!$C$48:$C$61)&gt;=0.7,"OK","LOW"))</f>
        <v/>
      </c>
      <c r="F72" s="45" t="inlineStr"/>
    </row>
    <row r="73">
      <c r="A73" s="85" t="inlineStr">
        <is>
          <t>% removed before unit test</t>
        </is>
      </c>
      <c r="B73" s="52" t="n"/>
      <c r="C73" s="135">
        <f>IF(SUM(SUMP!$C$48:$C$63)=0,"",SUM(SUMP!$C$75:$C$90)/SUM(SUMP!$C$48:$C$63))</f>
        <v/>
      </c>
      <c r="D73" s="91" t="inlineStr">
        <is>
          <t>&gt;= 70%</t>
        </is>
      </c>
      <c r="E73" s="92">
        <f>IF(SUM(SUMP!$C$48:$C$63)=0,"",IF(SUM(SUMP!$C$75:$C$90)/SUM(SUMP!$C$48:$C$63)&gt;=0.7,"OK","LOW"))</f>
        <v/>
      </c>
      <c r="F73" s="45" t="inlineStr"/>
    </row>
    <row r="74">
      <c r="A74" s="85" t="inlineStr">
        <is>
          <t>% removed before widget test</t>
        </is>
      </c>
      <c r="B74" s="52" t="n"/>
      <c r="C74" s="135">
        <f>IF(SUM(SUMP!$C$48:$C$64)=0,"",SUM(SUMP!$C$75:$C$91)/SUM(SUMP!$C$48:$C$64))</f>
        <v/>
      </c>
      <c r="D74" s="91" t="inlineStr">
        <is>
          <t>&gt;= 85%</t>
        </is>
      </c>
      <c r="E74" s="92">
        <f>IF(SUM(SUMP!$C$48:$C$64)=0,"",IF(SUM(SUMP!$C$75:$C$91)/SUM(SUMP!$C$48:$C$64)&gt;=0.85,"OK","LOW"))</f>
        <v/>
      </c>
      <c r="F74" s="45" t="inlineStr"/>
    </row>
    <row r="75">
      <c r="A75" s="85" t="inlineStr">
        <is>
          <t>% removed before integration test</t>
        </is>
      </c>
      <c r="B75" s="52" t="n"/>
      <c r="C75" s="135">
        <f>IF(SUM(SUMP!$C$48:$C$65)=0,"",SUM(SUMP!$C$75:$C$92)/SUM(SUMP!$C$48:$C$65))</f>
        <v/>
      </c>
      <c r="D75" s="91" t="inlineStr">
        <is>
          <t>&gt;= 85%</t>
        </is>
      </c>
      <c r="E75" s="92">
        <f>IF(SUM(SUMP!$C$48:$C$65)=0,"",IF(SUM(SUMP!$C$75:$C$92)/SUM(SUMP!$C$48:$C$65)&gt;=0.85,"OK","LOW"))</f>
        <v/>
      </c>
      <c r="F75" s="45" t="inlineStr"/>
    </row>
    <row r="76">
      <c r="A76" s="85" t="inlineStr">
        <is>
          <t>% removed before system test</t>
        </is>
      </c>
      <c r="B76" s="52" t="n"/>
      <c r="C76" s="135">
        <f>IF(SUM(SUMP!$C$48:$C$67)=0,"",SUM(SUMP!$C$75:$C$94)/SUM(SUMP!$C$48:$C$67))</f>
        <v/>
      </c>
      <c r="D76" s="91" t="inlineStr">
        <is>
          <t>&gt;= 85%</t>
        </is>
      </c>
      <c r="E76" s="92">
        <f>IF(SUM(SUMP!$C$48:$C$67)=0,"",IF(SUM(SUMP!$C$75:$C$94)/SUM(SUMP!$C$48:$C$67)&gt;=0.85,"OK","LOW"))</f>
        <v/>
      </c>
      <c r="F76" s="45" t="inlineStr"/>
    </row>
    <row r="77">
      <c r="A77" s="85" t="inlineStr">
        <is>
          <t>% removed before client acceptance test</t>
        </is>
      </c>
      <c r="B77" s="52" t="n"/>
      <c r="C77" s="135">
        <f>IF(SUM(SUMP!$C$48:$C$68)=0,"",SUM(SUMP!$C$75:$C$95)/SUM(SUMP!$C$48:$C$68))</f>
        <v/>
      </c>
      <c r="D77" s="91" t="inlineStr">
        <is>
          <t>&gt;= 95%</t>
        </is>
      </c>
      <c r="E77" s="92">
        <f>IF(SUM(SUMP!$C$48:$C$68)=0,"",IF(SUM(SUMP!$C$75:$C$95)/SUM(SUMP!$C$48:$C$68)&gt;=0.95,"OK","LOW"))</f>
        <v/>
      </c>
      <c r="F77" s="45" t="inlineStr"/>
    </row>
    <row r="79" ht="19" customHeight="1">
      <c r="A79" s="5" t="inlineStr">
        <is>
          <t>Test &amp; Release Quality  (feeds the Testing and Release rubric)</t>
        </is>
      </c>
    </row>
    <row r="80" ht="18" customHeight="1">
      <c r="A80" s="6" t="inlineStr">
        <is>
          <t>Measure</t>
        </is>
      </c>
      <c r="B80" s="6" t="inlineStr">
        <is>
          <t>Plan</t>
        </is>
      </c>
      <c r="C80" s="6" t="inlineStr">
        <is>
          <t>Actual</t>
        </is>
      </c>
      <c r="D80" s="6" t="inlineStr">
        <is>
          <t>Guideline</t>
        </is>
      </c>
      <c r="E80" s="6" t="inlineStr">
        <is>
          <t>Verdict</t>
        </is>
      </c>
      <c r="F80" s="6" t="inlineStr">
        <is>
          <t>Interpretation</t>
        </is>
      </c>
    </row>
    <row r="81">
      <c r="A81" s="85" t="inlineStr">
        <is>
          <t>Test cases recorded</t>
        </is>
      </c>
      <c r="B81" s="52" t="n"/>
      <c r="C81" s="26">
        <f>COUNTA(LOGTEST!$A$7:$A$306)</f>
        <v/>
      </c>
      <c r="D81" s="91" t="inlineStr">
        <is>
          <t>&gt;= 50 by M3</t>
        </is>
      </c>
      <c r="E81" s="52" t="n"/>
      <c r="F81" s="45" t="inlineStr"/>
    </row>
    <row r="82">
      <c r="A82" s="85" t="inlineStr">
        <is>
          <t>Test pass rate</t>
        </is>
      </c>
      <c r="B82" s="52" t="n"/>
      <c r="C82" s="135">
        <f>IF(COUNTA(LOGTEST!$H$7:$H$306)=0,"",COUNTIF(LOGTEST!$H$7:$H$306,"Pass")/COUNTA(LOGTEST!$H$7:$H$306))</f>
        <v/>
      </c>
      <c r="D82" s="91" t="inlineStr">
        <is>
          <t>&gt;= 95%</t>
        </is>
      </c>
      <c r="E82" s="92">
        <f>IF(COUNTA(LOGTEST!$H$7:$H$306)=0,"",IF(COUNTIF(LOGTEST!$H$7:$H$306,"Pass")/COUNTA(LOGTEST!$H$7:$H$306)&gt;=0.95,"OK","LOW"))</f>
        <v/>
      </c>
      <c r="F82" s="45" t="inlineStr"/>
    </row>
    <row r="83">
      <c r="A83" s="85" t="inlineStr">
        <is>
          <t>Automated share of test cases</t>
        </is>
      </c>
      <c r="B83" s="52" t="n"/>
      <c r="C83" s="135">
        <f>IF(COUNTA(LOGTEST!$A$7:$A$306)=0,"",COUNTIF(LOGTEST!$L$7:$L$306,"Yes")/COUNTA(LOGTEST!$A$7:$A$306))</f>
        <v/>
      </c>
      <c r="D83" s="91" t="inlineStr">
        <is>
          <t>&gt;= 70%</t>
        </is>
      </c>
      <c r="E83" s="52" t="n"/>
      <c r="F83" s="45" t="inlineStr"/>
    </row>
    <row r="84">
      <c r="A84" s="85" t="inlineStr">
        <is>
          <t>Unit tests</t>
        </is>
      </c>
      <c r="B84" s="52" t="n"/>
      <c r="C84" s="26">
        <f>COUNTIF(LOGTEST!$E$7:$E$306,"Unit")</f>
        <v/>
      </c>
      <c r="D84" s="91" t="inlineStr">
        <is>
          <t>~60% of cases</t>
        </is>
      </c>
      <c r="E84" s="52" t="n"/>
      <c r="F84" s="45" t="inlineStr"/>
    </row>
    <row r="85">
      <c r="A85" s="85" t="inlineStr">
        <is>
          <t>Widget tests</t>
        </is>
      </c>
      <c r="B85" s="52" t="n"/>
      <c r="C85" s="26">
        <f>COUNTIF(LOGTEST!$E$7:$E$306,"Widget")</f>
        <v/>
      </c>
      <c r="D85" s="91" t="inlineStr">
        <is>
          <t>~30% of cases</t>
        </is>
      </c>
      <c r="E85" s="52" t="n"/>
      <c r="F85" s="45" t="inlineStr"/>
    </row>
    <row r="86">
      <c r="A86" s="85" t="inlineStr">
        <is>
          <t>Integration tests</t>
        </is>
      </c>
      <c r="B86" s="52" t="n"/>
      <c r="C86" s="26">
        <f>COUNTIF(LOGTEST!$E$7:$E$306,"Integration")</f>
        <v/>
      </c>
      <c r="D86" s="91" t="inlineStr">
        <is>
          <t>~10% of cases</t>
        </is>
      </c>
      <c r="E86" s="52" t="n"/>
      <c r="F86" s="45" t="inlineStr"/>
    </row>
    <row r="87">
      <c r="A87" s="85" t="inlineStr">
        <is>
          <t>Code coverage reported by CI  (enter manually)</t>
        </is>
      </c>
      <c r="B87" s="52" t="n"/>
      <c r="C87" s="140" t="n">
        <v>0.64</v>
      </c>
      <c r="D87" s="91" t="inlineStr">
        <is>
          <t>&gt;= 60%</t>
        </is>
      </c>
      <c r="E87" s="92">
        <f>IF($C87="","",IF($C87&gt;=0.6,"OK","LOW"))</f>
        <v/>
      </c>
      <c r="F87" s="63" t="inlineStr">
        <is>
          <t>Read from the coverage job in GitHub Actions, not estimated.</t>
        </is>
      </c>
    </row>
    <row r="88">
      <c r="A88" s="85" t="inlineStr">
        <is>
          <t>Open defects at this milestone</t>
        </is>
      </c>
      <c r="B88" s="52" t="n"/>
      <c r="C88" s="26">
        <f>COUNTA(LOGD!$B$7:$B$306)-COUNTIF(LOGD!$J$7:$J$306,"&lt;&gt;")</f>
        <v/>
      </c>
      <c r="D88" s="91" t="inlineStr">
        <is>
          <t>0 critical</t>
        </is>
      </c>
      <c r="E88" s="52" t="n"/>
      <c r="F88" s="45" t="inlineStr">
        <is>
          <t>A defect with no fix reference is still open.</t>
        </is>
      </c>
    </row>
  </sheetData>
  <mergeCells count="9">
    <mergeCell ref="A2:F2"/>
    <mergeCell ref="A46:F46"/>
    <mergeCell ref="A36:F36"/>
    <mergeCell ref="A1:F1"/>
    <mergeCell ref="A70:F70"/>
    <mergeCell ref="A27:F27"/>
    <mergeCell ref="A79:F79"/>
    <mergeCell ref="A6:F6"/>
    <mergeCell ref="A22:F22"/>
  </mergeCells>
  <conditionalFormatting sqref="E7:E89">
    <cfRule type="cellIs" priority="1" operator="equal" dxfId="9">
      <formula>"OK"</formula>
    </cfRule>
    <cfRule type="cellIs" priority="2" operator="equal" dxfId="7">
      <formula>"LOW"</formula>
    </cfRule>
    <cfRule type="cellIs" priority="3" operator="equal" dxfId="7">
      <formula>"TOO FAST"</formula>
    </cfRule>
  </conditionalFormatting>
  <dataValidations count="1">
    <dataValidation sqref="E4" showDropDown="0" showInputMessage="0" showErrorMessage="0" allowBlank="1" error="Pick a value from the list." promptTitle="Milestone" type="list">
      <formula1>=LISTS!$D$5:$D$8</formula1>
    </dataValidation>
  </dataValidation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worksheet>
</file>

<file path=xl/worksheets/sheet26.xml><?xml version="1.0" encoding="utf-8"?>
<worksheet xmlns="http://schemas.openxmlformats.org/spreadsheetml/2006/main">
  <sheetPr>
    <tabColor rgb="00B4531A"/>
    <outlinePr summaryBelow="1" summaryRight="1"/>
    <pageSetUpPr fitToPage="1"/>
  </sheetPr>
  <dimension ref="A1:L128"/>
  <sheetViews>
    <sheetView showGridLines="0" workbookViewId="0">
      <selection activeCell="A1" sqref="A1"/>
    </sheetView>
  </sheetViews>
  <sheetFormatPr baseColWidth="8" defaultRowHeight="15" outlineLevelCol="0"/>
  <cols>
    <col width="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30" customHeight="1">
      <c r="A1" s="1" t="inlineStr">
        <is>
          <t>Chart Gallery</t>
        </is>
      </c>
    </row>
    <row r="2" ht="16" customHeight="1">
      <c r="A2" s="2" t="inlineStr">
        <is>
          <t>Fourteen charts, redrawn from your own logs. They update themselves - there is nothing to press.</t>
        </is>
      </c>
    </row>
    <row r="3">
      <c r="A3" t="n"/>
    </row>
    <row r="20" ht="26" customHeight="1">
      <c r="B20" s="94" t="inlineStr">
        <is>
          <t>Planned against earned, with a dashed projection at your current rate. The gap is the schedule story.</t>
        </is>
      </c>
      <c r="H20" s="94" t="inlineStr">
        <is>
          <t>Value planned and value actually earned, week by week. Empty bars are weeks nothing finished.</t>
        </is>
      </c>
    </row>
    <row r="38" ht="26" customHeight="1">
      <c r="B38" s="94" t="inlineStr">
        <is>
          <t>Effort against the plan. Below the line with earned value also low means the team is simply not working the hours it committed to.</t>
        </is>
      </c>
      <c r="H38" s="94" t="inlineStr">
        <is>
          <t>The same comparison week by week. Look for the weeks that collapsed and ask what happened in them.</t>
        </is>
      </c>
    </row>
    <row r="56" ht="26" customHeight="1">
      <c r="B56" s="94" t="inlineStr">
        <is>
          <t>Share of components that entered each phase with no defect found. Should climb towards acceptance test.</t>
        </is>
      </c>
      <c r="H56" s="94" t="inlineStr">
        <is>
          <t>The total climbing through the process. A curve that stays flat until test is a team not reviewing.</t>
        </is>
      </c>
    </row>
    <row r="74" ht="26" customHeight="1">
      <c r="B74" s="94" t="inlineStr">
        <is>
          <t>Where defects are actually being caught. The mass should sit left of unit test, not right of it.</t>
        </is>
      </c>
      <c r="H74" s="94" t="inlineStr">
        <is>
          <t>The same picture normalised by code size, so cycles and components can be compared.</t>
        </is>
      </c>
    </row>
    <row r="92" ht="26" customHeight="1">
      <c r="B92" s="94" t="inlineStr">
        <is>
          <t>Your rate against the 200 LOC/hour guideline. Above the guideline means defects were missed, whatever the review found.</t>
        </is>
      </c>
      <c r="H92" s="94" t="inlineStr">
        <is>
          <t>Of the defects present when each phase began, the share that phase caught.</t>
        </is>
      </c>
    </row>
    <row r="110" ht="26" customHeight="1">
      <c r="B110" s="94" t="inlineStr">
        <is>
          <t>Defects removed before reaching each test phase, against the guideline. The acceptance-test bar is the one the client experiences.</t>
        </is>
      </c>
      <c r="H110" s="94" t="inlineStr">
        <is>
          <t>Five axes, each scored against its QPROFPARAM target. A shape that fills the pentagon is a team finding its own defects.</t>
        </is>
      </c>
    </row>
    <row r="128" ht="26" customHeight="1">
      <c r="B128" s="94" t="inlineStr">
        <is>
          <t>Hours logged and commits made, side by side. Not an assessment - a prompt for a conversation.</t>
        </is>
      </c>
      <c r="H128" s="94" t="inlineStr">
        <is>
          <t>Where the effort was meant to go against where it went. The phases you under-spent are usually the reviews.</t>
        </is>
      </c>
    </row>
  </sheetData>
  <mergeCells count="16">
    <mergeCell ref="A2:L2"/>
    <mergeCell ref="H74:L74"/>
    <mergeCell ref="H56:L56"/>
    <mergeCell ref="B38:F38"/>
    <mergeCell ref="B20:F20"/>
    <mergeCell ref="H20:L20"/>
    <mergeCell ref="H38:L38"/>
    <mergeCell ref="A1:L1"/>
    <mergeCell ref="B128:F128"/>
    <mergeCell ref="H128:L128"/>
    <mergeCell ref="H110:L110"/>
    <mergeCell ref="B110:F110"/>
    <mergeCell ref="B56:F56"/>
    <mergeCell ref="B74:F74"/>
    <mergeCell ref="B92:F92"/>
    <mergeCell ref="H92:L92"/>
  </mergeCell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7.xml><?xml version="1.0" encoding="utf-8"?>
<worksheet xmlns="http://schemas.openxmlformats.org/spreadsheetml/2006/main">
  <sheetPr>
    <tabColor rgb="00B4531A"/>
    <outlinePr summaryBelow="1" summaryRight="1"/>
    <pageSetUpPr fitToPage="1"/>
  </sheetPr>
  <dimension ref="A1:I101"/>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outlineLevelCol="0"/>
  <cols>
    <col width="4" customWidth="1" min="1" max="1"/>
    <col width="34" customWidth="1" min="2" max="2"/>
    <col width="13" customWidth="1" min="3" max="3"/>
    <col width="13" customWidth="1" min="4" max="4"/>
    <col width="13" customWidth="1" min="5" max="5"/>
    <col width="13" customWidth="1" min="6" max="6"/>
    <col width="13" customWidth="1" min="7" max="7"/>
    <col width="13" customWidth="1" min="8" max="8"/>
    <col width="52" customWidth="1" min="9" max="9"/>
  </cols>
  <sheetData>
    <row r="1" ht="30" customHeight="1">
      <c r="A1" s="1" t="inlineStr">
        <is>
          <t>Form PEER  -  Peer &amp; Individual Evaluation</t>
        </is>
      </c>
    </row>
    <row r="2" ht="16" customHeight="1">
      <c r="A2" s="2" t="inlineStr">
        <is>
          <t>Each member rates every member including themselves, 1 to 5, against the 10 rubric categories. 50 marks.</t>
        </is>
      </c>
    </row>
    <row r="4">
      <c r="A4" s="23" t="inlineStr">
        <is>
          <t>Team</t>
        </is>
      </c>
      <c r="B4" s="24">
        <f>SETUP!$C$10</f>
        <v/>
      </c>
      <c r="F4" s="23" t="inlineStr">
        <is>
          <t>Milestone</t>
        </is>
      </c>
      <c r="G4" s="41" t="inlineStr">
        <is>
          <t>M3</t>
        </is>
      </c>
    </row>
    <row r="6" ht="19" customHeight="1">
      <c r="A6" s="5" t="inlineStr">
        <is>
          <t>Summary  -  score received by each member (out of 50)</t>
        </is>
      </c>
    </row>
    <row r="7" ht="28" customHeight="1">
      <c r="A7" s="6" t="inlineStr">
        <is>
          <t>#</t>
        </is>
      </c>
      <c r="B7" s="6" t="inlineStr">
        <is>
          <t>Member</t>
        </is>
      </c>
      <c r="C7" s="6" t="inlineStr">
        <is>
          <t>Avg from peers</t>
        </is>
      </c>
      <c r="D7" s="6" t="inlineStr">
        <is>
          <t>Self-rating</t>
        </is>
      </c>
      <c r="E7" s="6" t="inlineStr">
        <is>
          <t>Peer vs self</t>
        </is>
      </c>
      <c r="F7" s="6" t="inlineStr">
        <is>
          <t>Score /50</t>
        </is>
      </c>
      <c r="G7" s="6" t="inlineStr">
        <is>
          <t>Score /10</t>
        </is>
      </c>
      <c r="H7" s="6" t="inlineStr">
        <is>
          <t>Rank</t>
        </is>
      </c>
      <c r="I7" s="6" t="inlineStr">
        <is>
          <t>Reading</t>
        </is>
      </c>
    </row>
    <row r="8">
      <c r="A8" s="61" t="n">
        <v>1</v>
      </c>
      <c r="B8" s="24">
        <f>IF('FORM-SI'!$C$9="","",'FORM-SI'!$C$9)</f>
        <v/>
      </c>
      <c r="C8" s="134">
        <f>IFERROR(AVERAGE($C$45,$C$59,$C$73,$C$87,$C$101),"")</f>
        <v/>
      </c>
      <c r="D8" s="134">
        <f>IF(COUNT($C$31)=0,"",$C$31)</f>
        <v/>
      </c>
      <c r="E8" s="134">
        <f>IF(OR($C8="",$D8=""),"",$D8-$C8)</f>
        <v/>
      </c>
      <c r="F8" s="137">
        <f>IF($C8="","",$C8)</f>
        <v/>
      </c>
      <c r="G8" s="137">
        <f>IF($F8="","",$F8/5)</f>
        <v/>
      </c>
      <c r="H8" s="26">
        <f>IF($F8="","",RANK($F8,$F$8:$F$13))</f>
        <v/>
      </c>
      <c r="I8" s="24">
        <f>IF($F8="","",IF($F8&lt;30,"Peers report low contribution - investigate",IF(ABS(N($E8))&gt;8,"Self-rating far from peer view","Consistent with peer view")))</f>
        <v/>
      </c>
    </row>
    <row r="9">
      <c r="A9" s="61" t="n">
        <v>2</v>
      </c>
      <c r="B9" s="24">
        <f>IF('FORM-SI'!$C$10="","",'FORM-SI'!$C$10)</f>
        <v/>
      </c>
      <c r="C9" s="134">
        <f>IFERROR(AVERAGE($D$31,$D$59,$D$73,$D$87,$D$101),"")</f>
        <v/>
      </c>
      <c r="D9" s="134">
        <f>IF(COUNT($D$45)=0,"",$D$45)</f>
        <v/>
      </c>
      <c r="E9" s="134">
        <f>IF(OR($C9="",$D9=""),"",$D9-$C9)</f>
        <v/>
      </c>
      <c r="F9" s="137">
        <f>IF($C9="","",$C9)</f>
        <v/>
      </c>
      <c r="G9" s="137">
        <f>IF($F9="","",$F9/5)</f>
        <v/>
      </c>
      <c r="H9" s="26">
        <f>IF($F9="","",RANK($F9,$F$8:$F$13))</f>
        <v/>
      </c>
      <c r="I9" s="24">
        <f>IF($F9="","",IF($F9&lt;30,"Peers report low contribution - investigate",IF(ABS(N($E9))&gt;8,"Self-rating far from peer view","Consistent with peer view")))</f>
        <v/>
      </c>
    </row>
    <row r="10">
      <c r="A10" s="61" t="n">
        <v>3</v>
      </c>
      <c r="B10" s="24">
        <f>IF('FORM-SI'!$C$11="","",'FORM-SI'!$C$11)</f>
        <v/>
      </c>
      <c r="C10" s="134">
        <f>IFERROR(AVERAGE($E$31,$E$45,$E$73,$E$87,$E$101),"")</f>
        <v/>
      </c>
      <c r="D10" s="134">
        <f>IF(COUNT($E$59)=0,"",$E$59)</f>
        <v/>
      </c>
      <c r="E10" s="134">
        <f>IF(OR($C10="",$D10=""),"",$D10-$C10)</f>
        <v/>
      </c>
      <c r="F10" s="137">
        <f>IF($C10="","",$C10)</f>
        <v/>
      </c>
      <c r="G10" s="137">
        <f>IF($F10="","",$F10/5)</f>
        <v/>
      </c>
      <c r="H10" s="26">
        <f>IF($F10="","",RANK($F10,$F$8:$F$13))</f>
        <v/>
      </c>
      <c r="I10" s="24">
        <f>IF($F10="","",IF($F10&lt;30,"Peers report low contribution - investigate",IF(ABS(N($E10))&gt;8,"Self-rating far from peer view","Consistent with peer view")))</f>
        <v/>
      </c>
    </row>
    <row r="11">
      <c r="A11" s="61" t="n">
        <v>4</v>
      </c>
      <c r="B11" s="24">
        <f>IF('FORM-SI'!$C$12="","",'FORM-SI'!$C$12)</f>
        <v/>
      </c>
      <c r="C11" s="134">
        <f>IFERROR(AVERAGE($F$31,$F$45,$F$59,$F$87,$F$101),"")</f>
        <v/>
      </c>
      <c r="D11" s="134">
        <f>IF(COUNT($F$73)=0,"",$F$73)</f>
        <v/>
      </c>
      <c r="E11" s="134">
        <f>IF(OR($C11="",$D11=""),"",$D11-$C11)</f>
        <v/>
      </c>
      <c r="F11" s="137">
        <f>IF($C11="","",$C11)</f>
        <v/>
      </c>
      <c r="G11" s="137">
        <f>IF($F11="","",$F11/5)</f>
        <v/>
      </c>
      <c r="H11" s="26">
        <f>IF($F11="","",RANK($F11,$F$8:$F$13))</f>
        <v/>
      </c>
      <c r="I11" s="24">
        <f>IF($F11="","",IF($F11&lt;30,"Peers report low contribution - investigate",IF(ABS(N($E11))&gt;8,"Self-rating far from peer view","Consistent with peer view")))</f>
        <v/>
      </c>
    </row>
    <row r="12">
      <c r="A12" s="61" t="n">
        <v>5</v>
      </c>
      <c r="B12" s="24">
        <f>IF('FORM-SI'!$C$13="","",'FORM-SI'!$C$13)</f>
        <v/>
      </c>
      <c r="C12" s="134">
        <f>IFERROR(AVERAGE($G$31,$G$45,$G$59,$G$73,$G$101),"")</f>
        <v/>
      </c>
      <c r="D12" s="134">
        <f>IF(COUNT($G$87)=0,"",$G$87)</f>
        <v/>
      </c>
      <c r="E12" s="134">
        <f>IF(OR($C12="",$D12=""),"",$D12-$C12)</f>
        <v/>
      </c>
      <c r="F12" s="137">
        <f>IF($C12="","",$C12)</f>
        <v/>
      </c>
      <c r="G12" s="137">
        <f>IF($F12="","",$F12/5)</f>
        <v/>
      </c>
      <c r="H12" s="26">
        <f>IF($F12="","",RANK($F12,$F$8:$F$13))</f>
        <v/>
      </c>
      <c r="I12" s="24">
        <f>IF($F12="","",IF($F12&lt;30,"Peers report low contribution - investigate",IF(ABS(N($E12))&gt;8,"Self-rating far from peer view","Consistent with peer view")))</f>
        <v/>
      </c>
    </row>
    <row r="13">
      <c r="A13" s="61" t="n">
        <v>6</v>
      </c>
      <c r="B13" s="24">
        <f>IF('FORM-SI'!$C$14="","",'FORM-SI'!$C$14)</f>
        <v/>
      </c>
      <c r="C13" s="134">
        <f>IFERROR(AVERAGE($H$31,$H$45,$H$59,$H$73,$H$87),"")</f>
        <v/>
      </c>
      <c r="D13" s="134">
        <f>IF(COUNT($H$101)=0,"",$H$101)</f>
        <v/>
      </c>
      <c r="E13" s="134">
        <f>IF(OR($C13="",$D13=""),"",$D13-$C13)</f>
        <v/>
      </c>
      <c r="F13" s="137">
        <f>IF($C13="","",$C13)</f>
        <v/>
      </c>
      <c r="G13" s="137">
        <f>IF($F13="","",$F13/5)</f>
        <v/>
      </c>
      <c r="H13" s="26">
        <f>IF($F13="","",RANK($F13,$F$8:$F$13))</f>
        <v/>
      </c>
      <c r="I13" s="24">
        <f>IF($F13="","",IF($F13&lt;30,"Peers report low contribution - investigate",IF(ABS(N($E13))&gt;8,"Self-rating far from peer view","Consistent with peer view")))</f>
        <v/>
      </c>
    </row>
    <row r="15" ht="19" customHeight="1">
      <c r="A15" s="5" t="inlineStr">
        <is>
          <t>Rating scale</t>
        </is>
      </c>
    </row>
    <row r="16">
      <c r="B16" s="45" t="inlineStr">
        <is>
          <t>1  Well below what the team required</t>
        </is>
      </c>
      <c r="D16" s="45" t="inlineStr">
        <is>
          <t>2  Below what the team required</t>
        </is>
      </c>
      <c r="F16" s="45" t="inlineStr">
        <is>
          <t>3  Met what the team required</t>
        </is>
      </c>
    </row>
    <row r="17">
      <c r="B17" s="45" t="inlineStr">
        <is>
          <t>4  Consistently met and sometimes exceeded</t>
        </is>
      </c>
      <c r="D17" s="45" t="inlineStr">
        <is>
          <t>5  Consistently exceeded</t>
        </is>
      </c>
    </row>
    <row r="19" ht="19" customHeight="1">
      <c r="A19" s="5" t="inlineStr">
        <is>
          <t>Ratings given by  -&gt;  member 1</t>
        </is>
      </c>
    </row>
    <row r="20" ht="26" customHeight="1">
      <c r="A20" s="27" t="inlineStr">
        <is>
          <t>#</t>
        </is>
      </c>
      <c r="B20" s="27" t="inlineStr">
        <is>
          <t>Category</t>
        </is>
      </c>
      <c r="C20" s="27">
        <f>IF('FORM-SI'!$C$9="","Member 1",'FORM-SI'!$C$9)</f>
        <v/>
      </c>
      <c r="D20" s="27">
        <f>IF('FORM-SI'!$C$10="","Member 2",'FORM-SI'!$C$10)</f>
        <v/>
      </c>
      <c r="E20" s="27">
        <f>IF('FORM-SI'!$C$11="","Member 3",'FORM-SI'!$C$11)</f>
        <v/>
      </c>
      <c r="F20" s="27">
        <f>IF('FORM-SI'!$C$12="","Member 4",'FORM-SI'!$C$12)</f>
        <v/>
      </c>
      <c r="G20" s="27">
        <f>IF('FORM-SI'!$C$13="","Member 5",'FORM-SI'!$C$13)</f>
        <v/>
      </c>
      <c r="H20" s="27">
        <f>IF('FORM-SI'!$C$14="","Member 6",'FORM-SI'!$C$14)</f>
        <v/>
      </c>
      <c r="I20" s="27" t="inlineStr">
        <is>
          <t>What you are judging</t>
        </is>
      </c>
    </row>
    <row r="21">
      <c r="A21" s="95" t="n">
        <v>1</v>
      </c>
      <c r="B21" s="96" t="inlineStr">
        <is>
          <t>Quantity of work</t>
        </is>
      </c>
      <c r="C21" s="44" t="n">
        <v>4</v>
      </c>
      <c r="D21" s="44" t="n">
        <v>2</v>
      </c>
      <c r="E21" s="44" t="n">
        <v>4</v>
      </c>
      <c r="F21" s="44" t="n">
        <v>5</v>
      </c>
      <c r="G21" s="44" t="n">
        <v>4</v>
      </c>
      <c r="H21" s="44" t="n"/>
      <c r="I21" s="97" t="inlineStr">
        <is>
          <t>Produces accurate, complete work that meets or exceeds what the team agreed.</t>
        </is>
      </c>
    </row>
    <row r="22">
      <c r="A22" s="95" t="n">
        <v>2</v>
      </c>
      <c r="B22" s="96" t="inlineStr">
        <is>
          <t>Timeliness of work</t>
        </is>
      </c>
      <c r="C22" s="44" t="n">
        <v>4</v>
      </c>
      <c r="D22" s="44" t="n">
        <v>2</v>
      </c>
      <c r="E22" s="44" t="n">
        <v>5</v>
      </c>
      <c r="F22" s="44" t="n">
        <v>5</v>
      </c>
      <c r="G22" s="44" t="n">
        <v>4</v>
      </c>
      <c r="H22" s="44" t="n"/>
      <c r="I22" s="97" t="inlineStr">
        <is>
          <t>Meets the deadlines the team set, without being chased.</t>
        </is>
      </c>
    </row>
    <row r="23">
      <c r="A23" s="95" t="n">
        <v>3</v>
      </c>
      <c r="B23" s="96" t="inlineStr">
        <is>
          <t>Task support</t>
        </is>
      </c>
      <c r="C23" s="44" t="n">
        <v>4</v>
      </c>
      <c r="D23" s="44" t="n">
        <v>3</v>
      </c>
      <c r="E23" s="44" t="n">
        <v>4</v>
      </c>
      <c r="F23" s="44" t="n">
        <v>5</v>
      </c>
      <c r="G23" s="44" t="n">
        <v>4</v>
      </c>
      <c r="H23" s="44" t="n"/>
      <c r="I23" s="97" t="inlineStr">
        <is>
          <t>Helps other members with their tasks when they need it.</t>
        </is>
      </c>
    </row>
    <row r="24">
      <c r="A24" s="95" t="n">
        <v>4</v>
      </c>
      <c r="B24" s="96" t="inlineStr">
        <is>
          <t>Interaction</t>
        </is>
      </c>
      <c r="C24" s="44" t="n">
        <v>4</v>
      </c>
      <c r="D24" s="44" t="n">
        <v>3</v>
      </c>
      <c r="E24" s="44" t="n">
        <v>4</v>
      </c>
      <c r="F24" s="44" t="n">
        <v>5</v>
      </c>
      <c r="G24" s="44" t="n">
        <v>4</v>
      </c>
      <c r="H24" s="44" t="n"/>
      <c r="I24" s="97" t="inlineStr">
        <is>
          <t>Listens, accepts criticism, communicates respectfully.</t>
        </is>
      </c>
    </row>
    <row r="25">
      <c r="A25" s="95" t="n">
        <v>5</v>
      </c>
      <c r="B25" s="96" t="inlineStr">
        <is>
          <t>Attendance</t>
        </is>
      </c>
      <c r="C25" s="44" t="n">
        <v>5</v>
      </c>
      <c r="D25" s="44" t="n">
        <v>2</v>
      </c>
      <c r="E25" s="44" t="n">
        <v>5</v>
      </c>
      <c r="F25" s="44" t="n">
        <v>5</v>
      </c>
      <c r="G25" s="44" t="n">
        <v>4</v>
      </c>
      <c r="H25" s="44" t="n"/>
      <c r="I25" s="97" t="inlineStr">
        <is>
          <t>Turns up to team and client meetings.</t>
        </is>
      </c>
    </row>
    <row r="26">
      <c r="A26" s="95" t="n">
        <v>6</v>
      </c>
      <c r="B26" s="96" t="inlineStr">
        <is>
          <t>Responsibility</t>
        </is>
      </c>
      <c r="C26" s="44" t="n">
        <v>4</v>
      </c>
      <c r="D26" s="44" t="n">
        <v>2</v>
      </c>
      <c r="E26" s="44" t="n">
        <v>4</v>
      </c>
      <c r="F26" s="44" t="n">
        <v>5</v>
      </c>
      <c r="G26" s="44" t="n">
        <v>4</v>
      </c>
      <c r="H26" s="44" t="n"/>
      <c r="I26" s="97" t="inlineStr">
        <is>
          <t>Carries out assigned tasks and volunteers for others.</t>
        </is>
      </c>
    </row>
    <row r="27">
      <c r="A27" s="95" t="n">
        <v>7</v>
      </c>
      <c r="B27" s="96" t="inlineStr">
        <is>
          <t>Involvement</t>
        </is>
      </c>
      <c r="C27" s="44" t="n">
        <v>4</v>
      </c>
      <c r="D27" s="44" t="n">
        <v>2</v>
      </c>
      <c r="E27" s="44" t="n">
        <v>4</v>
      </c>
      <c r="F27" s="44" t="n">
        <v>5</v>
      </c>
      <c r="G27" s="44" t="n">
        <v>4</v>
      </c>
      <c r="H27" s="44" t="n"/>
      <c r="I27" s="97" t="inlineStr">
        <is>
          <t>Takes part in discussion and brings relevant material to the team.</t>
        </is>
      </c>
    </row>
    <row r="28">
      <c r="A28" s="95" t="n">
        <v>8</v>
      </c>
      <c r="B28" s="96" t="inlineStr">
        <is>
          <t>Leadership</t>
        </is>
      </c>
      <c r="C28" s="44" t="n">
        <v>4</v>
      </c>
      <c r="D28" s="44" t="n">
        <v>3</v>
      </c>
      <c r="E28" s="44" t="n">
        <v>4</v>
      </c>
      <c r="F28" s="44" t="n">
        <v>5</v>
      </c>
      <c r="G28" s="44" t="n">
        <v>3</v>
      </c>
      <c r="H28" s="44" t="n"/>
      <c r="I28" s="97" t="inlineStr">
        <is>
          <t>Steps up and leads when the situation calls for it.</t>
        </is>
      </c>
    </row>
    <row r="29">
      <c r="A29" s="95" t="n">
        <v>9</v>
      </c>
      <c r="B29" s="96" t="inlineStr">
        <is>
          <t>Role assignment</t>
        </is>
      </c>
      <c r="C29" s="44" t="n">
        <v>4</v>
      </c>
      <c r="D29" s="44" t="n">
        <v>2</v>
      </c>
      <c r="E29" s="44" t="n">
        <v>4</v>
      </c>
      <c r="F29" s="44" t="n">
        <v>5</v>
      </c>
      <c r="G29" s="44" t="n">
        <v>4</v>
      </c>
      <c r="H29" s="44" t="n"/>
      <c r="I29" s="97" t="inlineStr">
        <is>
          <t>Performs the duties of the role they hold this cycle.</t>
        </is>
      </c>
    </row>
    <row r="30">
      <c r="A30" s="95" t="n">
        <v>10</v>
      </c>
      <c r="B30" s="96" t="inlineStr">
        <is>
          <t>Overall performance</t>
        </is>
      </c>
      <c r="C30" s="44" t="n">
        <v>4</v>
      </c>
      <c r="D30" s="44" t="n">
        <v>3</v>
      </c>
      <c r="E30" s="44" t="n">
        <v>4</v>
      </c>
      <c r="F30" s="44" t="n">
        <v>5</v>
      </c>
      <c r="G30" s="44" t="n">
        <v>4</v>
      </c>
      <c r="H30" s="44" t="n"/>
      <c r="I30" s="97" t="inlineStr">
        <is>
          <t>Overall contribution against what the team required.</t>
        </is>
      </c>
    </row>
    <row r="31">
      <c r="A31" s="52" t="n"/>
      <c r="B31" s="98" t="inlineStr">
        <is>
          <t>TOTAL  /50</t>
        </is>
      </c>
      <c r="C31" s="59">
        <f>IF(COUNT(C21:C30)=0,"",SUM(C21:C30))</f>
        <v/>
      </c>
      <c r="D31" s="59">
        <f>IF(COUNT(D21:D30)=0,"",SUM(D21:D30))</f>
        <v/>
      </c>
      <c r="E31" s="59">
        <f>IF(COUNT(E21:E30)=0,"",SUM(E21:E30))</f>
        <v/>
      </c>
      <c r="F31" s="59">
        <f>IF(COUNT(F21:F30)=0,"",SUM(F21:F30))</f>
        <v/>
      </c>
      <c r="G31" s="59">
        <f>IF(COUNT(G21:G30)=0,"",SUM(G21:G30))</f>
        <v/>
      </c>
      <c r="H31" s="59">
        <f>IF(COUNT(H21:H30)=0,"",SUM(H21:H30))</f>
        <v/>
      </c>
    </row>
    <row r="33" ht="19" customHeight="1">
      <c r="A33" s="5" t="inlineStr">
        <is>
          <t>Ratings given by  -&gt;  member 2</t>
        </is>
      </c>
    </row>
    <row r="34" ht="26" customHeight="1">
      <c r="A34" s="27" t="inlineStr">
        <is>
          <t>#</t>
        </is>
      </c>
      <c r="B34" s="27" t="inlineStr">
        <is>
          <t>Category</t>
        </is>
      </c>
      <c r="C34" s="27">
        <f>IF('FORM-SI'!$C$9="","Member 1",'FORM-SI'!$C$9)</f>
        <v/>
      </c>
      <c r="D34" s="27">
        <f>IF('FORM-SI'!$C$10="","Member 2",'FORM-SI'!$C$10)</f>
        <v/>
      </c>
      <c r="E34" s="27">
        <f>IF('FORM-SI'!$C$11="","Member 3",'FORM-SI'!$C$11)</f>
        <v/>
      </c>
      <c r="F34" s="27">
        <f>IF('FORM-SI'!$C$12="","Member 4",'FORM-SI'!$C$12)</f>
        <v/>
      </c>
      <c r="G34" s="27">
        <f>IF('FORM-SI'!$C$13="","Member 5",'FORM-SI'!$C$13)</f>
        <v/>
      </c>
      <c r="H34" s="27">
        <f>IF('FORM-SI'!$C$14="","Member 6",'FORM-SI'!$C$14)</f>
        <v/>
      </c>
      <c r="I34" s="27" t="inlineStr">
        <is>
          <t>What you are judging</t>
        </is>
      </c>
    </row>
    <row r="35">
      <c r="A35" s="95" t="n">
        <v>1</v>
      </c>
      <c r="B35" s="96" t="inlineStr">
        <is>
          <t>Quantity of work</t>
        </is>
      </c>
      <c r="C35" s="44" t="n">
        <v>4</v>
      </c>
      <c r="D35" s="44" t="n">
        <v>4</v>
      </c>
      <c r="E35" s="44" t="n">
        <v>4</v>
      </c>
      <c r="F35" s="44" t="n">
        <v>5</v>
      </c>
      <c r="G35" s="44" t="n">
        <v>4</v>
      </c>
      <c r="H35" s="44" t="n"/>
      <c r="I35" s="97" t="inlineStr">
        <is>
          <t>Produces accurate, complete work that meets or exceeds what the team agreed.</t>
        </is>
      </c>
    </row>
    <row r="36">
      <c r="A36" s="95" t="n">
        <v>2</v>
      </c>
      <c r="B36" s="96" t="inlineStr">
        <is>
          <t>Timeliness of work</t>
        </is>
      </c>
      <c r="C36" s="44" t="n">
        <v>4</v>
      </c>
      <c r="D36" s="44" t="n">
        <v>4</v>
      </c>
      <c r="E36" s="44" t="n">
        <v>5</v>
      </c>
      <c r="F36" s="44" t="n">
        <v>5</v>
      </c>
      <c r="G36" s="44" t="n">
        <v>4</v>
      </c>
      <c r="H36" s="44" t="n"/>
      <c r="I36" s="97" t="inlineStr">
        <is>
          <t>Meets the deadlines the team set, without being chased.</t>
        </is>
      </c>
    </row>
    <row r="37">
      <c r="A37" s="95" t="n">
        <v>3</v>
      </c>
      <c r="B37" s="96" t="inlineStr">
        <is>
          <t>Task support</t>
        </is>
      </c>
      <c r="C37" s="44" t="n">
        <v>4</v>
      </c>
      <c r="D37" s="44" t="n">
        <v>3</v>
      </c>
      <c r="E37" s="44" t="n">
        <v>4</v>
      </c>
      <c r="F37" s="44" t="n">
        <v>5</v>
      </c>
      <c r="G37" s="44" t="n">
        <v>4</v>
      </c>
      <c r="H37" s="44" t="n"/>
      <c r="I37" s="97" t="inlineStr">
        <is>
          <t>Helps other members with their tasks when they need it.</t>
        </is>
      </c>
    </row>
    <row r="38">
      <c r="A38" s="95" t="n">
        <v>4</v>
      </c>
      <c r="B38" s="96" t="inlineStr">
        <is>
          <t>Interaction</t>
        </is>
      </c>
      <c r="C38" s="44" t="n">
        <v>4</v>
      </c>
      <c r="D38" s="44" t="n">
        <v>4</v>
      </c>
      <c r="E38" s="44" t="n">
        <v>4</v>
      </c>
      <c r="F38" s="44" t="n">
        <v>5</v>
      </c>
      <c r="G38" s="44" t="n">
        <v>4</v>
      </c>
      <c r="H38" s="44" t="n"/>
      <c r="I38" s="97" t="inlineStr">
        <is>
          <t>Listens, accepts criticism, communicates respectfully.</t>
        </is>
      </c>
    </row>
    <row r="39">
      <c r="A39" s="95" t="n">
        <v>5</v>
      </c>
      <c r="B39" s="96" t="inlineStr">
        <is>
          <t>Attendance</t>
        </is>
      </c>
      <c r="C39" s="44" t="n">
        <v>5</v>
      </c>
      <c r="D39" s="44" t="n">
        <v>4</v>
      </c>
      <c r="E39" s="44" t="n">
        <v>5</v>
      </c>
      <c r="F39" s="44" t="n">
        <v>5</v>
      </c>
      <c r="G39" s="44" t="n">
        <v>4</v>
      </c>
      <c r="H39" s="44" t="n"/>
      <c r="I39" s="97" t="inlineStr">
        <is>
          <t>Turns up to team and client meetings.</t>
        </is>
      </c>
    </row>
    <row r="40">
      <c r="A40" s="95" t="n">
        <v>6</v>
      </c>
      <c r="B40" s="96" t="inlineStr">
        <is>
          <t>Responsibility</t>
        </is>
      </c>
      <c r="C40" s="44" t="n">
        <v>4</v>
      </c>
      <c r="D40" s="44" t="n">
        <v>4</v>
      </c>
      <c r="E40" s="44" t="n">
        <v>4</v>
      </c>
      <c r="F40" s="44" t="n">
        <v>5</v>
      </c>
      <c r="G40" s="44" t="n">
        <v>4</v>
      </c>
      <c r="H40" s="44" t="n"/>
      <c r="I40" s="97" t="inlineStr">
        <is>
          <t>Carries out assigned tasks and volunteers for others.</t>
        </is>
      </c>
    </row>
    <row r="41">
      <c r="A41" s="95" t="n">
        <v>7</v>
      </c>
      <c r="B41" s="96" t="inlineStr">
        <is>
          <t>Involvement</t>
        </is>
      </c>
      <c r="C41" s="44" t="n">
        <v>4</v>
      </c>
      <c r="D41" s="44" t="n">
        <v>3</v>
      </c>
      <c r="E41" s="44" t="n">
        <v>4</v>
      </c>
      <c r="F41" s="44" t="n">
        <v>5</v>
      </c>
      <c r="G41" s="44" t="n">
        <v>4</v>
      </c>
      <c r="H41" s="44" t="n"/>
      <c r="I41" s="97" t="inlineStr">
        <is>
          <t>Takes part in discussion and brings relevant material to the team.</t>
        </is>
      </c>
    </row>
    <row r="42">
      <c r="A42" s="95" t="n">
        <v>8</v>
      </c>
      <c r="B42" s="96" t="inlineStr">
        <is>
          <t>Leadership</t>
        </is>
      </c>
      <c r="C42" s="44" t="n">
        <v>3</v>
      </c>
      <c r="D42" s="44" t="n">
        <v>3</v>
      </c>
      <c r="E42" s="44" t="n">
        <v>4</v>
      </c>
      <c r="F42" s="44" t="n">
        <v>5</v>
      </c>
      <c r="G42" s="44" t="n">
        <v>3</v>
      </c>
      <c r="H42" s="44" t="n"/>
      <c r="I42" s="97" t="inlineStr">
        <is>
          <t>Steps up and leads when the situation calls for it.</t>
        </is>
      </c>
    </row>
    <row r="43">
      <c r="A43" s="95" t="n">
        <v>9</v>
      </c>
      <c r="B43" s="96" t="inlineStr">
        <is>
          <t>Role assignment</t>
        </is>
      </c>
      <c r="C43" s="44" t="n">
        <v>4</v>
      </c>
      <c r="D43" s="44" t="n">
        <v>4</v>
      </c>
      <c r="E43" s="44" t="n">
        <v>4</v>
      </c>
      <c r="F43" s="44" t="n">
        <v>5</v>
      </c>
      <c r="G43" s="44" t="n">
        <v>4</v>
      </c>
      <c r="H43" s="44" t="n"/>
      <c r="I43" s="97" t="inlineStr">
        <is>
          <t>Performs the duties of the role they hold this cycle.</t>
        </is>
      </c>
    </row>
    <row r="44">
      <c r="A44" s="95" t="n">
        <v>10</v>
      </c>
      <c r="B44" s="96" t="inlineStr">
        <is>
          <t>Overall performance</t>
        </is>
      </c>
      <c r="C44" s="44" t="n">
        <v>4</v>
      </c>
      <c r="D44" s="44" t="n">
        <v>4</v>
      </c>
      <c r="E44" s="44" t="n">
        <v>4</v>
      </c>
      <c r="F44" s="44" t="n">
        <v>5</v>
      </c>
      <c r="G44" s="44" t="n">
        <v>4</v>
      </c>
      <c r="H44" s="44" t="n"/>
      <c r="I44" s="97" t="inlineStr">
        <is>
          <t>Overall contribution against what the team required.</t>
        </is>
      </c>
    </row>
    <row r="45">
      <c r="A45" s="52" t="n"/>
      <c r="B45" s="98" t="inlineStr">
        <is>
          <t>TOTAL  /50</t>
        </is>
      </c>
      <c r="C45" s="59">
        <f>IF(COUNT(C35:C44)=0,"",SUM(C35:C44))</f>
        <v/>
      </c>
      <c r="D45" s="59">
        <f>IF(COUNT(D35:D44)=0,"",SUM(D35:D44))</f>
        <v/>
      </c>
      <c r="E45" s="59">
        <f>IF(COUNT(E35:E44)=0,"",SUM(E35:E44))</f>
        <v/>
      </c>
      <c r="F45" s="59">
        <f>IF(COUNT(F35:F44)=0,"",SUM(F35:F44))</f>
        <v/>
      </c>
      <c r="G45" s="59">
        <f>IF(COUNT(G35:G44)=0,"",SUM(G35:G44))</f>
        <v/>
      </c>
      <c r="H45" s="59">
        <f>IF(COUNT(H35:H44)=0,"",SUM(H35:H44))</f>
        <v/>
      </c>
    </row>
    <row r="47" ht="19" customHeight="1">
      <c r="A47" s="5" t="inlineStr">
        <is>
          <t>Ratings given by  -&gt;  member 3</t>
        </is>
      </c>
    </row>
    <row r="48" ht="26" customHeight="1">
      <c r="A48" s="27" t="inlineStr">
        <is>
          <t>#</t>
        </is>
      </c>
      <c r="B48" s="27" t="inlineStr">
        <is>
          <t>Category</t>
        </is>
      </c>
      <c r="C48" s="27">
        <f>IF('FORM-SI'!$C$9="","Member 1",'FORM-SI'!$C$9)</f>
        <v/>
      </c>
      <c r="D48" s="27">
        <f>IF('FORM-SI'!$C$10="","Member 2",'FORM-SI'!$C$10)</f>
        <v/>
      </c>
      <c r="E48" s="27">
        <f>IF('FORM-SI'!$C$11="","Member 3",'FORM-SI'!$C$11)</f>
        <v/>
      </c>
      <c r="F48" s="27">
        <f>IF('FORM-SI'!$C$12="","Member 4",'FORM-SI'!$C$12)</f>
        <v/>
      </c>
      <c r="G48" s="27">
        <f>IF('FORM-SI'!$C$13="","Member 5",'FORM-SI'!$C$13)</f>
        <v/>
      </c>
      <c r="H48" s="27">
        <f>IF('FORM-SI'!$C$14="","Member 6",'FORM-SI'!$C$14)</f>
        <v/>
      </c>
      <c r="I48" s="27" t="inlineStr">
        <is>
          <t>What you are judging</t>
        </is>
      </c>
    </row>
    <row r="49">
      <c r="A49" s="95" t="n">
        <v>1</v>
      </c>
      <c r="B49" s="96" t="inlineStr">
        <is>
          <t>Quantity of work</t>
        </is>
      </c>
      <c r="C49" s="44" t="n">
        <v>4</v>
      </c>
      <c r="D49" s="44" t="n">
        <v>2</v>
      </c>
      <c r="E49" s="44" t="n">
        <v>4</v>
      </c>
      <c r="F49" s="44" t="n">
        <v>5</v>
      </c>
      <c r="G49" s="44" t="n">
        <v>4</v>
      </c>
      <c r="H49" s="44" t="n"/>
      <c r="I49" s="97" t="inlineStr">
        <is>
          <t>Produces accurate, complete work that meets or exceeds what the team agreed.</t>
        </is>
      </c>
    </row>
    <row r="50">
      <c r="A50" s="95" t="n">
        <v>2</v>
      </c>
      <c r="B50" s="96" t="inlineStr">
        <is>
          <t>Timeliness of work</t>
        </is>
      </c>
      <c r="C50" s="44" t="n">
        <v>4</v>
      </c>
      <c r="D50" s="44" t="n">
        <v>2</v>
      </c>
      <c r="E50" s="44" t="n">
        <v>5</v>
      </c>
      <c r="F50" s="44" t="n">
        <v>5</v>
      </c>
      <c r="G50" s="44" t="n">
        <v>4</v>
      </c>
      <c r="H50" s="44" t="n"/>
      <c r="I50" s="97" t="inlineStr">
        <is>
          <t>Meets the deadlines the team set, without being chased.</t>
        </is>
      </c>
    </row>
    <row r="51">
      <c r="A51" s="95" t="n">
        <v>3</v>
      </c>
      <c r="B51" s="96" t="inlineStr">
        <is>
          <t>Task support</t>
        </is>
      </c>
      <c r="C51" s="44" t="n">
        <v>4</v>
      </c>
      <c r="D51" s="44" t="n">
        <v>2</v>
      </c>
      <c r="E51" s="44" t="n">
        <v>4</v>
      </c>
      <c r="F51" s="44" t="n">
        <v>5</v>
      </c>
      <c r="G51" s="44" t="n">
        <v>5</v>
      </c>
      <c r="H51" s="44" t="n"/>
      <c r="I51" s="97" t="inlineStr">
        <is>
          <t>Helps other members with their tasks when they need it.</t>
        </is>
      </c>
    </row>
    <row r="52">
      <c r="A52" s="95" t="n">
        <v>4</v>
      </c>
      <c r="B52" s="96" t="inlineStr">
        <is>
          <t>Interaction</t>
        </is>
      </c>
      <c r="C52" s="44" t="n">
        <v>4</v>
      </c>
      <c r="D52" s="44" t="n">
        <v>3</v>
      </c>
      <c r="E52" s="44" t="n">
        <v>4</v>
      </c>
      <c r="F52" s="44" t="n">
        <v>5</v>
      </c>
      <c r="G52" s="44" t="n">
        <v>4</v>
      </c>
      <c r="H52" s="44" t="n"/>
      <c r="I52" s="97" t="inlineStr">
        <is>
          <t>Listens, accepts criticism, communicates respectfully.</t>
        </is>
      </c>
    </row>
    <row r="53">
      <c r="A53" s="95" t="n">
        <v>5</v>
      </c>
      <c r="B53" s="96" t="inlineStr">
        <is>
          <t>Attendance</t>
        </is>
      </c>
      <c r="C53" s="44" t="n">
        <v>5</v>
      </c>
      <c r="D53" s="44" t="n">
        <v>2</v>
      </c>
      <c r="E53" s="44" t="n">
        <v>5</v>
      </c>
      <c r="F53" s="44" t="n">
        <v>5</v>
      </c>
      <c r="G53" s="44" t="n">
        <v>4</v>
      </c>
      <c r="H53" s="44" t="n"/>
      <c r="I53" s="97" t="inlineStr">
        <is>
          <t>Turns up to team and client meetings.</t>
        </is>
      </c>
    </row>
    <row r="54">
      <c r="A54" s="95" t="n">
        <v>6</v>
      </c>
      <c r="B54" s="96" t="inlineStr">
        <is>
          <t>Responsibility</t>
        </is>
      </c>
      <c r="C54" s="44" t="n">
        <v>4</v>
      </c>
      <c r="D54" s="44" t="n">
        <v>2</v>
      </c>
      <c r="E54" s="44" t="n">
        <v>4</v>
      </c>
      <c r="F54" s="44" t="n">
        <v>5</v>
      </c>
      <c r="G54" s="44" t="n">
        <v>4</v>
      </c>
      <c r="H54" s="44" t="n"/>
      <c r="I54" s="97" t="inlineStr">
        <is>
          <t>Carries out assigned tasks and volunteers for others.</t>
        </is>
      </c>
    </row>
    <row r="55">
      <c r="A55" s="95" t="n">
        <v>7</v>
      </c>
      <c r="B55" s="96" t="inlineStr">
        <is>
          <t>Involvement</t>
        </is>
      </c>
      <c r="C55" s="44" t="n">
        <v>4</v>
      </c>
      <c r="D55" s="44" t="n">
        <v>2</v>
      </c>
      <c r="E55" s="44" t="n">
        <v>4</v>
      </c>
      <c r="F55" s="44" t="n">
        <v>5</v>
      </c>
      <c r="G55" s="44" t="n">
        <v>4</v>
      </c>
      <c r="H55" s="44" t="n"/>
      <c r="I55" s="97" t="inlineStr">
        <is>
          <t>Takes part in discussion and brings relevant material to the team.</t>
        </is>
      </c>
    </row>
    <row r="56">
      <c r="A56" s="95" t="n">
        <v>8</v>
      </c>
      <c r="B56" s="96" t="inlineStr">
        <is>
          <t>Leadership</t>
        </is>
      </c>
      <c r="C56" s="44" t="n">
        <v>3</v>
      </c>
      <c r="D56" s="44" t="n">
        <v>2</v>
      </c>
      <c r="E56" s="44" t="n">
        <v>4</v>
      </c>
      <c r="F56" s="44" t="n">
        <v>5</v>
      </c>
      <c r="G56" s="44" t="n">
        <v>4</v>
      </c>
      <c r="H56" s="44" t="n"/>
      <c r="I56" s="97" t="inlineStr">
        <is>
          <t>Steps up and leads when the situation calls for it.</t>
        </is>
      </c>
    </row>
    <row r="57">
      <c r="A57" s="95" t="n">
        <v>9</v>
      </c>
      <c r="B57" s="96" t="inlineStr">
        <is>
          <t>Role assignment</t>
        </is>
      </c>
      <c r="C57" s="44" t="n">
        <v>4</v>
      </c>
      <c r="D57" s="44" t="n">
        <v>2</v>
      </c>
      <c r="E57" s="44" t="n">
        <v>4</v>
      </c>
      <c r="F57" s="44" t="n">
        <v>5</v>
      </c>
      <c r="G57" s="44" t="n">
        <v>4</v>
      </c>
      <c r="H57" s="44" t="n"/>
      <c r="I57" s="97" t="inlineStr">
        <is>
          <t>Performs the duties of the role they hold this cycle.</t>
        </is>
      </c>
    </row>
    <row r="58">
      <c r="A58" s="95" t="n">
        <v>10</v>
      </c>
      <c r="B58" s="96" t="inlineStr">
        <is>
          <t>Overall performance</t>
        </is>
      </c>
      <c r="C58" s="44" t="n">
        <v>4</v>
      </c>
      <c r="D58" s="44" t="n">
        <v>3</v>
      </c>
      <c r="E58" s="44" t="n">
        <v>4</v>
      </c>
      <c r="F58" s="44" t="n">
        <v>5</v>
      </c>
      <c r="G58" s="44" t="n">
        <v>4</v>
      </c>
      <c r="H58" s="44" t="n"/>
      <c r="I58" s="97" t="inlineStr">
        <is>
          <t>Overall contribution against what the team required.</t>
        </is>
      </c>
    </row>
    <row r="59">
      <c r="A59" s="52" t="n"/>
      <c r="B59" s="98" t="inlineStr">
        <is>
          <t>TOTAL  /50</t>
        </is>
      </c>
      <c r="C59" s="59">
        <f>IF(COUNT(C49:C58)=0,"",SUM(C49:C58))</f>
        <v/>
      </c>
      <c r="D59" s="59">
        <f>IF(COUNT(D49:D58)=0,"",SUM(D49:D58))</f>
        <v/>
      </c>
      <c r="E59" s="59">
        <f>IF(COUNT(E49:E58)=0,"",SUM(E49:E58))</f>
        <v/>
      </c>
      <c r="F59" s="59">
        <f>IF(COUNT(F49:F58)=0,"",SUM(F49:F58))</f>
        <v/>
      </c>
      <c r="G59" s="59">
        <f>IF(COUNT(G49:G58)=0,"",SUM(G49:G58))</f>
        <v/>
      </c>
      <c r="H59" s="59">
        <f>IF(COUNT(H49:H58)=0,"",SUM(H49:H58))</f>
        <v/>
      </c>
    </row>
    <row r="61" ht="19" customHeight="1">
      <c r="A61" s="5" t="inlineStr">
        <is>
          <t>Ratings given by  -&gt;  member 4</t>
        </is>
      </c>
    </row>
    <row r="62" ht="26" customHeight="1">
      <c r="A62" s="27" t="inlineStr">
        <is>
          <t>#</t>
        </is>
      </c>
      <c r="B62" s="27" t="inlineStr">
        <is>
          <t>Category</t>
        </is>
      </c>
      <c r="C62" s="27">
        <f>IF('FORM-SI'!$C$9="","Member 1",'FORM-SI'!$C$9)</f>
        <v/>
      </c>
      <c r="D62" s="27">
        <f>IF('FORM-SI'!$C$10="","Member 2",'FORM-SI'!$C$10)</f>
        <v/>
      </c>
      <c r="E62" s="27">
        <f>IF('FORM-SI'!$C$11="","Member 3",'FORM-SI'!$C$11)</f>
        <v/>
      </c>
      <c r="F62" s="27">
        <f>IF('FORM-SI'!$C$12="","Member 4",'FORM-SI'!$C$12)</f>
        <v/>
      </c>
      <c r="G62" s="27">
        <f>IF('FORM-SI'!$C$13="","Member 5",'FORM-SI'!$C$13)</f>
        <v/>
      </c>
      <c r="H62" s="27">
        <f>IF('FORM-SI'!$C$14="","Member 6",'FORM-SI'!$C$14)</f>
        <v/>
      </c>
      <c r="I62" s="27" t="inlineStr">
        <is>
          <t>What you are judging</t>
        </is>
      </c>
    </row>
    <row r="63">
      <c r="A63" s="95" t="n">
        <v>1</v>
      </c>
      <c r="B63" s="96" t="inlineStr">
        <is>
          <t>Quantity of work</t>
        </is>
      </c>
      <c r="C63" s="44" t="n">
        <v>4</v>
      </c>
      <c r="D63" s="44" t="n">
        <v>2</v>
      </c>
      <c r="E63" s="44" t="n">
        <v>4</v>
      </c>
      <c r="F63" s="44" t="n">
        <v>5</v>
      </c>
      <c r="G63" s="44" t="n">
        <v>4</v>
      </c>
      <c r="H63" s="44" t="n"/>
      <c r="I63" s="97" t="inlineStr">
        <is>
          <t>Produces accurate, complete work that meets or exceeds what the team agreed.</t>
        </is>
      </c>
    </row>
    <row r="64">
      <c r="A64" s="95" t="n">
        <v>2</v>
      </c>
      <c r="B64" s="96" t="inlineStr">
        <is>
          <t>Timeliness of work</t>
        </is>
      </c>
      <c r="C64" s="44" t="n">
        <v>4</v>
      </c>
      <c r="D64" s="44" t="n">
        <v>2</v>
      </c>
      <c r="E64" s="44" t="n">
        <v>5</v>
      </c>
      <c r="F64" s="44" t="n">
        <v>5</v>
      </c>
      <c r="G64" s="44" t="n">
        <v>4</v>
      </c>
      <c r="H64" s="44" t="n"/>
      <c r="I64" s="97" t="inlineStr">
        <is>
          <t>Meets the deadlines the team set, without being chased.</t>
        </is>
      </c>
    </row>
    <row r="65">
      <c r="A65" s="95" t="n">
        <v>3</v>
      </c>
      <c r="B65" s="96" t="inlineStr">
        <is>
          <t>Task support</t>
        </is>
      </c>
      <c r="C65" s="44" t="n">
        <v>4</v>
      </c>
      <c r="D65" s="44" t="n">
        <v>2</v>
      </c>
      <c r="E65" s="44" t="n">
        <v>4</v>
      </c>
      <c r="F65" s="44" t="n">
        <v>5</v>
      </c>
      <c r="G65" s="44" t="n">
        <v>4</v>
      </c>
      <c r="H65" s="44" t="n"/>
      <c r="I65" s="97" t="inlineStr">
        <is>
          <t>Helps other members with their tasks when they need it.</t>
        </is>
      </c>
    </row>
    <row r="66">
      <c r="A66" s="95" t="n">
        <v>4</v>
      </c>
      <c r="B66" s="96" t="inlineStr">
        <is>
          <t>Interaction</t>
        </is>
      </c>
      <c r="C66" s="44" t="n">
        <v>4</v>
      </c>
      <c r="D66" s="44" t="n">
        <v>3</v>
      </c>
      <c r="E66" s="44" t="n">
        <v>4</v>
      </c>
      <c r="F66" s="44" t="n">
        <v>5</v>
      </c>
      <c r="G66" s="44" t="n">
        <v>4</v>
      </c>
      <c r="H66" s="44" t="n"/>
      <c r="I66" s="97" t="inlineStr">
        <is>
          <t>Listens, accepts criticism, communicates respectfully.</t>
        </is>
      </c>
    </row>
    <row r="67">
      <c r="A67" s="95" t="n">
        <v>5</v>
      </c>
      <c r="B67" s="96" t="inlineStr">
        <is>
          <t>Attendance</t>
        </is>
      </c>
      <c r="C67" s="44" t="n">
        <v>5</v>
      </c>
      <c r="D67" s="44" t="n">
        <v>2</v>
      </c>
      <c r="E67" s="44" t="n">
        <v>5</v>
      </c>
      <c r="F67" s="44" t="n">
        <v>5</v>
      </c>
      <c r="G67" s="44" t="n">
        <v>4</v>
      </c>
      <c r="H67" s="44" t="n"/>
      <c r="I67" s="97" t="inlineStr">
        <is>
          <t>Turns up to team and client meetings.</t>
        </is>
      </c>
    </row>
    <row r="68">
      <c r="A68" s="95" t="n">
        <v>6</v>
      </c>
      <c r="B68" s="96" t="inlineStr">
        <is>
          <t>Responsibility</t>
        </is>
      </c>
      <c r="C68" s="44" t="n">
        <v>4</v>
      </c>
      <c r="D68" s="44" t="n">
        <v>2</v>
      </c>
      <c r="E68" s="44" t="n">
        <v>4</v>
      </c>
      <c r="F68" s="44" t="n">
        <v>4</v>
      </c>
      <c r="G68" s="44" t="n">
        <v>4</v>
      </c>
      <c r="H68" s="44" t="n"/>
      <c r="I68" s="97" t="inlineStr">
        <is>
          <t>Carries out assigned tasks and volunteers for others.</t>
        </is>
      </c>
    </row>
    <row r="69">
      <c r="A69" s="95" t="n">
        <v>7</v>
      </c>
      <c r="B69" s="96" t="inlineStr">
        <is>
          <t>Involvement</t>
        </is>
      </c>
      <c r="C69" s="44" t="n">
        <v>4</v>
      </c>
      <c r="D69" s="44" t="n">
        <v>2</v>
      </c>
      <c r="E69" s="44" t="n">
        <v>4</v>
      </c>
      <c r="F69" s="44" t="n">
        <v>5</v>
      </c>
      <c r="G69" s="44" t="n">
        <v>4</v>
      </c>
      <c r="H69" s="44" t="n"/>
      <c r="I69" s="97" t="inlineStr">
        <is>
          <t>Takes part in discussion and brings relevant material to the team.</t>
        </is>
      </c>
    </row>
    <row r="70">
      <c r="A70" s="95" t="n">
        <v>8</v>
      </c>
      <c r="B70" s="96" t="inlineStr">
        <is>
          <t>Leadership</t>
        </is>
      </c>
      <c r="C70" s="44" t="n">
        <v>3</v>
      </c>
      <c r="D70" s="44" t="n">
        <v>2</v>
      </c>
      <c r="E70" s="44" t="n">
        <v>4</v>
      </c>
      <c r="F70" s="44" t="n">
        <v>5</v>
      </c>
      <c r="G70" s="44" t="n">
        <v>3</v>
      </c>
      <c r="H70" s="44" t="n"/>
      <c r="I70" s="97" t="inlineStr">
        <is>
          <t>Steps up and leads when the situation calls for it.</t>
        </is>
      </c>
    </row>
    <row r="71">
      <c r="A71" s="95" t="n">
        <v>9</v>
      </c>
      <c r="B71" s="96" t="inlineStr">
        <is>
          <t>Role assignment</t>
        </is>
      </c>
      <c r="C71" s="44" t="n">
        <v>4</v>
      </c>
      <c r="D71" s="44" t="n">
        <v>2</v>
      </c>
      <c r="E71" s="44" t="n">
        <v>4</v>
      </c>
      <c r="F71" s="44" t="n">
        <v>5</v>
      </c>
      <c r="G71" s="44" t="n">
        <v>4</v>
      </c>
      <c r="H71" s="44" t="n"/>
      <c r="I71" s="97" t="inlineStr">
        <is>
          <t>Performs the duties of the role they hold this cycle.</t>
        </is>
      </c>
    </row>
    <row r="72">
      <c r="A72" s="95" t="n">
        <v>10</v>
      </c>
      <c r="B72" s="96" t="inlineStr">
        <is>
          <t>Overall performance</t>
        </is>
      </c>
      <c r="C72" s="44" t="n">
        <v>4</v>
      </c>
      <c r="D72" s="44" t="n">
        <v>3</v>
      </c>
      <c r="E72" s="44" t="n">
        <v>4</v>
      </c>
      <c r="F72" s="44" t="n">
        <v>5</v>
      </c>
      <c r="G72" s="44" t="n">
        <v>4</v>
      </c>
      <c r="H72" s="44" t="n"/>
      <c r="I72" s="97" t="inlineStr">
        <is>
          <t>Overall contribution against what the team required.</t>
        </is>
      </c>
    </row>
    <row r="73">
      <c r="A73" s="52" t="n"/>
      <c r="B73" s="98" t="inlineStr">
        <is>
          <t>TOTAL  /50</t>
        </is>
      </c>
      <c r="C73" s="59">
        <f>IF(COUNT(C63:C72)=0,"",SUM(C63:C72))</f>
        <v/>
      </c>
      <c r="D73" s="59">
        <f>IF(COUNT(D63:D72)=0,"",SUM(D63:D72))</f>
        <v/>
      </c>
      <c r="E73" s="59">
        <f>IF(COUNT(E63:E72)=0,"",SUM(E63:E72))</f>
        <v/>
      </c>
      <c r="F73" s="59">
        <f>IF(COUNT(F63:F72)=0,"",SUM(F63:F72))</f>
        <v/>
      </c>
      <c r="G73" s="59">
        <f>IF(COUNT(G63:G72)=0,"",SUM(G63:G72))</f>
        <v/>
      </c>
      <c r="H73" s="59">
        <f>IF(COUNT(H63:H72)=0,"",SUM(H63:H72))</f>
        <v/>
      </c>
    </row>
    <row r="75" ht="19" customHeight="1">
      <c r="A75" s="5" t="inlineStr">
        <is>
          <t>Ratings given by  -&gt;  member 5</t>
        </is>
      </c>
    </row>
    <row r="76" ht="26" customHeight="1">
      <c r="A76" s="27" t="inlineStr">
        <is>
          <t>#</t>
        </is>
      </c>
      <c r="B76" s="27" t="inlineStr">
        <is>
          <t>Category</t>
        </is>
      </c>
      <c r="C76" s="27">
        <f>IF('FORM-SI'!$C$9="","Member 1",'FORM-SI'!$C$9)</f>
        <v/>
      </c>
      <c r="D76" s="27">
        <f>IF('FORM-SI'!$C$10="","Member 2",'FORM-SI'!$C$10)</f>
        <v/>
      </c>
      <c r="E76" s="27">
        <f>IF('FORM-SI'!$C$11="","Member 3",'FORM-SI'!$C$11)</f>
        <v/>
      </c>
      <c r="F76" s="27">
        <f>IF('FORM-SI'!$C$12="","Member 4",'FORM-SI'!$C$12)</f>
        <v/>
      </c>
      <c r="G76" s="27">
        <f>IF('FORM-SI'!$C$13="","Member 5",'FORM-SI'!$C$13)</f>
        <v/>
      </c>
      <c r="H76" s="27">
        <f>IF('FORM-SI'!$C$14="","Member 6",'FORM-SI'!$C$14)</f>
        <v/>
      </c>
      <c r="I76" s="27" t="inlineStr">
        <is>
          <t>What you are judging</t>
        </is>
      </c>
    </row>
    <row r="77">
      <c r="A77" s="95" t="n">
        <v>1</v>
      </c>
      <c r="B77" s="96" t="inlineStr">
        <is>
          <t>Quantity of work</t>
        </is>
      </c>
      <c r="C77" s="44" t="n">
        <v>4</v>
      </c>
      <c r="D77" s="44" t="n">
        <v>2</v>
      </c>
      <c r="E77" s="44" t="n">
        <v>4</v>
      </c>
      <c r="F77" s="44" t="n">
        <v>5</v>
      </c>
      <c r="G77" s="44" t="n">
        <v>4</v>
      </c>
      <c r="H77" s="44" t="n"/>
      <c r="I77" s="97" t="inlineStr">
        <is>
          <t>Produces accurate, complete work that meets or exceeds what the team agreed.</t>
        </is>
      </c>
    </row>
    <row r="78">
      <c r="A78" s="95" t="n">
        <v>2</v>
      </c>
      <c r="B78" s="96" t="inlineStr">
        <is>
          <t>Timeliness of work</t>
        </is>
      </c>
      <c r="C78" s="44" t="n">
        <v>4</v>
      </c>
      <c r="D78" s="44" t="n">
        <v>2</v>
      </c>
      <c r="E78" s="44" t="n">
        <v>5</v>
      </c>
      <c r="F78" s="44" t="n">
        <v>5</v>
      </c>
      <c r="G78" s="44" t="n">
        <v>4</v>
      </c>
      <c r="H78" s="44" t="n"/>
      <c r="I78" s="97" t="inlineStr">
        <is>
          <t>Meets the deadlines the team set, without being chased.</t>
        </is>
      </c>
    </row>
    <row r="79">
      <c r="A79" s="95" t="n">
        <v>3</v>
      </c>
      <c r="B79" s="96" t="inlineStr">
        <is>
          <t>Task support</t>
        </is>
      </c>
      <c r="C79" s="44" t="n">
        <v>3</v>
      </c>
      <c r="D79" s="44" t="n">
        <v>2</v>
      </c>
      <c r="E79" s="44" t="n">
        <v>4</v>
      </c>
      <c r="F79" s="44" t="n">
        <v>5</v>
      </c>
      <c r="G79" s="44" t="n">
        <v>4</v>
      </c>
      <c r="H79" s="44" t="n"/>
      <c r="I79" s="97" t="inlineStr">
        <is>
          <t>Helps other members with their tasks when they need it.</t>
        </is>
      </c>
    </row>
    <row r="80">
      <c r="A80" s="95" t="n">
        <v>4</v>
      </c>
      <c r="B80" s="96" t="inlineStr">
        <is>
          <t>Interaction</t>
        </is>
      </c>
      <c r="C80" s="44" t="n">
        <v>4</v>
      </c>
      <c r="D80" s="44" t="n">
        <v>3</v>
      </c>
      <c r="E80" s="44" t="n">
        <v>4</v>
      </c>
      <c r="F80" s="44" t="n">
        <v>5</v>
      </c>
      <c r="G80" s="44" t="n">
        <v>4</v>
      </c>
      <c r="H80" s="44" t="n"/>
      <c r="I80" s="97" t="inlineStr">
        <is>
          <t>Listens, accepts criticism, communicates respectfully.</t>
        </is>
      </c>
    </row>
    <row r="81">
      <c r="A81" s="95" t="n">
        <v>5</v>
      </c>
      <c r="B81" s="96" t="inlineStr">
        <is>
          <t>Attendance</t>
        </is>
      </c>
      <c r="C81" s="44" t="n">
        <v>5</v>
      </c>
      <c r="D81" s="44" t="n">
        <v>2</v>
      </c>
      <c r="E81" s="44" t="n">
        <v>5</v>
      </c>
      <c r="F81" s="44" t="n">
        <v>5</v>
      </c>
      <c r="G81" s="44" t="n">
        <v>4</v>
      </c>
      <c r="H81" s="44" t="n"/>
      <c r="I81" s="97" t="inlineStr">
        <is>
          <t>Turns up to team and client meetings.</t>
        </is>
      </c>
    </row>
    <row r="82">
      <c r="A82" s="95" t="n">
        <v>6</v>
      </c>
      <c r="B82" s="96" t="inlineStr">
        <is>
          <t>Responsibility</t>
        </is>
      </c>
      <c r="C82" s="44" t="n">
        <v>4</v>
      </c>
      <c r="D82" s="44" t="n">
        <v>2</v>
      </c>
      <c r="E82" s="44" t="n">
        <v>4</v>
      </c>
      <c r="F82" s="44" t="n">
        <v>5</v>
      </c>
      <c r="G82" s="44" t="n">
        <v>4</v>
      </c>
      <c r="H82" s="44" t="n"/>
      <c r="I82" s="97" t="inlineStr">
        <is>
          <t>Carries out assigned tasks and volunteers for others.</t>
        </is>
      </c>
    </row>
    <row r="83">
      <c r="A83" s="95" t="n">
        <v>7</v>
      </c>
      <c r="B83" s="96" t="inlineStr">
        <is>
          <t>Involvement</t>
        </is>
      </c>
      <c r="C83" s="44" t="n">
        <v>4</v>
      </c>
      <c r="D83" s="44" t="n">
        <v>2</v>
      </c>
      <c r="E83" s="44" t="n">
        <v>4</v>
      </c>
      <c r="F83" s="44" t="n">
        <v>5</v>
      </c>
      <c r="G83" s="44" t="n">
        <v>4</v>
      </c>
      <c r="H83" s="44" t="n"/>
      <c r="I83" s="97" t="inlineStr">
        <is>
          <t>Takes part in discussion and brings relevant material to the team.</t>
        </is>
      </c>
    </row>
    <row r="84">
      <c r="A84" s="95" t="n">
        <v>8</v>
      </c>
      <c r="B84" s="96" t="inlineStr">
        <is>
          <t>Leadership</t>
        </is>
      </c>
      <c r="C84" s="44" t="n">
        <v>2</v>
      </c>
      <c r="D84" s="44" t="n">
        <v>2</v>
      </c>
      <c r="E84" s="44" t="n">
        <v>4</v>
      </c>
      <c r="F84" s="44" t="n">
        <v>5</v>
      </c>
      <c r="G84" s="44" t="n">
        <v>4</v>
      </c>
      <c r="H84" s="44" t="n"/>
      <c r="I84" s="97" t="inlineStr">
        <is>
          <t>Steps up and leads when the situation calls for it.</t>
        </is>
      </c>
    </row>
    <row r="85">
      <c r="A85" s="95" t="n">
        <v>9</v>
      </c>
      <c r="B85" s="96" t="inlineStr">
        <is>
          <t>Role assignment</t>
        </is>
      </c>
      <c r="C85" s="44" t="n">
        <v>4</v>
      </c>
      <c r="D85" s="44" t="n">
        <v>2</v>
      </c>
      <c r="E85" s="44" t="n">
        <v>4</v>
      </c>
      <c r="F85" s="44" t="n">
        <v>5</v>
      </c>
      <c r="G85" s="44" t="n">
        <v>4</v>
      </c>
      <c r="H85" s="44" t="n"/>
      <c r="I85" s="97" t="inlineStr">
        <is>
          <t>Performs the duties of the role they hold this cycle.</t>
        </is>
      </c>
    </row>
    <row r="86">
      <c r="A86" s="95" t="n">
        <v>10</v>
      </c>
      <c r="B86" s="96" t="inlineStr">
        <is>
          <t>Overall performance</t>
        </is>
      </c>
      <c r="C86" s="44" t="n">
        <v>4</v>
      </c>
      <c r="D86" s="44" t="n">
        <v>3</v>
      </c>
      <c r="E86" s="44" t="n">
        <v>4</v>
      </c>
      <c r="F86" s="44" t="n">
        <v>5</v>
      </c>
      <c r="G86" s="44" t="n">
        <v>4</v>
      </c>
      <c r="H86" s="44" t="n"/>
      <c r="I86" s="97" t="inlineStr">
        <is>
          <t>Overall contribution against what the team required.</t>
        </is>
      </c>
    </row>
    <row r="87">
      <c r="A87" s="52" t="n"/>
      <c r="B87" s="98" t="inlineStr">
        <is>
          <t>TOTAL  /50</t>
        </is>
      </c>
      <c r="C87" s="59">
        <f>IF(COUNT(C77:C86)=0,"",SUM(C77:C86))</f>
        <v/>
      </c>
      <c r="D87" s="59">
        <f>IF(COUNT(D77:D86)=0,"",SUM(D77:D86))</f>
        <v/>
      </c>
      <c r="E87" s="59">
        <f>IF(COUNT(E77:E86)=0,"",SUM(E77:E86))</f>
        <v/>
      </c>
      <c r="F87" s="59">
        <f>IF(COUNT(F77:F86)=0,"",SUM(F77:F86))</f>
        <v/>
      </c>
      <c r="G87" s="59">
        <f>IF(COUNT(G77:G86)=0,"",SUM(G77:G86))</f>
        <v/>
      </c>
      <c r="H87" s="59">
        <f>IF(COUNT(H77:H86)=0,"",SUM(H77:H86))</f>
        <v/>
      </c>
    </row>
    <row r="89" ht="19" customHeight="1">
      <c r="A89" s="5" t="inlineStr">
        <is>
          <t>Ratings given by  -&gt;  member 6</t>
        </is>
      </c>
    </row>
    <row r="90" ht="26" customHeight="1">
      <c r="A90" s="27" t="inlineStr">
        <is>
          <t>#</t>
        </is>
      </c>
      <c r="B90" s="27" t="inlineStr">
        <is>
          <t>Category</t>
        </is>
      </c>
      <c r="C90" s="27">
        <f>IF('FORM-SI'!$C$9="","Member 1",'FORM-SI'!$C$9)</f>
        <v/>
      </c>
      <c r="D90" s="27">
        <f>IF('FORM-SI'!$C$10="","Member 2",'FORM-SI'!$C$10)</f>
        <v/>
      </c>
      <c r="E90" s="27">
        <f>IF('FORM-SI'!$C$11="","Member 3",'FORM-SI'!$C$11)</f>
        <v/>
      </c>
      <c r="F90" s="27">
        <f>IF('FORM-SI'!$C$12="","Member 4",'FORM-SI'!$C$12)</f>
        <v/>
      </c>
      <c r="G90" s="27">
        <f>IF('FORM-SI'!$C$13="","Member 5",'FORM-SI'!$C$13)</f>
        <v/>
      </c>
      <c r="H90" s="27">
        <f>IF('FORM-SI'!$C$14="","Member 6",'FORM-SI'!$C$14)</f>
        <v/>
      </c>
      <c r="I90" s="27" t="inlineStr">
        <is>
          <t>What you are judging</t>
        </is>
      </c>
    </row>
    <row r="91">
      <c r="A91" s="95" t="n">
        <v>1</v>
      </c>
      <c r="B91" s="96" t="inlineStr">
        <is>
          <t>Quantity of work</t>
        </is>
      </c>
      <c r="C91" s="44" t="n"/>
      <c r="D91" s="44" t="n"/>
      <c r="E91" s="44" t="n"/>
      <c r="F91" s="44" t="n"/>
      <c r="G91" s="44" t="n"/>
      <c r="H91" s="44" t="n"/>
      <c r="I91" s="97" t="inlineStr">
        <is>
          <t>Produces accurate, complete work that meets or exceeds what the team agreed.</t>
        </is>
      </c>
    </row>
    <row r="92">
      <c r="A92" s="95" t="n">
        <v>2</v>
      </c>
      <c r="B92" s="96" t="inlineStr">
        <is>
          <t>Timeliness of work</t>
        </is>
      </c>
      <c r="C92" s="44" t="n"/>
      <c r="D92" s="44" t="n"/>
      <c r="E92" s="44" t="n"/>
      <c r="F92" s="44" t="n"/>
      <c r="G92" s="44" t="n"/>
      <c r="H92" s="44" t="n"/>
      <c r="I92" s="97" t="inlineStr">
        <is>
          <t>Meets the deadlines the team set, without being chased.</t>
        </is>
      </c>
    </row>
    <row r="93">
      <c r="A93" s="95" t="n">
        <v>3</v>
      </c>
      <c r="B93" s="96" t="inlineStr">
        <is>
          <t>Task support</t>
        </is>
      </c>
      <c r="C93" s="44" t="n"/>
      <c r="D93" s="44" t="n"/>
      <c r="E93" s="44" t="n"/>
      <c r="F93" s="44" t="n"/>
      <c r="G93" s="44" t="n"/>
      <c r="H93" s="44" t="n"/>
      <c r="I93" s="97" t="inlineStr">
        <is>
          <t>Helps other members with their tasks when they need it.</t>
        </is>
      </c>
    </row>
    <row r="94">
      <c r="A94" s="95" t="n">
        <v>4</v>
      </c>
      <c r="B94" s="96" t="inlineStr">
        <is>
          <t>Interaction</t>
        </is>
      </c>
      <c r="C94" s="44" t="n"/>
      <c r="D94" s="44" t="n"/>
      <c r="E94" s="44" t="n"/>
      <c r="F94" s="44" t="n"/>
      <c r="G94" s="44" t="n"/>
      <c r="H94" s="44" t="n"/>
      <c r="I94" s="97" t="inlineStr">
        <is>
          <t>Listens, accepts criticism, communicates respectfully.</t>
        </is>
      </c>
    </row>
    <row r="95">
      <c r="A95" s="95" t="n">
        <v>5</v>
      </c>
      <c r="B95" s="96" t="inlineStr">
        <is>
          <t>Attendance</t>
        </is>
      </c>
      <c r="C95" s="44" t="n"/>
      <c r="D95" s="44" t="n"/>
      <c r="E95" s="44" t="n"/>
      <c r="F95" s="44" t="n"/>
      <c r="G95" s="44" t="n"/>
      <c r="H95" s="44" t="n"/>
      <c r="I95" s="97" t="inlineStr">
        <is>
          <t>Turns up to team and client meetings.</t>
        </is>
      </c>
    </row>
    <row r="96">
      <c r="A96" s="95" t="n">
        <v>6</v>
      </c>
      <c r="B96" s="96" t="inlineStr">
        <is>
          <t>Responsibility</t>
        </is>
      </c>
      <c r="C96" s="44" t="n"/>
      <c r="D96" s="44" t="n"/>
      <c r="E96" s="44" t="n"/>
      <c r="F96" s="44" t="n"/>
      <c r="G96" s="44" t="n"/>
      <c r="H96" s="44" t="n"/>
      <c r="I96" s="97" t="inlineStr">
        <is>
          <t>Carries out assigned tasks and volunteers for others.</t>
        </is>
      </c>
    </row>
    <row r="97">
      <c r="A97" s="95" t="n">
        <v>7</v>
      </c>
      <c r="B97" s="96" t="inlineStr">
        <is>
          <t>Involvement</t>
        </is>
      </c>
      <c r="C97" s="44" t="n"/>
      <c r="D97" s="44" t="n"/>
      <c r="E97" s="44" t="n"/>
      <c r="F97" s="44" t="n"/>
      <c r="G97" s="44" t="n"/>
      <c r="H97" s="44" t="n"/>
      <c r="I97" s="97" t="inlineStr">
        <is>
          <t>Takes part in discussion and brings relevant material to the team.</t>
        </is>
      </c>
    </row>
    <row r="98">
      <c r="A98" s="95" t="n">
        <v>8</v>
      </c>
      <c r="B98" s="96" t="inlineStr">
        <is>
          <t>Leadership</t>
        </is>
      </c>
      <c r="C98" s="44" t="n"/>
      <c r="D98" s="44" t="n"/>
      <c r="E98" s="44" t="n"/>
      <c r="F98" s="44" t="n"/>
      <c r="G98" s="44" t="n"/>
      <c r="H98" s="44" t="n"/>
      <c r="I98" s="97" t="inlineStr">
        <is>
          <t>Steps up and leads when the situation calls for it.</t>
        </is>
      </c>
    </row>
    <row r="99">
      <c r="A99" s="95" t="n">
        <v>9</v>
      </c>
      <c r="B99" s="96" t="inlineStr">
        <is>
          <t>Role assignment</t>
        </is>
      </c>
      <c r="C99" s="44" t="n"/>
      <c r="D99" s="44" t="n"/>
      <c r="E99" s="44" t="n"/>
      <c r="F99" s="44" t="n"/>
      <c r="G99" s="44" t="n"/>
      <c r="H99" s="44" t="n"/>
      <c r="I99" s="97" t="inlineStr">
        <is>
          <t>Performs the duties of the role they hold this cycle.</t>
        </is>
      </c>
    </row>
    <row r="100">
      <c r="A100" s="95" t="n">
        <v>10</v>
      </c>
      <c r="B100" s="96" t="inlineStr">
        <is>
          <t>Overall performance</t>
        </is>
      </c>
      <c r="C100" s="44" t="n"/>
      <c r="D100" s="44" t="n"/>
      <c r="E100" s="44" t="n"/>
      <c r="F100" s="44" t="n"/>
      <c r="G100" s="44" t="n"/>
      <c r="H100" s="44" t="n"/>
      <c r="I100" s="97" t="inlineStr">
        <is>
          <t>Overall contribution against what the team required.</t>
        </is>
      </c>
    </row>
    <row r="101">
      <c r="A101" s="52" t="n"/>
      <c r="B101" s="98" t="inlineStr">
        <is>
          <t>TOTAL  /50</t>
        </is>
      </c>
      <c r="C101" s="59">
        <f>IF(COUNT(C91:C100)=0,"",SUM(C91:C100))</f>
        <v/>
      </c>
      <c r="D101" s="59">
        <f>IF(COUNT(D91:D100)=0,"",SUM(D91:D100))</f>
        <v/>
      </c>
      <c r="E101" s="59">
        <f>IF(COUNT(E91:E100)=0,"",SUM(E91:E100))</f>
        <v/>
      </c>
      <c r="F101" s="59">
        <f>IF(COUNT(F91:F100)=0,"",SUM(F91:F100))</f>
        <v/>
      </c>
      <c r="G101" s="59">
        <f>IF(COUNT(G91:G100)=0,"",SUM(G91:G100))</f>
        <v/>
      </c>
      <c r="H101" s="59">
        <f>IF(COUNT(H91:H100)=0,"",SUM(H91:H100))</f>
        <v/>
      </c>
    </row>
  </sheetData>
  <mergeCells count="10">
    <mergeCell ref="A15:I15"/>
    <mergeCell ref="A33:I33"/>
    <mergeCell ref="A19:I19"/>
    <mergeCell ref="A2:I2"/>
    <mergeCell ref="A47:I47"/>
    <mergeCell ref="A75:I75"/>
    <mergeCell ref="A89:I89"/>
    <mergeCell ref="A1:I1"/>
    <mergeCell ref="A61:I61"/>
    <mergeCell ref="A6:I6"/>
  </mergeCells>
  <conditionalFormatting sqref="F8:F13">
    <cfRule type="expression" priority="1" dxfId="0">
      <formula>AND($F8&lt;&gt;"",$F8&lt;30)</formula>
    </cfRule>
    <cfRule type="expression" priority="2" dxfId="5">
      <formula>AND($F8&lt;&gt;"",$F8&gt;=42)</formula>
    </cfRule>
  </conditionalFormatting>
  <conditionalFormatting sqref="E8:E13">
    <cfRule type="cellIs" priority="3" operator="greaterThan" dxfId="3">
      <formula>8</formula>
    </cfRule>
  </conditionalFormatting>
  <dataValidations count="7">
    <dataValidation sqref="G4" showDropDown="0" showInputMessage="0" showErrorMessage="0" allowBlank="1" error="Pick a value from the list." promptTitle="Milestone" type="list">
      <formula1>=LISTS!$D$5:$D$8</formula1>
    </dataValidation>
    <dataValidation sqref="C21:H30" showDropDown="0" showInputMessage="0" showErrorMessage="0" allowBlank="1" error="Pick a value from the list." promptTitle="Rate 1 to 5" type="list">
      <formula1>"1,2,3,4,5"</formula1>
    </dataValidation>
    <dataValidation sqref="C35:H44" showDropDown="0" showInputMessage="0" showErrorMessage="0" allowBlank="1" error="Pick a value from the list." promptTitle="Rate 1 to 5" type="list">
      <formula1>"1,2,3,4,5"</formula1>
    </dataValidation>
    <dataValidation sqref="C49:H58" showDropDown="0" showInputMessage="0" showErrorMessage="0" allowBlank="1" error="Pick a value from the list." promptTitle="Rate 1 to 5" type="list">
      <formula1>"1,2,3,4,5"</formula1>
    </dataValidation>
    <dataValidation sqref="C63:H72" showDropDown="0" showInputMessage="0" showErrorMessage="0" allowBlank="1" error="Pick a value from the list." promptTitle="Rate 1 to 5" type="list">
      <formula1>"1,2,3,4,5"</formula1>
    </dataValidation>
    <dataValidation sqref="C77:H86" showDropDown="0" showInputMessage="0" showErrorMessage="0" allowBlank="1" error="Pick a value from the list." promptTitle="Rate 1 to 5" type="list">
      <formula1>"1,2,3,4,5"</formula1>
    </dataValidation>
    <dataValidation sqref="C91:H100" showDropDown="0" showInputMessage="0" showErrorMessage="0" allowBlank="1" error="Pick a value from the list." promptTitle="Rate 1 to 5" type="list">
      <formula1>"1,2,3,4,5"</formula1>
    </dataValidation>
  </dataValidation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tabColor rgb="00B4531A"/>
    <outlinePr summaryBelow="1" summaryRight="1"/>
    <pageSetUpPr fitToPage="1"/>
  </sheetPr>
  <dimension ref="A1:K25"/>
  <sheetViews>
    <sheetView showGridLines="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outlineLevelCol="0"/>
  <cols>
    <col width="4" customWidth="1" min="1" max="1"/>
    <col width="28" customWidth="1" min="2" max="2"/>
    <col width="38"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38" customWidth="1" min="11" max="11"/>
  </cols>
  <sheetData>
    <row r="1" ht="30" customHeight="1">
      <c r="A1" s="1" t="inlineStr">
        <is>
          <t>Form TEAMEVAL  -  Team Evaluation</t>
        </is>
      </c>
    </row>
    <row r="2" ht="16" customHeight="1">
      <c r="A2" s="2" t="inlineStr">
        <is>
          <t>Each member rates the team's dynamics 1 to 5, anonymously. Then discuss the spread, not just the mean.</t>
        </is>
      </c>
    </row>
    <row r="4">
      <c r="A4" s="23" t="inlineStr">
        <is>
          <t>Team</t>
        </is>
      </c>
      <c r="B4" s="24">
        <f>SETUP!$C$10</f>
        <v/>
      </c>
      <c r="F4" s="23" t="inlineStr">
        <is>
          <t>Milestone</t>
        </is>
      </c>
      <c r="G4" s="41" t="inlineStr">
        <is>
          <t>M3</t>
        </is>
      </c>
    </row>
    <row r="6" ht="19" customHeight="1">
      <c r="A6" s="5" t="inlineStr">
        <is>
          <t>Team Dynamics</t>
        </is>
      </c>
    </row>
    <row r="7" ht="28" customHeight="1">
      <c r="A7" s="6" t="inlineStr">
        <is>
          <t>#</t>
        </is>
      </c>
      <c r="B7" s="6" t="inlineStr">
        <is>
          <t>Variable</t>
        </is>
      </c>
      <c r="C7" s="6" t="inlineStr">
        <is>
          <t>1  &lt;---------------------&gt;  5</t>
        </is>
      </c>
      <c r="D7" s="6" t="inlineStr">
        <is>
          <t>R1</t>
        </is>
      </c>
      <c r="E7" s="6" t="inlineStr">
        <is>
          <t>R2</t>
        </is>
      </c>
      <c r="F7" s="6" t="inlineStr">
        <is>
          <t>R3</t>
        </is>
      </c>
      <c r="G7" s="6" t="inlineStr">
        <is>
          <t>R4</t>
        </is>
      </c>
      <c r="H7" s="6" t="inlineStr">
        <is>
          <t>R5</t>
        </is>
      </c>
      <c r="I7" s="6" t="inlineStr">
        <is>
          <t>R6</t>
        </is>
      </c>
      <c r="J7" s="6" t="inlineStr">
        <is>
          <t>Mean</t>
        </is>
      </c>
      <c r="K7" s="6" t="inlineStr">
        <is>
          <t>Spread - talk about this</t>
        </is>
      </c>
    </row>
    <row r="8" ht="26" customHeight="1">
      <c r="A8" s="61" t="n">
        <v>1</v>
      </c>
      <c r="B8" s="99" t="inlineStr">
        <is>
          <t>Goals</t>
        </is>
      </c>
      <c r="C8" s="100" t="inlineStr">
        <is>
          <t>Unclear and poorly understood   ...   Clear, understood, fully committed to</t>
        </is>
      </c>
      <c r="D8" s="44" t="n">
        <v>4</v>
      </c>
      <c r="E8" s="44" t="n">
        <v>4</v>
      </c>
      <c r="F8" s="44" t="n">
        <v>4</v>
      </c>
      <c r="G8" s="44" t="n">
        <v>5</v>
      </c>
      <c r="H8" s="44" t="n">
        <v>4</v>
      </c>
      <c r="I8" s="44" t="n"/>
      <c r="J8" s="137">
        <f>IFERROR(AVERAGE(D8:I8),"")</f>
        <v/>
      </c>
      <c r="K8" s="24">
        <f>IF(COUNT(D8:I8)&lt;2,"",IF(MAX(D8:I8)-MIN(D8:I8)&gt;=3,"Members disagree sharply - discuss","")) </f>
        <v/>
      </c>
    </row>
    <row r="9" ht="26" customHeight="1">
      <c r="A9" s="61" t="n">
        <v>2</v>
      </c>
      <c r="B9" s="99" t="inlineStr">
        <is>
          <t>Openness</t>
        </is>
      </c>
      <c r="C9" s="100" t="inlineStr">
        <is>
          <t>Members are guarded in discussion   ...   Members speak freely</t>
        </is>
      </c>
      <c r="D9" s="44" t="n">
        <v>4</v>
      </c>
      <c r="E9" s="44" t="n">
        <v>4</v>
      </c>
      <c r="F9" s="44" t="n">
        <v>4</v>
      </c>
      <c r="G9" s="44" t="n">
        <v>4</v>
      </c>
      <c r="H9" s="44" t="n">
        <v>3</v>
      </c>
      <c r="I9" s="44" t="n"/>
      <c r="J9" s="137">
        <f>IFERROR(AVERAGE(D9:I9),"")</f>
        <v/>
      </c>
      <c r="K9" s="24">
        <f>IF(COUNT(D9:I9)&lt;2,"",IF(MAX(D9:I9)-MIN(D9:I9)&gt;=3,"Members disagree sharply - discuss","")) </f>
        <v/>
      </c>
    </row>
    <row r="10" ht="26" customHeight="1">
      <c r="A10" s="61" t="n">
        <v>3</v>
      </c>
      <c r="B10" s="99" t="inlineStr">
        <is>
          <t>Mutual trust</t>
        </is>
      </c>
      <c r="C10" s="100" t="inlineStr">
        <is>
          <t>Members are suspicious of each other   ...   Members trust each other</t>
        </is>
      </c>
      <c r="D10" s="44" t="n">
        <v>4</v>
      </c>
      <c r="E10" s="44" t="n">
        <v>5</v>
      </c>
      <c r="F10" s="44" t="n">
        <v>4</v>
      </c>
      <c r="G10" s="44" t="n">
        <v>5</v>
      </c>
      <c r="H10" s="44" t="n">
        <v>4</v>
      </c>
      <c r="I10" s="44" t="n"/>
      <c r="J10" s="137">
        <f>IFERROR(AVERAGE(D10:I10),"")</f>
        <v/>
      </c>
      <c r="K10" s="24">
        <f>IF(COUNT(D10:I10)&lt;2,"",IF(MAX(D10:I10)-MIN(D10:I10)&gt;=3,"Members disagree sharply - discuss","")) </f>
        <v/>
      </c>
    </row>
    <row r="11" ht="26" customHeight="1">
      <c r="A11" s="61" t="n">
        <v>4</v>
      </c>
      <c r="B11" s="99" t="inlineStr">
        <is>
          <t>Attitudes toward difference</t>
        </is>
      </c>
      <c r="C11" s="100" t="inlineStr">
        <is>
          <t>Conflict is smoothed over or avoided   ...   Differences are voiced and worked through</t>
        </is>
      </c>
      <c r="D11" s="44" t="n">
        <v>3</v>
      </c>
      <c r="E11" s="44" t="n">
        <v>3</v>
      </c>
      <c r="F11" s="44" t="n">
        <v>4</v>
      </c>
      <c r="G11" s="44" t="n">
        <v>4</v>
      </c>
      <c r="H11" s="44" t="n">
        <v>3</v>
      </c>
      <c r="I11" s="44" t="n"/>
      <c r="J11" s="137">
        <f>IFERROR(AVERAGE(D11:I11),"")</f>
        <v/>
      </c>
      <c r="K11" s="24">
        <f>IF(COUNT(D11:I11)&lt;2,"",IF(MAX(D11:I11)-MIN(D11:I11)&gt;=3,"Members disagree sharply - discuss","")) </f>
        <v/>
      </c>
    </row>
    <row r="12" ht="26" customHeight="1">
      <c r="A12" s="61" t="n">
        <v>5</v>
      </c>
      <c r="B12" s="99" t="inlineStr">
        <is>
          <t>Support</t>
        </is>
      </c>
      <c r="C12" s="100" t="inlineStr">
        <is>
          <t>Reluctant to ask for or give help   ...   Comfortable giving and receiving help</t>
        </is>
      </c>
      <c r="D12" s="44" t="n">
        <v>4</v>
      </c>
      <c r="E12" s="44" t="n">
        <v>4</v>
      </c>
      <c r="F12" s="44" t="n">
        <v>4</v>
      </c>
      <c r="G12" s="44" t="n">
        <v>5</v>
      </c>
      <c r="H12" s="44" t="n">
        <v>4</v>
      </c>
      <c r="I12" s="44" t="n"/>
      <c r="J12" s="137">
        <f>IFERROR(AVERAGE(D12:I12),"")</f>
        <v/>
      </c>
      <c r="K12" s="24">
        <f>IF(COUNT(D12:I12)&lt;2,"",IF(MAX(D12:I12)-MIN(D12:I12)&gt;=3,"Members disagree sharply - discuss","")) </f>
        <v/>
      </c>
    </row>
    <row r="13" ht="26" customHeight="1">
      <c r="A13" s="61" t="n">
        <v>6</v>
      </c>
      <c r="B13" s="99" t="inlineStr">
        <is>
          <t>Participation</t>
        </is>
      </c>
      <c r="C13" s="100" t="inlineStr">
        <is>
          <t>A few members dominate   ...   Everyone is involved</t>
        </is>
      </c>
      <c r="D13" s="44" t="n">
        <v>2</v>
      </c>
      <c r="E13" s="44" t="n">
        <v>3</v>
      </c>
      <c r="F13" s="44" t="n">
        <v>2</v>
      </c>
      <c r="G13" s="44" t="n">
        <v>4</v>
      </c>
      <c r="H13" s="44" t="n">
        <v>2</v>
      </c>
      <c r="I13" s="44" t="n"/>
      <c r="J13" s="137">
        <f>IFERROR(AVERAGE(D13:I13),"")</f>
        <v/>
      </c>
      <c r="K13" s="24">
        <f>IF(COUNT(D13:I13)&lt;2,"",IF(MAX(D13:I13)-MIN(D13:I13)&gt;=3,"Members disagree sharply - discuss","")) </f>
        <v/>
      </c>
    </row>
    <row r="14" ht="26" customHeight="1">
      <c r="A14" s="61" t="n">
        <v>7</v>
      </c>
      <c r="B14" s="99" t="inlineStr">
        <is>
          <t>Decision-making</t>
        </is>
      </c>
      <c r="C14" s="100" t="inlineStr">
        <is>
          <t>Decided by a few   ...   Everyone is involved in deciding</t>
        </is>
      </c>
      <c r="D14" s="44" t="n">
        <v>3</v>
      </c>
      <c r="E14" s="44" t="n">
        <v>3</v>
      </c>
      <c r="F14" s="44" t="n">
        <v>4</v>
      </c>
      <c r="G14" s="44" t="n">
        <v>4</v>
      </c>
      <c r="H14" s="44" t="n">
        <v>3</v>
      </c>
      <c r="I14" s="44" t="n"/>
      <c r="J14" s="137">
        <f>IFERROR(AVERAGE(D14:I14),"")</f>
        <v/>
      </c>
      <c r="K14" s="24">
        <f>IF(COUNT(D14:I14)&lt;2,"",IF(MAX(D14:I14)-MIN(D14:I14)&gt;=3,"Members disagree sharply - discuss","")) </f>
        <v/>
      </c>
    </row>
    <row r="15" ht="26" customHeight="1">
      <c r="A15" s="61" t="n">
        <v>8</v>
      </c>
      <c r="B15" s="99" t="inlineStr">
        <is>
          <t>Flexibility</t>
        </is>
      </c>
      <c r="C15" s="100" t="inlineStr">
        <is>
          <t>Locked into rules that are hard to change   ...   Procedures change as situations change</t>
        </is>
      </c>
      <c r="D15" s="44" t="n">
        <v>4</v>
      </c>
      <c r="E15" s="44" t="n">
        <v>4</v>
      </c>
      <c r="F15" s="44" t="n">
        <v>4</v>
      </c>
      <c r="G15" s="44" t="n">
        <v>4</v>
      </c>
      <c r="H15" s="44" t="n">
        <v>4</v>
      </c>
      <c r="I15" s="44" t="n"/>
      <c r="J15" s="137">
        <f>IFERROR(AVERAGE(D15:I15),"")</f>
        <v/>
      </c>
      <c r="K15" s="24">
        <f>IF(COUNT(D15:I15)&lt;2,"",IF(MAX(D15:I15)-MIN(D15:I15)&gt;=3,"Members disagree sharply - discuss","")) </f>
        <v/>
      </c>
    </row>
    <row r="16" ht="26" customHeight="1">
      <c r="A16" s="61" t="n">
        <v>9</v>
      </c>
      <c r="B16" s="99" t="inlineStr">
        <is>
          <t>Use of member resources</t>
        </is>
      </c>
      <c r="C16" s="100" t="inlineStr">
        <is>
          <t>Abilities and knowledge are under-used   ...   Every member's ability is fully used</t>
        </is>
      </c>
      <c r="D16" s="44" t="n">
        <v>2</v>
      </c>
      <c r="E16" s="44" t="n">
        <v>5</v>
      </c>
      <c r="F16" s="44" t="n">
        <v>3</v>
      </c>
      <c r="G16" s="44" t="n">
        <v>4</v>
      </c>
      <c r="H16" s="44" t="n">
        <v>2</v>
      </c>
      <c r="I16" s="44" t="n"/>
      <c r="J16" s="137">
        <f>IFERROR(AVERAGE(D16:I16),"")</f>
        <v/>
      </c>
      <c r="K16" s="24">
        <f>IF(COUNT(D16:I16)&lt;2,"",IF(MAX(D16:I16)-MIN(D16:I16)&gt;=3,"Members disagree sharply - discuss","")) </f>
        <v/>
      </c>
    </row>
    <row r="17" ht="26" customHeight="1">
      <c r="A17" s="61" t="n">
        <v>10</v>
      </c>
      <c r="B17" s="99" t="inlineStr">
        <is>
          <t>Overall team performance</t>
        </is>
      </c>
      <c r="C17" s="100" t="inlineStr">
        <is>
          <t>Falls well short of requirements   ...   Consistently exceeds requirements</t>
        </is>
      </c>
      <c r="D17" s="44" t="n">
        <v>4</v>
      </c>
      <c r="E17" s="44" t="n">
        <v>3</v>
      </c>
      <c r="F17" s="44" t="n">
        <v>4</v>
      </c>
      <c r="G17" s="44" t="n">
        <v>4</v>
      </c>
      <c r="H17" s="44" t="n">
        <v>3</v>
      </c>
      <c r="I17" s="44" t="n"/>
      <c r="J17" s="137">
        <f>IFERROR(AVERAGE(D17:I17),"")</f>
        <v/>
      </c>
      <c r="K17" s="24">
        <f>IF(COUNT(D17:I17)&lt;2,"",IF(MAX(D17:I17)-MIN(D17:I17)&gt;=3,"Members disagree sharply - discuss","")) </f>
        <v/>
      </c>
    </row>
    <row r="18">
      <c r="B18" s="98" t="inlineStr">
        <is>
          <t>TOTAL  /50</t>
        </is>
      </c>
      <c r="D18" s="59">
        <f>IF(COUNT(D8:D17)=0,"",SUM(D8:D17))</f>
        <v/>
      </c>
      <c r="E18" s="59">
        <f>IF(COUNT(E8:E17)=0,"",SUM(E8:E17))</f>
        <v/>
      </c>
      <c r="F18" s="59">
        <f>IF(COUNT(F8:F17)=0,"",SUM(F8:F17))</f>
        <v/>
      </c>
      <c r="G18" s="59">
        <f>IF(COUNT(G8:G17)=0,"",SUM(G8:G17))</f>
        <v/>
      </c>
      <c r="H18" s="59">
        <f>IF(COUNT(H8:H17)=0,"",SUM(H8:H17))</f>
        <v/>
      </c>
      <c r="I18" s="59">
        <f>IF(COUNT(I8:I17)=0,"",SUM(I8:I17))</f>
        <v/>
      </c>
      <c r="J18" s="137">
        <f>IFERROR(AVERAGE(D18:I18),"")</f>
        <v/>
      </c>
    </row>
    <row r="19">
      <c r="B19" s="98" t="inlineStr">
        <is>
          <t>Team score  /10</t>
        </is>
      </c>
      <c r="J19" s="137">
        <f>IF($J$18="","",$J$18/5)</f>
        <v/>
      </c>
    </row>
    <row r="21" ht="19" customHeight="1">
      <c r="A21" s="5" t="inlineStr">
        <is>
          <t>Agreed actions from this evaluation</t>
        </is>
      </c>
    </row>
    <row r="22">
      <c r="A22" s="61" t="n">
        <v>1</v>
      </c>
      <c r="B22" s="34" t="inlineStr">
        <is>
          <t>Rebalance the work: no member above 30% or below 12% of logged hours by M4</t>
        </is>
      </c>
      <c r="C22" s="10" t="n"/>
      <c r="D22" s="10" t="n"/>
      <c r="E22" s="10" t="n"/>
      <c r="F22" s="10" t="n"/>
      <c r="G22" s="10" t="n"/>
      <c r="H22" s="10" t="n"/>
      <c r="I22" s="11" t="n"/>
      <c r="J22" s="41" t="inlineStr">
        <is>
          <t>Aisyah Binti Rahman</t>
        </is>
      </c>
      <c r="K22" s="132" t="n">
        <v>46366</v>
      </c>
    </row>
    <row r="23">
      <c r="A23" s="61" t="n">
        <v>2</v>
      </c>
      <c r="B23" s="34" t="inlineStr">
        <is>
          <t>Everyone logs time the same day; the Team Leader checks LOGT every Wednesday</t>
        </is>
      </c>
      <c r="C23" s="10" t="n"/>
      <c r="D23" s="10" t="n"/>
      <c r="E23" s="10" t="n"/>
      <c r="F23" s="10" t="n"/>
      <c r="G23" s="10" t="n"/>
      <c r="H23" s="10" t="n"/>
      <c r="I23" s="11" t="n"/>
      <c r="J23" s="41" t="inlineStr">
        <is>
          <t>Mei Ling Chong</t>
        </is>
      </c>
      <c r="K23" s="132" t="n">
        <v>46351</v>
      </c>
    </row>
    <row r="24">
      <c r="A24" s="61" t="n">
        <v>3</v>
      </c>
      <c r="B24" s="34" t="inlineStr">
        <is>
          <t>Rotate who chairs the weekly meeting so the same two people stop deciding everything</t>
        </is>
      </c>
      <c r="C24" s="10" t="n"/>
      <c r="D24" s="10" t="n"/>
      <c r="E24" s="10" t="n"/>
      <c r="F24" s="10" t="n"/>
      <c r="G24" s="10" t="n"/>
      <c r="H24" s="10" t="n"/>
      <c r="I24" s="11" t="n"/>
      <c r="J24" s="41" t="inlineStr">
        <is>
          <t>Aisyah Binti Rahman</t>
        </is>
      </c>
      <c r="K24" s="132" t="n">
        <v>46359</v>
      </c>
    </row>
    <row r="25">
      <c r="A25" s="61" t="n">
        <v>4</v>
      </c>
      <c r="B25" s="34" t="inlineStr">
        <is>
          <t>Ask Daniel what he actually wants to own - the current split was assumed, not agreed</t>
        </is>
      </c>
      <c r="C25" s="10" t="n"/>
      <c r="D25" s="10" t="n"/>
      <c r="E25" s="10" t="n"/>
      <c r="F25" s="10" t="n"/>
      <c r="G25" s="10" t="n"/>
      <c r="H25" s="10" t="n"/>
      <c r="I25" s="11" t="n"/>
      <c r="J25" s="41" t="inlineStr">
        <is>
          <t>Harith Bin Ismail</t>
        </is>
      </c>
      <c r="K25" s="132" t="n">
        <v>46351</v>
      </c>
    </row>
  </sheetData>
  <mergeCells count="8">
    <mergeCell ref="A6:K6"/>
    <mergeCell ref="A21:K21"/>
    <mergeCell ref="B25:I25"/>
    <mergeCell ref="B24:I24"/>
    <mergeCell ref="A2:K2"/>
    <mergeCell ref="B22:I22"/>
    <mergeCell ref="B23:I23"/>
    <mergeCell ref="A1:K1"/>
  </mergeCells>
  <conditionalFormatting sqref="J8:J17">
    <cfRule type="expression" priority="1" dxfId="6">
      <formula>AND($J8&lt;&gt;"",$J8&lt;3)</formula>
    </cfRule>
    <cfRule type="expression" priority="2" dxfId="5">
      <formula>AND($J8&lt;&gt;"",$J8&gt;=4)</formula>
    </cfRule>
  </conditionalFormatting>
  <dataValidations count="2">
    <dataValidation sqref="G4" showDropDown="0" showInputMessage="0" showErrorMessage="0" allowBlank="1" error="Pick a value from the list." promptTitle="Milestone" type="list">
      <formula1>=LISTS!$D$5:$D$8</formula1>
    </dataValidation>
    <dataValidation sqref="D8:I17" showDropDown="0" showInputMessage="0" showErrorMessage="0" allowBlank="1" error="Pick a value from the list." promptTitle="Rate 1 to 5" type="list">
      <formula1>"1,2,3,4,5"</formula1>
    </dataValidation>
  </dataValidations>
  <printOptions horizontalCentered="1"/>
  <pageMargins left="0.75" right="0.75" top="1" bottom="1" header="0.5" footer="0.5"/>
  <pageSetup orientation="landscape" paperSize="9" fitToHeight="1" fitToWidth="1"/>
  <headerFooter>
    <oddHeader/>
    <oddFooter>&amp;R&amp;8 TMA3084 TSPi Workbook v3.0  -  &amp;P of &amp;N</oddFooter>
    <evenHeader/>
    <evenFooter/>
    <firstHeader/>
    <firstFooter/>
  </headerFooter>
</worksheet>
</file>

<file path=xl/worksheets/sheet29.xml><?xml version="1.0" encoding="utf-8"?>
<worksheet xmlns="http://schemas.openxmlformats.org/spreadsheetml/2006/main">
  <sheetPr>
    <tabColor rgb="00B4531A"/>
    <outlinePr summaryBelow="1" summaryRight="1"/>
    <pageSetUpPr fitToPage="1"/>
  </sheetPr>
  <dimension ref="A1:I19"/>
  <sheetViews>
    <sheetView showGridLines="0" workbookViewId="0">
      <selection activeCell="A1" sqref="A1"/>
    </sheetView>
  </sheetViews>
  <sheetFormatPr baseColWidth="8" defaultRowHeight="15" outlineLevelCol="0"/>
  <cols>
    <col width="22" customWidth="1" min="1" max="1"/>
    <col width="40" customWidth="1" min="2" max="2"/>
    <col width="30" customWidth="1" min="3" max="3"/>
    <col width="10" customWidth="1" min="4" max="4"/>
    <col width="11" customWidth="1" min="5" max="5"/>
    <col width="11" customWidth="1" min="6" max="6"/>
    <col width="12" customWidth="1" min="7" max="7"/>
    <col width="22" customWidth="1" min="8" max="8"/>
    <col width="30" customWidth="1" min="9" max="9"/>
  </cols>
  <sheetData>
    <row r="1" ht="30" customHeight="1">
      <c r="A1" s="1" t="inlineStr">
        <is>
          <t>Assessment Tracker</t>
        </is>
      </c>
    </row>
    <row r="2" ht="16" customHeight="1">
      <c r="A2" s="2" t="inlineStr">
        <is>
          <t>The official weighting for TMA3084, with the forms that produce the evidence.</t>
        </is>
      </c>
    </row>
    <row r="4">
      <c r="A4" s="23" t="inlineStr">
        <is>
          <t>Team</t>
        </is>
      </c>
      <c r="B4" s="24">
        <f>SETUP!$C$10</f>
        <v/>
      </c>
      <c r="E4" s="23" t="inlineStr">
        <is>
          <t>Member (for the individual components)</t>
        </is>
      </c>
      <c r="H4" s="41" t="inlineStr">
        <is>
          <t>Harith Bin Ismail</t>
        </is>
      </c>
    </row>
    <row r="6" ht="19" customHeight="1">
      <c r="A6" s="5" t="inlineStr">
        <is>
          <t>Components</t>
        </is>
      </c>
    </row>
    <row r="7" ht="28" customHeight="1">
      <c r="A7" s="6" t="inlineStr">
        <is>
          <t>Group</t>
        </is>
      </c>
      <c r="B7" s="6" t="inlineStr">
        <is>
          <t>Component</t>
        </is>
      </c>
      <c r="C7" s="6" t="inlineStr">
        <is>
          <t>Rubric</t>
        </is>
      </c>
      <c r="D7" s="6" t="inlineStr">
        <is>
          <t>Weight</t>
        </is>
      </c>
      <c r="E7" s="6" t="inlineStr">
        <is>
          <t>Raw</t>
        </is>
      </c>
      <c r="F7" s="6" t="inlineStr">
        <is>
          <t>Out of</t>
        </is>
      </c>
      <c r="G7" s="6" t="inlineStr">
        <is>
          <t>Weighted</t>
        </is>
      </c>
      <c r="H7" s="6" t="inlineStr">
        <is>
          <t>Evidence lives in</t>
        </is>
      </c>
      <c r="I7" s="6" t="inlineStr">
        <is>
          <t>Notes</t>
        </is>
      </c>
    </row>
    <row r="8" ht="28" customHeight="1">
      <c r="A8" s="101" t="inlineStr">
        <is>
          <t>Final Project (60%)</t>
        </is>
      </c>
      <c r="B8" s="21" t="inlineStr">
        <is>
          <t>Proposal &amp; Planning</t>
        </is>
      </c>
      <c r="C8" s="102" t="inlineStr">
        <is>
          <t>1_RUBRIC_Proposal (10%)</t>
        </is>
      </c>
      <c r="D8" s="103" t="n">
        <v>0.1</v>
      </c>
      <c r="E8" s="133" t="n">
        <v>8</v>
      </c>
      <c r="F8" s="104" t="n">
        <v>10</v>
      </c>
      <c r="G8" s="105">
        <f>IF($E8="","",$E8/$F8*$D8)</f>
        <v/>
      </c>
      <c r="H8" s="100" t="inlineStr">
        <is>
          <t>STRAT, TASK, SCHEDULE, LOGCLIENT</t>
        </is>
      </c>
      <c r="I8" s="34" t="inlineStr">
        <is>
          <t>Strong objectives; pitch ran 30 s over</t>
        </is>
      </c>
    </row>
    <row r="9" ht="28" customHeight="1">
      <c r="A9" s="101" t="inlineStr">
        <is>
          <t>Final Project (60%)</t>
        </is>
      </c>
      <c r="B9" s="21" t="inlineStr">
        <is>
          <t>Requirement Specification</t>
        </is>
      </c>
      <c r="C9" s="102" t="inlineStr">
        <is>
          <t>2_RUBRIC_RequirementSpec (15%)</t>
        </is>
      </c>
      <c r="D9" s="103" t="n">
        <v>0.15</v>
      </c>
      <c r="E9" s="133" t="n">
        <v>12</v>
      </c>
      <c r="F9" s="104" t="n">
        <v>15</v>
      </c>
      <c r="G9" s="105">
        <f>IF($E9="","",$E9/$F9*$D9)</f>
        <v/>
      </c>
      <c r="H9" s="100" t="inlineStr">
        <is>
          <t>SUMS (SRS pages), LOGCLIENT, CCR</t>
        </is>
      </c>
      <c r="I9" s="34" t="inlineStr">
        <is>
          <t>AI element well justified; some requirements still vague on pricing</t>
        </is>
      </c>
    </row>
    <row r="10" ht="28" customHeight="1">
      <c r="A10" s="101" t="inlineStr">
        <is>
          <t>Final Project (60%)</t>
        </is>
      </c>
      <c r="B10" s="21" t="inlineStr">
        <is>
          <t>Project Evaluation - Design &amp; Implementation</t>
        </is>
      </c>
      <c r="C10" s="102" t="inlineStr">
        <is>
          <t>3_RUBRIC_ProjectEvaluation (25%)</t>
        </is>
      </c>
      <c r="D10" s="103" t="n">
        <v>0.25</v>
      </c>
      <c r="E10" s="133" t="n">
        <v>20</v>
      </c>
      <c r="F10" s="104" t="n">
        <v>25</v>
      </c>
      <c r="G10" s="105">
        <f>IF($E10="","",$E10/$F10*$D10)</f>
        <v/>
      </c>
      <c r="H10" s="100" t="inlineStr">
        <is>
          <t>SUMS, SUMP, LOGAI, LOGGIT</t>
        </is>
      </c>
      <c r="I10" s="34" t="inlineStr">
        <is>
          <t>Architecture sound; alternatives thinly argued</t>
        </is>
      </c>
    </row>
    <row r="11" ht="28" customHeight="1">
      <c r="A11" s="101" t="inlineStr">
        <is>
          <t>Final Project (60%)</t>
        </is>
      </c>
      <c r="B11" s="21" t="inlineStr">
        <is>
          <t>Testing and Release</t>
        </is>
      </c>
      <c r="C11" s="102" t="inlineStr">
        <is>
          <t>8_RUBRIC_Testing_and_Release (10%)</t>
        </is>
      </c>
      <c r="D11" s="103" t="n">
        <v>0.1</v>
      </c>
      <c r="E11" s="133" t="n">
        <v>8</v>
      </c>
      <c r="F11" s="104" t="n">
        <v>10</v>
      </c>
      <c r="G11" s="105">
        <f>IF($E11="","",$E11/$F11*$D11)</f>
        <v/>
      </c>
      <c r="H11" s="100" t="inlineStr">
        <is>
          <t>LOGTEST, SUMQ, LOGD, LOGGIT</t>
        </is>
      </c>
      <c r="I11" s="34" t="inlineStr">
        <is>
          <t>Good coverage and CI; demo handled questions well</t>
        </is>
      </c>
    </row>
    <row r="12" ht="28" customHeight="1">
      <c r="A12" s="101" t="inlineStr">
        <is>
          <t>Oral Commitment (10%)</t>
        </is>
      </c>
      <c r="B12" s="21" t="inlineStr">
        <is>
          <t>Presentation</t>
        </is>
      </c>
      <c r="C12" s="102" t="inlineStr">
        <is>
          <t>4_RUBRIC_Presentation (10%)</t>
        </is>
      </c>
      <c r="D12" s="103" t="n">
        <v>0.1</v>
      </c>
      <c r="E12" s="133" t="n">
        <v>16</v>
      </c>
      <c r="F12" s="104" t="n">
        <v>20</v>
      </c>
      <c r="G12" s="105">
        <f>IF($E12="","",$E12/$F12*$D12)</f>
        <v/>
      </c>
      <c r="H12" s="100" t="inlineStr">
        <is>
          <t>Slides, demo video</t>
        </is>
      </c>
      <c r="I12" s="34" t="inlineStr">
        <is>
          <t>Clear slides, confident delivery, finished on time</t>
        </is>
      </c>
    </row>
    <row r="13" ht="28" customHeight="1">
      <c r="A13" s="101" t="inlineStr">
        <is>
          <t>Practical Exam (30%)</t>
        </is>
      </c>
      <c r="B13" s="21" t="inlineStr">
        <is>
          <t>Peer / Individual Evaluation</t>
        </is>
      </c>
      <c r="C13" s="102" t="inlineStr">
        <is>
          <t>5_RUBRIC_Peer_IndividualEvaluation (10%)</t>
        </is>
      </c>
      <c r="D13" s="103" t="n">
        <v>0.1</v>
      </c>
      <c r="E13" s="134">
        <f>IF($H$4="","",INDEX(PEER!$F$8:$F$13,MATCH($H$4,PEER!$B$8:$B$13,0)))</f>
        <v/>
      </c>
      <c r="F13" s="104" t="n">
        <v>50</v>
      </c>
      <c r="G13" s="105">
        <f>IF($E13="","",$E13/$F13*$D13)</f>
        <v/>
      </c>
      <c r="H13" s="100" t="inlineStr">
        <is>
          <t>PEER</t>
        </is>
      </c>
      <c r="I13" s="34" t="n"/>
    </row>
    <row r="14" ht="28" customHeight="1">
      <c r="A14" s="101" t="inlineStr">
        <is>
          <t>Practical Exam (30%)</t>
        </is>
      </c>
      <c r="B14" s="21" t="inlineStr">
        <is>
          <t>Project Evaluation</t>
        </is>
      </c>
      <c r="C14" s="102" t="inlineStr">
        <is>
          <t>6_RUBRIC_ProjectEvaluation (10%)</t>
        </is>
      </c>
      <c r="D14" s="103" t="n">
        <v>0.1</v>
      </c>
      <c r="E14" s="133" t="n">
        <v>42</v>
      </c>
      <c r="F14" s="104" t="n">
        <v>50</v>
      </c>
      <c r="G14" s="105">
        <f>IF($E14="","",$E14/$F14*$D14)</f>
        <v/>
      </c>
      <c r="H14" s="100" t="inlineStr">
        <is>
          <t>WEEK, IRTL, TASK</t>
        </is>
      </c>
      <c r="I14" s="34" t="inlineStr">
        <is>
          <t>Consistent weekly tracking; contribution imbalance handled openly</t>
        </is>
      </c>
    </row>
    <row r="15" ht="28" customHeight="1">
      <c r="A15" s="101" t="inlineStr">
        <is>
          <t>Practical Exam (30%)</t>
        </is>
      </c>
      <c r="B15" s="21" t="inlineStr">
        <is>
          <t>Team Evaluation</t>
        </is>
      </c>
      <c r="C15" s="102" t="inlineStr">
        <is>
          <t>7_RUBRIC_TeamEvaluation (10%)</t>
        </is>
      </c>
      <c r="D15" s="103" t="n">
        <v>0.1</v>
      </c>
      <c r="E15" s="134">
        <f>IF(TEAMEVAL!$J$18="","",TEAMEVAL!$J$18)</f>
        <v/>
      </c>
      <c r="F15" s="104" t="n">
        <v>50</v>
      </c>
      <c r="G15" s="105">
        <f>IF($E15="","",$E15/$F15*$D15)</f>
        <v/>
      </c>
      <c r="H15" s="100" t="inlineStr">
        <is>
          <t>TEAMEVAL</t>
        </is>
      </c>
      <c r="I15" s="34" t="n"/>
    </row>
    <row r="16">
      <c r="A16" s="52" t="n"/>
      <c r="B16" s="98" t="inlineStr">
        <is>
          <t>TOTAL</t>
        </is>
      </c>
      <c r="C16" s="52" t="n"/>
      <c r="D16" s="106">
        <f>SUM(D8:D15)</f>
        <v/>
      </c>
      <c r="E16" s="52" t="n"/>
      <c r="F16" s="52" t="n"/>
      <c r="G16" s="105">
        <f>SUM(G8:G15)</f>
        <v/>
      </c>
      <c r="H16" s="52" t="n"/>
      <c r="I16" s="52" t="n"/>
    </row>
    <row r="18" ht="19" customHeight="1">
      <c r="A18" s="5" t="inlineStr">
        <is>
          <t>Note</t>
        </is>
      </c>
    </row>
    <row r="19" ht="40" customHeight="1">
      <c r="A19" s="60" t="inlineStr">
        <is>
          <t>Raw marks are entered by the instructor or demonstrator against the published rubrics. Peer/Individual and Team Evaluation read straight from the PEER and TEAMEVAL forms, so the team can see where it stands before the mark is finalised. This sheet is a tracker, not the official record of marks.</t>
        </is>
      </c>
    </row>
  </sheetData>
  <mergeCells count="5">
    <mergeCell ref="A19:I19"/>
    <mergeCell ref="A2:I2"/>
    <mergeCell ref="A1:I1"/>
    <mergeCell ref="A18:I18"/>
    <mergeCell ref="A6:I6"/>
  </mergeCells>
  <dataValidations count="1">
    <dataValidation sqref="H4" showDropDown="0" showInputMessage="0" showErrorMessage="0" allowBlank="1" error="Pick a value from the list." promptTitle="Member" type="list">
      <formula1>=LISTS!$H$5:$H$10</formula1>
    </dataValidation>
  </dataValidations>
  <printOptions horizontalCentered="1"/>
  <pageMargins left="0.75" right="0.75" top="1" bottom="1" header="0.5" footer="0.5"/>
  <pageSetup orientation="portrait" paperSize="9" fitToHeight="1" fitToWidth="1"/>
  <headerFooter>
    <oddHeader/>
    <oddFooter>&amp;R&amp;8 TMA3084 TSPi Workbook v3.0  -  &amp;P of &amp;N</oddFooter>
    <evenHeader/>
    <evenFooter/>
    <firstHeader/>
    <firstFooter/>
  </headerFooter>
</worksheet>
</file>

<file path=xl/worksheets/sheet30.xml><?xml version="1.0" encoding="utf-8"?>
<worksheet xmlns="http://schemas.openxmlformats.org/spreadsheetml/2006/main">
  <sheetPr>
    <tabColor rgb="00B4531A"/>
    <outlinePr summaryBelow="1" summaryRight="1"/>
    <pageSetUpPr fitToPage="1"/>
  </sheetPr>
  <dimension ref="A1:I40"/>
  <sheetViews>
    <sheetView showGridLines="0" workbookViewId="0">
      <selection activeCell="A1" sqref="A1"/>
    </sheetView>
  </sheetViews>
  <sheetFormatPr baseColWidth="8" defaultRowHeight="15" outlineLevelCol="0"/>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40" customWidth="1" min="9" max="9"/>
  </cols>
  <sheetData>
    <row r="1" ht="30" customHeight="1">
      <c r="A1" s="1" t="inlineStr">
        <is>
          <t>Team Dashboard</t>
        </is>
      </c>
    </row>
    <row r="2" ht="16" customHeight="1">
      <c r="A2" s="2" t="inlineStr">
        <is>
          <t>Everything here is read from the logs. It is only as honest as the data the team puts in.</t>
        </is>
      </c>
    </row>
    <row r="4">
      <c r="A4" s="23" t="inlineStr">
        <is>
          <t>Team</t>
        </is>
      </c>
      <c r="B4" s="24">
        <f>SETUP!$C$10</f>
        <v/>
      </c>
      <c r="E4" s="23" t="inlineStr">
        <is>
          <t>Generated</t>
        </is>
      </c>
      <c r="F4" s="124">
        <f>TODAY()</f>
        <v/>
      </c>
    </row>
    <row r="6" ht="19" customHeight="1">
      <c r="A6" s="5" t="inlineStr">
        <is>
          <t>Milestone Readiness  (cumulative actual vs the threshold on SETUP)</t>
        </is>
      </c>
    </row>
    <row r="7" ht="18" customHeight="1">
      <c r="A7" s="6" t="inlineStr">
        <is>
          <t>Measure</t>
        </is>
      </c>
      <c r="B7" s="6" t="inlineStr">
        <is>
          <t>M1</t>
        </is>
      </c>
      <c r="C7" s="6" t="inlineStr">
        <is>
          <t>M2</t>
        </is>
      </c>
      <c r="D7" s="6" t="inlineStr">
        <is>
          <t>M3</t>
        </is>
      </c>
      <c r="E7" s="6" t="inlineStr">
        <is>
          <t>M4</t>
        </is>
      </c>
      <c r="F7" s="6" t="inlineStr"/>
      <c r="G7" s="6" t="inlineStr"/>
      <c r="H7" s="6" t="inlineStr"/>
      <c r="I7" s="6" t="inlineStr">
        <is>
          <t>Reading</t>
        </is>
      </c>
    </row>
    <row r="8">
      <c r="A8" s="13" t="inlineStr">
        <is>
          <t>Commits</t>
        </is>
      </c>
      <c r="B8" s="51">
        <f>IF(SETUP!$B$27=0,"n/a",TEXT(SUMIFS(LOGGIT!$D$7:$D$86,LOGGIT!$B$7:$B$86,"M1"),"0")&amp;" / "&amp;TEXT(SETUP!$B$27,"0"))</f>
        <v/>
      </c>
      <c r="C8" s="51">
        <f>IF(SETUP!$C$27=0,"n/a",TEXT(SUMIFS(LOGGIT!$D$7:$D$86,LOGGIT!$B$7:$B$86,"M1")+SUMIFS(LOGGIT!$D$7:$D$86,LOGGIT!$B$7:$B$86,"M2"),"0")&amp;" / "&amp;TEXT(SETUP!$C$27,"0"))</f>
        <v/>
      </c>
      <c r="D8" s="51">
        <f>IF(SETUP!$D$27=0,"n/a",TEXT(SUMIFS(LOGGIT!$D$7:$D$86,LOGGIT!$B$7:$B$86,"M1")+SUMIFS(LOGGIT!$D$7:$D$86,LOGGIT!$B$7:$B$86,"M2")+SUMIFS(LOGGIT!$D$7:$D$86,LOGGIT!$B$7:$B$86,"M3"),"0")&amp;" / "&amp;TEXT(SETUP!$D$27,"0"))</f>
        <v/>
      </c>
      <c r="E8" s="51">
        <f>IF(SETUP!$E$27=0,"n/a",TEXT(SUMIFS(LOGGIT!$D$7:$D$86,LOGGIT!$B$7:$B$86,"M1")+SUMIFS(LOGGIT!$D$7:$D$86,LOGGIT!$B$7:$B$86,"M2")+SUMIFS(LOGGIT!$D$7:$D$86,LOGGIT!$B$7:$B$86,"M3")+SUMIFS(LOGGIT!$D$7:$D$86,LOGGIT!$B$7:$B$86,"M4"),"0")&amp;" / "&amp;TEXT(SETUP!$E$27,"0"))</f>
        <v/>
      </c>
      <c r="I8" s="63" t="inlineStr">
        <is>
          <t>Green means the cumulative figure has reached the threshold for that milestone.</t>
        </is>
      </c>
    </row>
    <row r="9">
      <c r="A9" s="13" t="inlineStr">
        <is>
          <t>PRs merged</t>
        </is>
      </c>
      <c r="B9" s="51">
        <f>IF(SETUP!$B$28=0,"n/a",TEXT(SUMIFS(LOGGIT!$F$7:$F$86,LOGGIT!$B$7:$B$86,"M1"),"0")&amp;" / "&amp;TEXT(SETUP!$B$28,"0"))</f>
        <v/>
      </c>
      <c r="C9" s="51">
        <f>IF(SETUP!$C$28=0,"n/a",TEXT(SUMIFS(LOGGIT!$F$7:$F$86,LOGGIT!$B$7:$B$86,"M1")+SUMIFS(LOGGIT!$F$7:$F$86,LOGGIT!$B$7:$B$86,"M2"),"0")&amp;" / "&amp;TEXT(SETUP!$C$28,"0"))</f>
        <v/>
      </c>
      <c r="D9" s="51">
        <f>IF(SETUP!$D$28=0,"n/a",TEXT(SUMIFS(LOGGIT!$F$7:$F$86,LOGGIT!$B$7:$B$86,"M1")+SUMIFS(LOGGIT!$F$7:$F$86,LOGGIT!$B$7:$B$86,"M2")+SUMIFS(LOGGIT!$F$7:$F$86,LOGGIT!$B$7:$B$86,"M3"),"0")&amp;" / "&amp;TEXT(SETUP!$D$28,"0"))</f>
        <v/>
      </c>
      <c r="E9" s="51">
        <f>IF(SETUP!$E$28=0,"n/a",TEXT(SUMIFS(LOGGIT!$F$7:$F$86,LOGGIT!$B$7:$B$86,"M1")+SUMIFS(LOGGIT!$F$7:$F$86,LOGGIT!$B$7:$B$86,"M2")+SUMIFS(LOGGIT!$F$7:$F$86,LOGGIT!$B$7:$B$86,"M3")+SUMIFS(LOGGIT!$F$7:$F$86,LOGGIT!$B$7:$B$86,"M4"),"0")&amp;" / "&amp;TEXT(SETUP!$E$28,"0"))</f>
        <v/>
      </c>
    </row>
    <row r="10">
      <c r="A10" s="13" t="inlineStr">
        <is>
          <t>Client meetings</t>
        </is>
      </c>
      <c r="B10" s="51">
        <f>IF(SETUP!$B$29=0,"n/a",TEXT(COUNTIFS(LOGCLIENT!$B$7:$B$46,"M1"),"0")&amp;" / "&amp;TEXT(SETUP!$B$29,"0"))</f>
        <v/>
      </c>
      <c r="C10" s="51">
        <f>IF(SETUP!$C$29=0,"n/a",TEXT(COUNTIFS(LOGCLIENT!$B$7:$B$46,"M1")+COUNTIFS(LOGCLIENT!$B$7:$B$46,"M2"),"0")&amp;" / "&amp;TEXT(SETUP!$C$29,"0"))</f>
        <v/>
      </c>
      <c r="D10" s="51">
        <f>IF(SETUP!$D$29=0,"n/a",TEXT(COUNTIFS(LOGCLIENT!$B$7:$B$46,"M1")+COUNTIFS(LOGCLIENT!$B$7:$B$46,"M2")+COUNTIFS(LOGCLIENT!$B$7:$B$46,"M3"),"0")&amp;" / "&amp;TEXT(SETUP!$D$29,"0"))</f>
        <v/>
      </c>
      <c r="E10" s="51">
        <f>IF(SETUP!$E$29=0,"n/a",TEXT(COUNTIFS(LOGCLIENT!$B$7:$B$46,"M1")+COUNTIFS(LOGCLIENT!$B$7:$B$46,"M2")+COUNTIFS(LOGCLIENT!$B$7:$B$46,"M3")+COUNTIFS(LOGCLIENT!$B$7:$B$46,"M4"),"0")&amp;" / "&amp;TEXT(SETUP!$E$29,"0"))</f>
        <v/>
      </c>
    </row>
    <row r="11">
      <c r="A11" s="13" t="inlineStr">
        <is>
          <t>LOGAI entries</t>
        </is>
      </c>
      <c r="B11" s="51">
        <f>IF(SETUP!$B$30=0,"n/a",TEXT(COUNTIFS(LOGAI!$C$7:$C$256,"M1"),"0")&amp;" / "&amp;TEXT(SETUP!$B$30,"0"))</f>
        <v/>
      </c>
      <c r="C11" s="51">
        <f>IF(SETUP!$C$30=0,"n/a",TEXT(COUNTIFS(LOGAI!$C$7:$C$256,"M1")+COUNTIFS(LOGAI!$C$7:$C$256,"M2"),"0")&amp;" / "&amp;TEXT(SETUP!$C$30,"0"))</f>
        <v/>
      </c>
      <c r="D11" s="51">
        <f>IF(SETUP!$D$30=0,"n/a",TEXT(COUNTIFS(LOGAI!$C$7:$C$256,"M1")+COUNTIFS(LOGAI!$C$7:$C$256,"M2")+COUNTIFS(LOGAI!$C$7:$C$256,"M3"),"0")&amp;" / "&amp;TEXT(SETUP!$D$30,"0"))</f>
        <v/>
      </c>
      <c r="E11" s="51">
        <f>IF(SETUP!$E$30=0,"n/a",TEXT(COUNTIFS(LOGAI!$C$7:$C$256,"M1")+COUNTIFS(LOGAI!$C$7:$C$256,"M2")+COUNTIFS(LOGAI!$C$7:$C$256,"M3")+COUNTIFS(LOGAI!$C$7:$C$256,"M4"),"0")&amp;" / "&amp;TEXT(SETUP!$E$30,"0"))</f>
        <v/>
      </c>
    </row>
    <row r="12">
      <c r="A12" s="13" t="inlineStr">
        <is>
          <t>Test cases</t>
        </is>
      </c>
      <c r="B12" s="51">
        <f>IF(SETUP!$B$31=0,"n/a",TEXT(COUNTIFS(LOGTEST!$I$7:$I$306,"M1"),"0")&amp;" / "&amp;TEXT(SETUP!$B$31,"0"))</f>
        <v/>
      </c>
      <c r="C12" s="51">
        <f>IF(SETUP!$C$31=0,"n/a",TEXT(COUNTIFS(LOGTEST!$I$7:$I$306,"M1")+COUNTIFS(LOGTEST!$I$7:$I$306,"M2"),"0")&amp;" / "&amp;TEXT(SETUP!$C$31,"0"))</f>
        <v/>
      </c>
      <c r="D12" s="51">
        <f>IF(SETUP!$D$31=0,"n/a",TEXT(COUNTIFS(LOGTEST!$I$7:$I$306,"M1")+COUNTIFS(LOGTEST!$I$7:$I$306,"M2")+COUNTIFS(LOGTEST!$I$7:$I$306,"M3"),"0")&amp;" / "&amp;TEXT(SETUP!$D$31,"0"))</f>
        <v/>
      </c>
      <c r="E12" s="51">
        <f>IF(SETUP!$E$31=0,"n/a",TEXT(COUNTIFS(LOGTEST!$I$7:$I$306,"M1")+COUNTIFS(LOGTEST!$I$7:$I$306,"M2")+COUNTIFS(LOGTEST!$I$7:$I$306,"M3")+COUNTIFS(LOGTEST!$I$7:$I$306,"M4"),"0")&amp;" / "&amp;TEXT(SETUP!$E$31,"0"))</f>
        <v/>
      </c>
    </row>
    <row r="13">
      <c r="A13" s="13" t="inlineStr">
        <is>
          <t>Team hours</t>
        </is>
      </c>
      <c r="B13" s="134">
        <f>SUMIFS(LOGT!$K$7:$K$406,LOGT!$C$7:$C$406,"M1")/60</f>
        <v/>
      </c>
      <c r="C13" s="134">
        <f>SUMIFS(LOGT!$K$7:$K$406,LOGT!$C$7:$C$406,"M1")/60+SUMIFS(LOGT!$K$7:$K$406,LOGT!$C$7:$C$406,"M2")/60</f>
        <v/>
      </c>
      <c r="D13" s="134">
        <f>SUMIFS(LOGT!$K$7:$K$406,LOGT!$C$7:$C$406,"M1")/60+SUMIFS(LOGT!$K$7:$K$406,LOGT!$C$7:$C$406,"M2")/60+SUMIFS(LOGT!$K$7:$K$406,LOGT!$C$7:$C$406,"M3")/60</f>
        <v/>
      </c>
      <c r="E13" s="134">
        <f>SUMIFS(LOGT!$K$7:$K$406,LOGT!$C$7:$C$406,"M1")/60+SUMIFS(LOGT!$K$7:$K$406,LOGT!$C$7:$C$406,"M2")/60+SUMIFS(LOGT!$K$7:$K$406,LOGT!$C$7:$C$406,"M3")/60+SUMIFS(LOGT!$K$7:$K$406,LOGT!$C$7:$C$406,"M4")/60</f>
        <v/>
      </c>
    </row>
    <row r="15" ht="19" customHeight="1">
      <c r="A15" s="5" t="inlineStr">
        <is>
          <t>Effort &amp; Schedule</t>
        </is>
      </c>
    </row>
    <row r="16" ht="18" customHeight="1">
      <c r="A16" s="6" t="inlineStr">
        <is>
          <t>Measure</t>
        </is>
      </c>
      <c r="B16" s="6" t="inlineStr">
        <is>
          <t>Plan</t>
        </is>
      </c>
      <c r="C16" s="6" t="inlineStr">
        <is>
          <t>Actual</t>
        </is>
      </c>
      <c r="D16" s="6" t="inlineStr">
        <is>
          <t>Ratio</t>
        </is>
      </c>
      <c r="E16" s="6" t="inlineStr">
        <is>
          <t>Verdict</t>
        </is>
      </c>
      <c r="F16" s="6" t="inlineStr"/>
      <c r="G16" s="6" t="inlineStr"/>
      <c r="H16" s="6" t="inlineStr"/>
      <c r="I16" s="6" t="inlineStr">
        <is>
          <t>Reading</t>
        </is>
      </c>
    </row>
    <row r="17">
      <c r="A17" s="13" t="inlineStr">
        <is>
          <t>Total hours</t>
        </is>
      </c>
      <c r="B17" s="134">
        <f>SUM(TASK!$K$8:$K$127)</f>
        <v/>
      </c>
      <c r="C17" s="134">
        <f>SUM(LOGT!$K$7:$K$406)/60</f>
        <v/>
      </c>
      <c r="D17" s="135">
        <f>IF(N($B17)=0,"",$C17/$B17)</f>
        <v/>
      </c>
      <c r="E17" s="92">
        <f>IF($D17="","",IF($D17&gt;=0.9,"OK",IF($D17&gt;=0.6,"WATCH","BEHIND")))</f>
        <v/>
      </c>
    </row>
    <row r="18">
      <c r="A18" s="13" t="inlineStr">
        <is>
          <t>Tasks complete</t>
        </is>
      </c>
      <c r="B18" s="26">
        <f>COUNTA(TASK!$A$8:$A$127)</f>
        <v/>
      </c>
      <c r="C18" s="26">
        <f>COUNTIF(TASK!$O$8:$O$127,"Complete")</f>
        <v/>
      </c>
      <c r="D18" s="135">
        <f>IF(N($B18)=0,"",$C18/$B18)</f>
        <v/>
      </c>
      <c r="E18" s="92">
        <f>IF($D18="","",IF($D18&gt;=0.9,"OK",IF($D18&gt;=0.6,"WATCH","BEHIND")))</f>
        <v/>
      </c>
    </row>
    <row r="19">
      <c r="A19" s="13" t="inlineStr">
        <is>
          <t>Earned value to date</t>
        </is>
      </c>
      <c r="B19" s="135">
        <f>SCHEDULE!$H$20</f>
        <v/>
      </c>
      <c r="C19" s="135">
        <f>SCHEDULE!$J$20</f>
        <v/>
      </c>
      <c r="D19" s="135">
        <f>IF(N($B19)=0,"",$C19/$B19)</f>
        <v/>
      </c>
      <c r="E19" s="92">
        <f>IF($C19-$B19&lt;-0.1,"BEHIND",IF($C19-$B19&lt;-0.02,"WATCH","OK"))</f>
        <v/>
      </c>
    </row>
    <row r="20">
      <c r="A20" s="13" t="inlineStr">
        <is>
          <t>Cost performance index</t>
        </is>
      </c>
      <c r="B20" s="52" t="n"/>
      <c r="C20" s="77">
        <f>IF(SUMP!$C$44=0,"",SUMP!$B$44/SUMP!$C$44)</f>
        <v/>
      </c>
      <c r="D20" s="52" t="n"/>
      <c r="E20" s="92">
        <f>IF($C20="","",IF($C20&gt;=0.9,"OK","OVER"))</f>
        <v/>
      </c>
    </row>
    <row r="22" ht="19" customHeight="1">
      <c r="A22" s="5" t="inlineStr">
        <is>
          <t>Quality</t>
        </is>
      </c>
    </row>
    <row r="23" ht="18" customHeight="1">
      <c r="A23" s="6" t="inlineStr">
        <is>
          <t>Measure</t>
        </is>
      </c>
      <c r="B23" s="6" t="inlineStr">
        <is>
          <t>Value</t>
        </is>
      </c>
      <c r="C23" s="6" t="inlineStr">
        <is>
          <t>Target</t>
        </is>
      </c>
      <c r="D23" s="6" t="inlineStr">
        <is>
          <t>Verdict</t>
        </is>
      </c>
      <c r="E23" s="6" t="inlineStr"/>
      <c r="F23" s="6" t="inlineStr"/>
      <c r="G23" s="6" t="inlineStr"/>
      <c r="H23" s="6" t="inlineStr"/>
      <c r="I23" s="6" t="inlineStr">
        <is>
          <t>Reading</t>
        </is>
      </c>
    </row>
    <row r="24">
      <c r="A24" s="13" t="inlineStr">
        <is>
          <t>Defects recorded</t>
        </is>
      </c>
      <c r="B24" s="59">
        <f>COUNTA(LOGD!$B$7:$B$306)</f>
        <v/>
      </c>
      <c r="C24" s="52" t="n"/>
      <c r="D24" s="52" t="n"/>
    </row>
    <row r="25">
      <c r="A25" s="13" t="inlineStr">
        <is>
          <t>Defects / KLOC (development)</t>
        </is>
      </c>
      <c r="B25" s="90">
        <f>SUMQ!$C$19</f>
        <v/>
      </c>
      <c r="C25" s="52" t="n"/>
      <c r="D25" s="52" t="n"/>
    </row>
    <row r="26">
      <c r="A26" s="13" t="inlineStr">
        <is>
          <t>% removed before unit test</t>
        </is>
      </c>
      <c r="B26" s="139">
        <f>IF(SUMP!$C$69=0,"",SUM(SUMP!$C$75:$C$90)/SUM(SUMP!$C$48:$C$63))</f>
        <v/>
      </c>
      <c r="C26" s="141" t="n">
        <v>0.7</v>
      </c>
      <c r="D26" s="92">
        <f>IF($B26="","",IF($B26&gt;=$C26,"OK","LOW"))</f>
        <v/>
      </c>
      <c r="I26" s="63" t="inlineStr">
        <is>
          <t>Defects caught before test cost a fraction of defects caught in test.</t>
        </is>
      </c>
    </row>
    <row r="27">
      <c r="A27" s="13" t="inlineStr">
        <is>
          <t>Test pass rate</t>
        </is>
      </c>
      <c r="B27" s="139">
        <f>IF(COUNTA(LOGTEST!$H$7:$H$306)=0,"",COUNTIF(LOGTEST!$H$7:$H$306,"Pass")/COUNTA(LOGTEST!$H$7:$H$306))</f>
        <v/>
      </c>
      <c r="C27" s="141" t="n">
        <v>0.95</v>
      </c>
      <c r="D27" s="92">
        <f>IF($B27="","",IF($B27&gt;=$C27,"OK","LOW"))</f>
        <v/>
      </c>
    </row>
    <row r="28">
      <c r="A28" s="13" t="inlineStr">
        <is>
          <t>Code coverage</t>
        </is>
      </c>
      <c r="B28" s="139">
        <f>IF(SUMQ!$C$87="","",SUMQ!$C$87)</f>
        <v/>
      </c>
      <c r="C28" s="141" t="n">
        <v>0.6</v>
      </c>
      <c r="D28" s="92">
        <f>IF($B28="","",IF($B28&gt;=$C28,"OK","LOW"))</f>
        <v/>
      </c>
    </row>
    <row r="29">
      <c r="A29" s="13" t="inlineStr">
        <is>
          <t>Defects from AI-generated code</t>
        </is>
      </c>
      <c r="B29" s="59">
        <f>COUNTIF(LOGD!$L$7:$L$306,"Yes")</f>
        <v/>
      </c>
      <c r="C29" s="52" t="n"/>
      <c r="D29" s="52" t="n"/>
      <c r="I29" s="63" t="inlineStr">
        <is>
          <t>Rising count means AI output is reaching the repository without real review.</t>
        </is>
      </c>
    </row>
    <row r="30">
      <c r="A30" s="13" t="inlineStr">
        <is>
          <t>AI entries without a reviewer</t>
        </is>
      </c>
      <c r="B30" s="59">
        <f>SUMPRODUCT((LOGAI!$A$7:$A$256&lt;&gt;"")*(LOGAI!$K$7:$K$256=""))</f>
        <v/>
      </c>
      <c r="C30" s="108" t="n">
        <v>0</v>
      </c>
      <c r="D30" s="92">
        <f>IF($B30="","",IF($B30&lt;=$C30,"OK","ACTION"))</f>
        <v/>
      </c>
      <c r="I30" s="63" t="inlineStr">
        <is>
          <t>Any row here breaks the review rule - fix before the milestone.</t>
        </is>
      </c>
    </row>
    <row r="31">
      <c r="A31" s="13" t="inlineStr">
        <is>
          <t>Open issues &amp; risks</t>
        </is>
      </c>
      <c r="B31" s="59">
        <f>COUNTIFS(IRTL!$A$7:$A$46,"&lt;&gt;",IRTL!$L$7:$L$46,"&lt;&gt;Complete")</f>
        <v/>
      </c>
      <c r="C31" s="52" t="n"/>
      <c r="D31" s="52" t="n"/>
    </row>
    <row r="33" ht="19" customHeight="1">
      <c r="A33" s="5" t="inlineStr">
        <is>
          <t>Contribution  (the free-rider check)</t>
        </is>
      </c>
    </row>
    <row r="34" ht="20" customHeight="1">
      <c r="A34" s="6" t="inlineStr">
        <is>
          <t>Member</t>
        </is>
      </c>
      <c r="B34" s="6" t="inlineStr">
        <is>
          <t>Hours</t>
        </is>
      </c>
      <c r="C34" s="6" t="inlineStr">
        <is>
          <t>Share</t>
        </is>
      </c>
      <c r="D34" s="6" t="inlineStr">
        <is>
          <t>Commits</t>
        </is>
      </c>
      <c r="E34" s="6" t="inlineStr">
        <is>
          <t>PRs merged</t>
        </is>
      </c>
      <c r="F34" s="6" t="inlineStr">
        <is>
          <t>Reviews</t>
        </is>
      </c>
      <c r="G34" s="6" t="inlineStr">
        <is>
          <t>LOGAI</t>
        </is>
      </c>
      <c r="H34" s="6" t="inlineStr">
        <is>
          <t>Peer /50</t>
        </is>
      </c>
      <c r="I34" s="6" t="inlineStr">
        <is>
          <t>Reading</t>
        </is>
      </c>
    </row>
    <row r="35">
      <c r="A35" s="24">
        <f>IF('FORM-SI'!$C$9="","",'FORM-SI'!$C$9)</f>
        <v/>
      </c>
      <c r="B35" s="134">
        <f>IF($A35="","",'FORM-SI'!$J$9)</f>
        <v/>
      </c>
      <c r="C35" s="135">
        <f>IF($A35="","",'FORM-SI'!$K$9)</f>
        <v/>
      </c>
      <c r="D35" s="26">
        <f>IF($A35="","",SUMIFS(LOGGIT!$D$7:$D$86,LOGGIT!$C$7:$C$86,$A35))</f>
        <v/>
      </c>
      <c r="E35" s="26">
        <f>IF($A35="","",SUMIFS(LOGGIT!$F$7:$F$86,LOGGIT!$C$7:$C$86,$A35))</f>
        <v/>
      </c>
      <c r="F35" s="26">
        <f>IF($A35="","",SUMIFS(LOGGIT!$G$7:$G$86,LOGGIT!$C$7:$C$86,$A35))</f>
        <v/>
      </c>
      <c r="G35" s="26">
        <f>IF($A35="","",COUNTIFS(LOGAI!$B$7:$B$256,$A35))</f>
        <v/>
      </c>
      <c r="H35" s="134">
        <f>IF($A35="","",PEER!$F$8)</f>
        <v/>
      </c>
      <c r="I35" s="24">
        <f>IF($A35="","",IF(AND($B35=0,$D35=0),"No recorded activity",IF(OR($C35&lt;0.6/MAX(1,COUNTA('FORM-SI'!$C$9:$C$14)),AND($H35&lt;&gt;"",$H35&lt;30)),"Below an even share - discuss at the weekly meeting","")))</f>
        <v/>
      </c>
    </row>
    <row r="36">
      <c r="A36" s="24">
        <f>IF('FORM-SI'!$C$10="","",'FORM-SI'!$C$10)</f>
        <v/>
      </c>
      <c r="B36" s="134">
        <f>IF($A36="","",'FORM-SI'!$J$10)</f>
        <v/>
      </c>
      <c r="C36" s="135">
        <f>IF($A36="","",'FORM-SI'!$K$10)</f>
        <v/>
      </c>
      <c r="D36" s="26">
        <f>IF($A36="","",SUMIFS(LOGGIT!$D$7:$D$86,LOGGIT!$C$7:$C$86,$A36))</f>
        <v/>
      </c>
      <c r="E36" s="26">
        <f>IF($A36="","",SUMIFS(LOGGIT!$F$7:$F$86,LOGGIT!$C$7:$C$86,$A36))</f>
        <v/>
      </c>
      <c r="F36" s="26">
        <f>IF($A36="","",SUMIFS(LOGGIT!$G$7:$G$86,LOGGIT!$C$7:$C$86,$A36))</f>
        <v/>
      </c>
      <c r="G36" s="26">
        <f>IF($A36="","",COUNTIFS(LOGAI!$B$7:$B$256,$A36))</f>
        <v/>
      </c>
      <c r="H36" s="134">
        <f>IF($A36="","",PEER!$F$9)</f>
        <v/>
      </c>
      <c r="I36" s="24">
        <f>IF($A36="","",IF(AND($B36=0,$D36=0),"No recorded activity",IF(OR($C36&lt;0.6/MAX(1,COUNTA('FORM-SI'!$C$9:$C$14)),AND($H36&lt;&gt;"",$H36&lt;30)),"Below an even share - discuss at the weekly meeting","")))</f>
        <v/>
      </c>
    </row>
    <row r="37">
      <c r="A37" s="24">
        <f>IF('FORM-SI'!$C$11="","",'FORM-SI'!$C$11)</f>
        <v/>
      </c>
      <c r="B37" s="134">
        <f>IF($A37="","",'FORM-SI'!$J$11)</f>
        <v/>
      </c>
      <c r="C37" s="135">
        <f>IF($A37="","",'FORM-SI'!$K$11)</f>
        <v/>
      </c>
      <c r="D37" s="26">
        <f>IF($A37="","",SUMIFS(LOGGIT!$D$7:$D$86,LOGGIT!$C$7:$C$86,$A37))</f>
        <v/>
      </c>
      <c r="E37" s="26">
        <f>IF($A37="","",SUMIFS(LOGGIT!$F$7:$F$86,LOGGIT!$C$7:$C$86,$A37))</f>
        <v/>
      </c>
      <c r="F37" s="26">
        <f>IF($A37="","",SUMIFS(LOGGIT!$G$7:$G$86,LOGGIT!$C$7:$C$86,$A37))</f>
        <v/>
      </c>
      <c r="G37" s="26">
        <f>IF($A37="","",COUNTIFS(LOGAI!$B$7:$B$256,$A37))</f>
        <v/>
      </c>
      <c r="H37" s="134">
        <f>IF($A37="","",PEER!$F$10)</f>
        <v/>
      </c>
      <c r="I37" s="24">
        <f>IF($A37="","",IF(AND($B37=0,$D37=0),"No recorded activity",IF(OR($C37&lt;0.6/MAX(1,COUNTA('FORM-SI'!$C$9:$C$14)),AND($H37&lt;&gt;"",$H37&lt;30)),"Below an even share - discuss at the weekly meeting","")))</f>
        <v/>
      </c>
    </row>
    <row r="38">
      <c r="A38" s="24">
        <f>IF('FORM-SI'!$C$12="","",'FORM-SI'!$C$12)</f>
        <v/>
      </c>
      <c r="B38" s="134">
        <f>IF($A38="","",'FORM-SI'!$J$12)</f>
        <v/>
      </c>
      <c r="C38" s="135">
        <f>IF($A38="","",'FORM-SI'!$K$12)</f>
        <v/>
      </c>
      <c r="D38" s="26">
        <f>IF($A38="","",SUMIFS(LOGGIT!$D$7:$D$86,LOGGIT!$C$7:$C$86,$A38))</f>
        <v/>
      </c>
      <c r="E38" s="26">
        <f>IF($A38="","",SUMIFS(LOGGIT!$F$7:$F$86,LOGGIT!$C$7:$C$86,$A38))</f>
        <v/>
      </c>
      <c r="F38" s="26">
        <f>IF($A38="","",SUMIFS(LOGGIT!$G$7:$G$86,LOGGIT!$C$7:$C$86,$A38))</f>
        <v/>
      </c>
      <c r="G38" s="26">
        <f>IF($A38="","",COUNTIFS(LOGAI!$B$7:$B$256,$A38))</f>
        <v/>
      </c>
      <c r="H38" s="134">
        <f>IF($A38="","",PEER!$F$11)</f>
        <v/>
      </c>
      <c r="I38" s="24">
        <f>IF($A38="","",IF(AND($B38=0,$D38=0),"No recorded activity",IF(OR($C38&lt;0.6/MAX(1,COUNTA('FORM-SI'!$C$9:$C$14)),AND($H38&lt;&gt;"",$H38&lt;30)),"Below an even share - discuss at the weekly meeting","")))</f>
        <v/>
      </c>
    </row>
    <row r="39">
      <c r="A39" s="24">
        <f>IF('FORM-SI'!$C$13="","",'FORM-SI'!$C$13)</f>
        <v/>
      </c>
      <c r="B39" s="134">
        <f>IF($A39="","",'FORM-SI'!$J$13)</f>
        <v/>
      </c>
      <c r="C39" s="135">
        <f>IF($A39="","",'FORM-SI'!$K$13)</f>
        <v/>
      </c>
      <c r="D39" s="26">
        <f>IF($A39="","",SUMIFS(LOGGIT!$D$7:$D$86,LOGGIT!$C$7:$C$86,$A39))</f>
        <v/>
      </c>
      <c r="E39" s="26">
        <f>IF($A39="","",SUMIFS(LOGGIT!$F$7:$F$86,LOGGIT!$C$7:$C$86,$A39))</f>
        <v/>
      </c>
      <c r="F39" s="26">
        <f>IF($A39="","",SUMIFS(LOGGIT!$G$7:$G$86,LOGGIT!$C$7:$C$86,$A39))</f>
        <v/>
      </c>
      <c r="G39" s="26">
        <f>IF($A39="","",COUNTIFS(LOGAI!$B$7:$B$256,$A39))</f>
        <v/>
      </c>
      <c r="H39" s="134">
        <f>IF($A39="","",PEER!$F$12)</f>
        <v/>
      </c>
      <c r="I39" s="24">
        <f>IF($A39="","",IF(AND($B39=0,$D39=0),"No recorded activity",IF(OR($C39&lt;0.6/MAX(1,COUNTA('FORM-SI'!$C$9:$C$14)),AND($H39&lt;&gt;"",$H39&lt;30)),"Below an even share - discuss at the weekly meeting","")))</f>
        <v/>
      </c>
    </row>
    <row r="40">
      <c r="A40" s="24">
        <f>IF('FORM-SI'!$C$14="","",'FORM-SI'!$C$14)</f>
        <v/>
      </c>
      <c r="B40" s="134">
        <f>IF($A40="","",'FORM-SI'!$J$14)</f>
        <v/>
      </c>
      <c r="C40" s="135">
        <f>IF($A40="","",'FORM-SI'!$K$14)</f>
        <v/>
      </c>
      <c r="D40" s="26">
        <f>IF($A40="","",SUMIFS(LOGGIT!$D$7:$D$86,LOGGIT!$C$7:$C$86,$A40))</f>
        <v/>
      </c>
      <c r="E40" s="26">
        <f>IF($A40="","",SUMIFS(LOGGIT!$F$7:$F$86,LOGGIT!$C$7:$C$86,$A40))</f>
        <v/>
      </c>
      <c r="F40" s="26">
        <f>IF($A40="","",SUMIFS(LOGGIT!$G$7:$G$86,LOGGIT!$C$7:$C$86,$A40))</f>
        <v/>
      </c>
      <c r="G40" s="26">
        <f>IF($A40="","",COUNTIFS(LOGAI!$B$7:$B$256,$A40))</f>
        <v/>
      </c>
      <c r="H40" s="134">
        <f>IF($A40="","",PEER!$F$13)</f>
        <v/>
      </c>
      <c r="I40" s="24">
        <f>IF($A40="","",IF(AND($B40=0,$D40=0),"No recorded activity",IF(OR($C40&lt;0.6/MAX(1,COUNTA('FORM-SI'!$C$9:$C$14)),AND($H40&lt;&gt;"",$H40&lt;30)),"Below an even share - discuss at the weekly meeting","")))</f>
        <v/>
      </c>
    </row>
  </sheetData>
  <mergeCells count="6">
    <mergeCell ref="A15:I15"/>
    <mergeCell ref="A2:I2"/>
    <mergeCell ref="A33:I33"/>
    <mergeCell ref="A1:I1"/>
    <mergeCell ref="A6:I6"/>
    <mergeCell ref="A22:I22"/>
  </mergeCells>
  <conditionalFormatting sqref="B8">
    <cfRule type="expression" priority="1" dxfId="5">
      <formula>AND(SETUP!$B$27&gt;0,(SUMIFS(LOGGIT!$D$7:$D$86,LOGGIT!$B$7:$B$86,"M1"))&gt;=SETUP!$B$27)</formula>
    </cfRule>
    <cfRule type="expression" priority="2" dxfId="0">
      <formula>AND(SETUP!$B$27&gt;0,(SUMIFS(LOGGIT!$D$7:$D$86,LOGGIT!$B$7:$B$86,"M1"))&lt;SETUP!$B$27)</formula>
    </cfRule>
  </conditionalFormatting>
  <conditionalFormatting sqref="C8">
    <cfRule type="expression" priority="3" dxfId="5">
      <formula>AND(SETUP!$C$27&gt;0,(SUMIFS(LOGGIT!$D$7:$D$86,LOGGIT!$B$7:$B$86,"M1")+SUMIFS(LOGGIT!$D$7:$D$86,LOGGIT!$B$7:$B$86,"M2"))&gt;=SETUP!$C$27)</formula>
    </cfRule>
    <cfRule type="expression" priority="4" dxfId="0">
      <formula>AND(SETUP!$C$27&gt;0,(SUMIFS(LOGGIT!$D$7:$D$86,LOGGIT!$B$7:$B$86,"M1")+SUMIFS(LOGGIT!$D$7:$D$86,LOGGIT!$B$7:$B$86,"M2"))&lt;SETUP!$C$27)</formula>
    </cfRule>
  </conditionalFormatting>
  <conditionalFormatting sqref="D8">
    <cfRule type="expression" priority="5" dxfId="5">
      <formula>AND(SETUP!$D$27&gt;0,(SUMIFS(LOGGIT!$D$7:$D$86,LOGGIT!$B$7:$B$86,"M1")+SUMIFS(LOGGIT!$D$7:$D$86,LOGGIT!$B$7:$B$86,"M2")+SUMIFS(LOGGIT!$D$7:$D$86,LOGGIT!$B$7:$B$86,"M3"))&gt;=SETUP!$D$27)</formula>
    </cfRule>
    <cfRule type="expression" priority="6" dxfId="0">
      <formula>AND(SETUP!$D$27&gt;0,(SUMIFS(LOGGIT!$D$7:$D$86,LOGGIT!$B$7:$B$86,"M1")+SUMIFS(LOGGIT!$D$7:$D$86,LOGGIT!$B$7:$B$86,"M2")+SUMIFS(LOGGIT!$D$7:$D$86,LOGGIT!$B$7:$B$86,"M3"))&lt;SETUP!$D$27)</formula>
    </cfRule>
  </conditionalFormatting>
  <conditionalFormatting sqref="E8">
    <cfRule type="expression" priority="7" dxfId="5">
      <formula>AND(SETUP!$E$27&gt;0,(SUMIFS(LOGGIT!$D$7:$D$86,LOGGIT!$B$7:$B$86,"M1")+SUMIFS(LOGGIT!$D$7:$D$86,LOGGIT!$B$7:$B$86,"M2")+SUMIFS(LOGGIT!$D$7:$D$86,LOGGIT!$B$7:$B$86,"M3")+SUMIFS(LOGGIT!$D$7:$D$86,LOGGIT!$B$7:$B$86,"M4"))&gt;=SETUP!$E$27)</formula>
    </cfRule>
    <cfRule type="expression" priority="8" dxfId="0">
      <formula>AND(SETUP!$E$27&gt;0,(SUMIFS(LOGGIT!$D$7:$D$86,LOGGIT!$B$7:$B$86,"M1")+SUMIFS(LOGGIT!$D$7:$D$86,LOGGIT!$B$7:$B$86,"M2")+SUMIFS(LOGGIT!$D$7:$D$86,LOGGIT!$B$7:$B$86,"M3")+SUMIFS(LOGGIT!$D$7:$D$86,LOGGIT!$B$7:$B$86,"M4"))&lt;SETUP!$E$27)</formula>
    </cfRule>
  </conditionalFormatting>
  <conditionalFormatting sqref="B9">
    <cfRule type="expression" priority="9" dxfId="5">
      <formula>AND(SETUP!$B$28&gt;0,(SUMIFS(LOGGIT!$F$7:$F$86,LOGGIT!$B$7:$B$86,"M1"))&gt;=SETUP!$B$28)</formula>
    </cfRule>
    <cfRule type="expression" priority="10" dxfId="0">
      <formula>AND(SETUP!$B$28&gt;0,(SUMIFS(LOGGIT!$F$7:$F$86,LOGGIT!$B$7:$B$86,"M1"))&lt;SETUP!$B$28)</formula>
    </cfRule>
  </conditionalFormatting>
  <conditionalFormatting sqref="C9">
    <cfRule type="expression" priority="11" dxfId="5">
      <formula>AND(SETUP!$C$28&gt;0,(SUMIFS(LOGGIT!$F$7:$F$86,LOGGIT!$B$7:$B$86,"M1")+SUMIFS(LOGGIT!$F$7:$F$86,LOGGIT!$B$7:$B$86,"M2"))&gt;=SETUP!$C$28)</formula>
    </cfRule>
    <cfRule type="expression" priority="12" dxfId="0">
      <formula>AND(SETUP!$C$28&gt;0,(SUMIFS(LOGGIT!$F$7:$F$86,LOGGIT!$B$7:$B$86,"M1")+SUMIFS(LOGGIT!$F$7:$F$86,LOGGIT!$B$7:$B$86,"M2"))&lt;SETUP!$C$28)</formula>
    </cfRule>
  </conditionalFormatting>
  <conditionalFormatting sqref="D9">
    <cfRule type="expression" priority="13" dxfId="5">
      <formula>AND(SETUP!$D$28&gt;0,(SUMIFS(LOGGIT!$F$7:$F$86,LOGGIT!$B$7:$B$86,"M1")+SUMIFS(LOGGIT!$F$7:$F$86,LOGGIT!$B$7:$B$86,"M2")+SUMIFS(LOGGIT!$F$7:$F$86,LOGGIT!$B$7:$B$86,"M3"))&gt;=SETUP!$D$28)</formula>
    </cfRule>
    <cfRule type="expression" priority="14" dxfId="0">
      <formula>AND(SETUP!$D$28&gt;0,(SUMIFS(LOGGIT!$F$7:$F$86,LOGGIT!$B$7:$B$86,"M1")+SUMIFS(LOGGIT!$F$7:$F$86,LOGGIT!$B$7:$B$86,"M2")+SUMIFS(LOGGIT!$F$7:$F$86,LOGGIT!$B$7:$B$86,"M3"))&lt;SETUP!$D$28)</formula>
    </cfRule>
  </conditionalFormatting>
  <conditionalFormatting sqref="E9">
    <cfRule type="expression" priority="15" dxfId="5">
      <formula>AND(SETUP!$E$28&gt;0,(SUMIFS(LOGGIT!$F$7:$F$86,LOGGIT!$B$7:$B$86,"M1")+SUMIFS(LOGGIT!$F$7:$F$86,LOGGIT!$B$7:$B$86,"M2")+SUMIFS(LOGGIT!$F$7:$F$86,LOGGIT!$B$7:$B$86,"M3")+SUMIFS(LOGGIT!$F$7:$F$86,LOGGIT!$B$7:$B$86,"M4"))&gt;=SETUP!$E$28)</formula>
    </cfRule>
    <cfRule type="expression" priority="16" dxfId="0">
      <formula>AND(SETUP!$E$28&gt;0,(SUMIFS(LOGGIT!$F$7:$F$86,LOGGIT!$B$7:$B$86,"M1")+SUMIFS(LOGGIT!$F$7:$F$86,LOGGIT!$B$7:$B$86,"M2")+SUMIFS(LOGGIT!$F$7:$F$86,LOGGIT!$B$7:$B$86,"M3")+SUMIFS(LOGGIT!$F$7:$F$86,LOGGIT!$B$7:$B$86,"M4"))&lt;SETUP!$E$28)</formula>
    </cfRule>
  </conditionalFormatting>
  <conditionalFormatting sqref="B10">
    <cfRule type="expression" priority="17" dxfId="5">
      <formula>AND(SETUP!$B$29&gt;0,(COUNTIFS(LOGCLIENT!$B$7:$B$46,"M1"))&gt;=SETUP!$B$29)</formula>
    </cfRule>
    <cfRule type="expression" priority="18" dxfId="0">
      <formula>AND(SETUP!$B$29&gt;0,(COUNTIFS(LOGCLIENT!$B$7:$B$46,"M1"))&lt;SETUP!$B$29)</formula>
    </cfRule>
  </conditionalFormatting>
  <conditionalFormatting sqref="C10">
    <cfRule type="expression" priority="19" dxfId="5">
      <formula>AND(SETUP!$C$29&gt;0,(COUNTIFS(LOGCLIENT!$B$7:$B$46,"M1")+COUNTIFS(LOGCLIENT!$B$7:$B$46,"M2"))&gt;=SETUP!$C$29)</formula>
    </cfRule>
    <cfRule type="expression" priority="20" dxfId="0">
      <formula>AND(SETUP!$C$29&gt;0,(COUNTIFS(LOGCLIENT!$B$7:$B$46,"M1")+COUNTIFS(LOGCLIENT!$B$7:$B$46,"M2"))&lt;SETUP!$C$29)</formula>
    </cfRule>
  </conditionalFormatting>
  <conditionalFormatting sqref="D10">
    <cfRule type="expression" priority="21" dxfId="5">
      <formula>AND(SETUP!$D$29&gt;0,(COUNTIFS(LOGCLIENT!$B$7:$B$46,"M1")+COUNTIFS(LOGCLIENT!$B$7:$B$46,"M2")+COUNTIFS(LOGCLIENT!$B$7:$B$46,"M3"))&gt;=SETUP!$D$29)</formula>
    </cfRule>
    <cfRule type="expression" priority="22" dxfId="0">
      <formula>AND(SETUP!$D$29&gt;0,(COUNTIFS(LOGCLIENT!$B$7:$B$46,"M1")+COUNTIFS(LOGCLIENT!$B$7:$B$46,"M2")+COUNTIFS(LOGCLIENT!$B$7:$B$46,"M3"))&lt;SETUP!$D$29)</formula>
    </cfRule>
  </conditionalFormatting>
  <conditionalFormatting sqref="E10">
    <cfRule type="expression" priority="23" dxfId="5">
      <formula>AND(SETUP!$E$29&gt;0,(COUNTIFS(LOGCLIENT!$B$7:$B$46,"M1")+COUNTIFS(LOGCLIENT!$B$7:$B$46,"M2")+COUNTIFS(LOGCLIENT!$B$7:$B$46,"M3")+COUNTIFS(LOGCLIENT!$B$7:$B$46,"M4"))&gt;=SETUP!$E$29)</formula>
    </cfRule>
    <cfRule type="expression" priority="24" dxfId="0">
      <formula>AND(SETUP!$E$29&gt;0,(COUNTIFS(LOGCLIENT!$B$7:$B$46,"M1")+COUNTIFS(LOGCLIENT!$B$7:$B$46,"M2")+COUNTIFS(LOGCLIENT!$B$7:$B$46,"M3")+COUNTIFS(LOGCLIENT!$B$7:$B$46,"M4"))&lt;SETUP!$E$29)</formula>
    </cfRule>
  </conditionalFormatting>
  <conditionalFormatting sqref="B11">
    <cfRule type="expression" priority="25" dxfId="5">
      <formula>AND(SETUP!$B$30&gt;0,(COUNTIFS(LOGAI!$C$7:$C$256,"M1"))&gt;=SETUP!$B$30)</formula>
    </cfRule>
    <cfRule type="expression" priority="26" dxfId="0">
      <formula>AND(SETUP!$B$30&gt;0,(COUNTIFS(LOGAI!$C$7:$C$256,"M1"))&lt;SETUP!$B$30)</formula>
    </cfRule>
  </conditionalFormatting>
  <conditionalFormatting sqref="C11">
    <cfRule type="expression" priority="27" dxfId="5">
      <formula>AND(SETUP!$C$30&gt;0,(COUNTIFS(LOGAI!$C$7:$C$256,"M1")+COUNTIFS(LOGAI!$C$7:$C$256,"M2"))&gt;=SETUP!$C$30)</formula>
    </cfRule>
    <cfRule type="expression" priority="28" dxfId="0">
      <formula>AND(SETUP!$C$30&gt;0,(COUNTIFS(LOGAI!$C$7:$C$256,"M1")+COUNTIFS(LOGAI!$C$7:$C$256,"M2"))&lt;SETUP!$C$30)</formula>
    </cfRule>
  </conditionalFormatting>
  <conditionalFormatting sqref="D11">
    <cfRule type="expression" priority="29" dxfId="5">
      <formula>AND(SETUP!$D$30&gt;0,(COUNTIFS(LOGAI!$C$7:$C$256,"M1")+COUNTIFS(LOGAI!$C$7:$C$256,"M2")+COUNTIFS(LOGAI!$C$7:$C$256,"M3"))&gt;=SETUP!$D$30)</formula>
    </cfRule>
    <cfRule type="expression" priority="30" dxfId="0">
      <formula>AND(SETUP!$D$30&gt;0,(COUNTIFS(LOGAI!$C$7:$C$256,"M1")+COUNTIFS(LOGAI!$C$7:$C$256,"M2")+COUNTIFS(LOGAI!$C$7:$C$256,"M3"))&lt;SETUP!$D$30)</formula>
    </cfRule>
  </conditionalFormatting>
  <conditionalFormatting sqref="E11">
    <cfRule type="expression" priority="31" dxfId="5">
      <formula>AND(SETUP!$E$30&gt;0,(COUNTIFS(LOGAI!$C$7:$C$256,"M1")+COUNTIFS(LOGAI!$C$7:$C$256,"M2")+COUNTIFS(LOGAI!$C$7:$C$256,"M3")+COUNTIFS(LOGAI!$C$7:$C$256,"M4"))&gt;=SETUP!$E$30)</formula>
    </cfRule>
    <cfRule type="expression" priority="32" dxfId="0">
      <formula>AND(SETUP!$E$30&gt;0,(COUNTIFS(LOGAI!$C$7:$C$256,"M1")+COUNTIFS(LOGAI!$C$7:$C$256,"M2")+COUNTIFS(LOGAI!$C$7:$C$256,"M3")+COUNTIFS(LOGAI!$C$7:$C$256,"M4"))&lt;SETUP!$E$30)</formula>
    </cfRule>
  </conditionalFormatting>
  <conditionalFormatting sqref="B12">
    <cfRule type="expression" priority="33" dxfId="5">
      <formula>AND(SETUP!$B$31&gt;0,(COUNTIFS(LOGTEST!$I$7:$I$306,"M1"))&gt;=SETUP!$B$31)</formula>
    </cfRule>
    <cfRule type="expression" priority="34" dxfId="0">
      <formula>AND(SETUP!$B$31&gt;0,(COUNTIFS(LOGTEST!$I$7:$I$306,"M1"))&lt;SETUP!$B$31)</formula>
    </cfRule>
  </conditionalFormatting>
  <conditionalFormatting sqref="C12">
    <cfRule type="expression" priority="35" dxfId="5">
      <formula>AND(SETUP!$C$31&gt;0,(COUNTIFS(LOGTEST!$I$7:$I$306,"M1")+COUNTIFS(LOGTEST!$I$7:$I$306,"M2"))&gt;=SETUP!$C$31)</formula>
    </cfRule>
    <cfRule type="expression" priority="36" dxfId="0">
      <formula>AND(SETUP!$C$31&gt;0,(COUNTIFS(LOGTEST!$I$7:$I$306,"M1")+COUNTIFS(LOGTEST!$I$7:$I$306,"M2"))&lt;SETUP!$C$31)</formula>
    </cfRule>
  </conditionalFormatting>
  <conditionalFormatting sqref="D12">
    <cfRule type="expression" priority="37" dxfId="5">
      <formula>AND(SETUP!$D$31&gt;0,(COUNTIFS(LOGTEST!$I$7:$I$306,"M1")+COUNTIFS(LOGTEST!$I$7:$I$306,"M2")+COUNTIFS(LOGTEST!$I$7:$I$306,"M3"))&gt;=SETUP!$D$31)</formula>
    </cfRule>
    <cfRule type="expression" priority="38" dxfId="0">
      <formula>AND(SETUP!$D$31&gt;0,(COUNTIFS(LOGTEST!$I$7:$I$306,"M1")+COUNTIFS(LOGTEST!$I$7:$I$306,"M2")+COUNTIFS(LOGTEST!$I$7:$I$306,"M3"))&lt;SETUP!$D$31)</formula>
    </cfRule>
  </conditionalFormatting>
  <conditionalFormatting sqref="E12">
    <cfRule type="expression" priority="39" dxfId="5">
      <formula>AND(SETUP!$E$31&gt;0,(COUNTIFS(LOGTEST!$I$7:$I$306,"M1")+COUNTIFS(LOGTEST!$I$7:$I$306,"M2")+COUNTIFS(LOGTEST!$I$7:$I$306,"M3")+COUNTIFS(LOGTEST!$I$7:$I$306,"M4"))&gt;=SETUP!$E$31)</formula>
    </cfRule>
    <cfRule type="expression" priority="40" dxfId="0">
      <formula>AND(SETUP!$E$31&gt;0,(COUNTIFS(LOGTEST!$I$7:$I$306,"M1")+COUNTIFS(LOGTEST!$I$7:$I$306,"M2")+COUNTIFS(LOGTEST!$I$7:$I$306,"M3")+COUNTIFS(LOGTEST!$I$7:$I$306,"M4"))&lt;SETUP!$E$31)</formula>
    </cfRule>
  </conditionalFormatting>
  <conditionalFormatting sqref="C35:C40">
    <cfRule type="colorScale" priority="41">
      <colorScale>
        <cfvo type="min"/>
        <cfvo type="percentile" val="50"/>
        <cfvo type="max"/>
        <color rgb="00F7D4D4"/>
        <color rgb="00FFFFFF"/>
        <color rgb="00D6EBD6"/>
      </colorScale>
    </cfRule>
  </conditionalFormatting>
  <conditionalFormatting sqref="D6:E41">
    <cfRule type="cellIs" priority="42" operator="equal" dxfId="9">
      <formula>"OK"</formula>
    </cfRule>
    <cfRule type="cellIs" priority="43" operator="equal" dxfId="8">
      <formula>"WATCH"</formula>
    </cfRule>
    <cfRule type="cellIs" priority="44" operator="equal" dxfId="7">
      <formula>"LOW"</formula>
    </cfRule>
    <cfRule type="cellIs" priority="45" operator="equal" dxfId="7">
      <formula>"BEHIND"</formula>
    </cfRule>
    <cfRule type="cellIs" priority="46" operator="equal" dxfId="8">
      <formula>"OVER"</formula>
    </cfRule>
    <cfRule type="cellIs" priority="47" operator="equal" dxfId="7">
      <formula>"ACTION"</formula>
    </cfRule>
  </conditionalFormatting>
  <printOptions horizontalCentered="1"/>
  <pageMargins left="0.75" right="0.75" top="1" bottom="1" header="0.5" footer="0.5"/>
  <pageSetup orientation="landscape" paperSize="9" fitToHeight="1" fitToWidth="1"/>
  <headerFooter>
    <oddHeader/>
    <oddFooter>&amp;R&amp;8 TMA3084 TSPi Workbook v3.0  -  &amp;P of &amp;N</oddFooter>
    <evenHeader/>
    <evenFooter/>
    <firstHeader/>
    <firstFooter/>
  </headerFooter>
</worksheet>
</file>

<file path=xl/worksheets/sheet31.xml><?xml version="1.0" encoding="utf-8"?>
<worksheet xmlns="http://schemas.openxmlformats.org/spreadsheetml/2006/main">
  <sheetPr>
    <tabColor rgb="006B7A7E"/>
    <outlinePr summaryBelow="1" summaryRight="1"/>
    <pageSetUpPr fitToPage="1"/>
  </sheetPr>
  <dimension ref="A1:I38"/>
  <sheetViews>
    <sheetView showGridLines="0" workbookViewId="0">
      <selection activeCell="A1" sqref="A1"/>
    </sheetView>
  </sheetViews>
  <sheetFormatPr baseColWidth="8" defaultRowHeight="15" outlineLevelCol="0"/>
  <cols>
    <col width="12" customWidth="1" min="1" max="1"/>
    <col width="42" customWidth="1" min="2" max="2"/>
    <col width="10" customWidth="1" min="3" max="3"/>
    <col width="9" customWidth="1" min="4" max="4"/>
    <col width="9" customWidth="1" min="5" max="5"/>
    <col width="9" customWidth="1" min="6" max="6"/>
    <col width="11" customWidth="1" min="7" max="7"/>
    <col width="11" customWidth="1" min="8" max="8"/>
    <col width="48" customWidth="1" min="9" max="9"/>
  </cols>
  <sheetData>
    <row r="1" ht="30" customHeight="1">
      <c r="A1" s="1" t="inlineStr">
        <is>
          <t>Process Phase Standard</t>
        </is>
      </c>
    </row>
    <row r="2" ht="16" customHeight="1">
      <c r="A2" s="2" t="inlineStr">
        <is>
          <t>The phases you may enter in LOGT, LOGD and TASK. Use the code exactly as it appears here.</t>
        </is>
      </c>
    </row>
    <row r="4" ht="34" customHeight="1">
      <c r="A4" s="6" t="inlineStr">
        <is>
          <t>Code</t>
        </is>
      </c>
      <c r="B4" s="6" t="inlineStr">
        <is>
          <t>Phase</t>
        </is>
      </c>
      <c r="C4" s="6" t="inlineStr">
        <is>
          <t>Scope</t>
        </is>
      </c>
      <c r="D4" s="6" t="inlineStr">
        <is>
          <t>Log time</t>
        </is>
      </c>
      <c r="E4" s="6" t="inlineStr">
        <is>
          <t>Log injected</t>
        </is>
      </c>
      <c r="F4" s="6" t="inlineStr">
        <is>
          <t>Log removed</t>
        </is>
      </c>
      <c r="G4" s="6" t="inlineStr">
        <is>
          <t>Counts as development</t>
        </is>
      </c>
      <c r="H4" s="6" t="inlineStr">
        <is>
          <t>Size basis</t>
        </is>
      </c>
      <c r="I4" s="6" t="inlineStr">
        <is>
          <t>What belongs in this phase</t>
        </is>
      </c>
    </row>
    <row r="5" ht="24" customHeight="1">
      <c r="A5" s="88" t="inlineStr">
        <is>
          <t>MGMT</t>
        </is>
      </c>
      <c r="B5" s="85" t="inlineStr">
        <is>
          <t>Management &amp; Miscellaneous</t>
        </is>
      </c>
      <c r="C5" s="95" t="inlineStr">
        <is>
          <t>S</t>
        </is>
      </c>
      <c r="D5" s="95" t="inlineStr">
        <is>
          <t>Y</t>
        </is>
      </c>
      <c r="E5" s="95" t="inlineStr">
        <is>
          <t>N</t>
        </is>
      </c>
      <c r="F5" s="95" t="inlineStr">
        <is>
          <t>N</t>
        </is>
      </c>
      <c r="G5" s="95" t="inlineStr">
        <is>
          <t>N</t>
        </is>
      </c>
      <c r="H5" s="95" t="inlineStr">
        <is>
          <t>-</t>
        </is>
      </c>
      <c r="I5" s="109" t="inlineStr">
        <is>
          <t>Team admin, lab attendance, instructor and demonstrator check-ins, anything not project work.</t>
        </is>
      </c>
    </row>
    <row r="6" ht="24" customHeight="1">
      <c r="A6" s="88" t="inlineStr">
        <is>
          <t>STRAT</t>
        </is>
      </c>
      <c r="B6" s="85" t="inlineStr">
        <is>
          <t>Launch &amp; Strategy</t>
        </is>
      </c>
      <c r="C6" s="95" t="inlineStr">
        <is>
          <t>S</t>
        </is>
      </c>
      <c r="D6" s="95" t="inlineStr">
        <is>
          <t>Y</t>
        </is>
      </c>
      <c r="E6" s="95" t="inlineStr">
        <is>
          <t>N</t>
        </is>
      </c>
      <c r="F6" s="95" t="inlineStr">
        <is>
          <t>N</t>
        </is>
      </c>
      <c r="G6" s="95" t="inlineStr">
        <is>
          <t>N</t>
        </is>
      </c>
      <c r="H6" s="95" t="inlineStr">
        <is>
          <t>-</t>
        </is>
      </c>
      <c r="I6" s="109" t="inlineStr">
        <is>
          <t>The launch meeting, cycle strategy, build-versus-reuse and technology decisions.</t>
        </is>
      </c>
    </row>
    <row r="7" ht="24" customHeight="1">
      <c r="A7" s="88" t="inlineStr">
        <is>
          <t>PLAN</t>
        </is>
      </c>
      <c r="B7" s="85" t="inlineStr">
        <is>
          <t>Planning</t>
        </is>
      </c>
      <c r="C7" s="95" t="inlineStr">
        <is>
          <t>S</t>
        </is>
      </c>
      <c r="D7" s="95" t="inlineStr">
        <is>
          <t>Y</t>
        </is>
      </c>
      <c r="E7" s="95" t="inlineStr">
        <is>
          <t>Y</t>
        </is>
      </c>
      <c r="F7" s="95" t="inlineStr">
        <is>
          <t>Y</t>
        </is>
      </c>
      <c r="G7" s="95" t="inlineStr">
        <is>
          <t>Y</t>
        </is>
      </c>
      <c r="H7" s="95" t="inlineStr">
        <is>
          <t>-</t>
        </is>
      </c>
      <c r="I7" s="109" t="inlineStr">
        <is>
          <t>Producing TASK and SCHEDULE, estimating, re-planning after a change request.</t>
        </is>
      </c>
    </row>
    <row r="8" ht="24" customHeight="1">
      <c r="A8" s="88" t="inlineStr">
        <is>
          <t>REQ</t>
        </is>
      </c>
      <c r="B8" s="85" t="inlineStr">
        <is>
          <t>Requirements / SRS</t>
        </is>
      </c>
      <c r="C8" s="95" t="inlineStr">
        <is>
          <t>S</t>
        </is>
      </c>
      <c r="D8" s="95" t="inlineStr">
        <is>
          <t>Y</t>
        </is>
      </c>
      <c r="E8" s="95" t="inlineStr">
        <is>
          <t>Y</t>
        </is>
      </c>
      <c r="F8" s="95" t="inlineStr">
        <is>
          <t>Y</t>
        </is>
      </c>
      <c r="G8" s="95" t="inlineStr">
        <is>
          <t>Y</t>
        </is>
      </c>
      <c r="H8" s="95" t="inlineStr">
        <is>
          <t>Pages</t>
        </is>
      </c>
      <c r="I8" s="109" t="inlineStr">
        <is>
          <t>Interviews with the client, user stories, use cases, writing and revising the SRS.</t>
        </is>
      </c>
    </row>
    <row r="9" ht="24" customHeight="1">
      <c r="A9" s="88" t="inlineStr">
        <is>
          <t>STP</t>
        </is>
      </c>
      <c r="B9" s="85" t="inlineStr">
        <is>
          <t>System Test Plan</t>
        </is>
      </c>
      <c r="C9" s="95" t="inlineStr">
        <is>
          <t>S</t>
        </is>
      </c>
      <c r="D9" s="95" t="inlineStr">
        <is>
          <t>Y</t>
        </is>
      </c>
      <c r="E9" s="95" t="inlineStr">
        <is>
          <t>Y</t>
        </is>
      </c>
      <c r="F9" s="95" t="inlineStr">
        <is>
          <t>Y</t>
        </is>
      </c>
      <c r="G9" s="95" t="inlineStr">
        <is>
          <t>Y</t>
        </is>
      </c>
      <c r="H9" s="95" t="inlineStr">
        <is>
          <t>-</t>
        </is>
      </c>
      <c r="I9" s="109" t="inlineStr">
        <is>
          <t>Writing the system test plan against the requirements.</t>
        </is>
      </c>
    </row>
    <row r="10" ht="24" customHeight="1">
      <c r="A10" s="88" t="inlineStr">
        <is>
          <t>REQINSP</t>
        </is>
      </c>
      <c r="B10" s="85" t="inlineStr">
        <is>
          <t>Requirements Inspection</t>
        </is>
      </c>
      <c r="C10" s="95" t="inlineStr">
        <is>
          <t>S</t>
        </is>
      </c>
      <c r="D10" s="95" t="inlineStr">
        <is>
          <t>Y</t>
        </is>
      </c>
      <c r="E10" s="95" t="inlineStr">
        <is>
          <t>Y</t>
        </is>
      </c>
      <c r="F10" s="95" t="inlineStr">
        <is>
          <t>Y</t>
        </is>
      </c>
      <c r="G10" s="95" t="inlineStr">
        <is>
          <t>Y</t>
        </is>
      </c>
      <c r="H10" s="95" t="inlineStr">
        <is>
          <t>Pages</t>
        </is>
      </c>
      <c r="I10" s="109" t="inlineStr">
        <is>
          <t>Team inspection of the SRS. Log the time you spend inspecting, not preparing.</t>
        </is>
      </c>
    </row>
    <row r="11" ht="24" customHeight="1">
      <c r="A11" s="88" t="inlineStr">
        <is>
          <t>HLD</t>
        </is>
      </c>
      <c r="B11" s="85" t="inlineStr">
        <is>
          <t>High-Level Design / Architecture (SDD)</t>
        </is>
      </c>
      <c r="C11" s="95" t="inlineStr">
        <is>
          <t>S</t>
        </is>
      </c>
      <c r="D11" s="95" t="inlineStr">
        <is>
          <t>Y</t>
        </is>
      </c>
      <c r="E11" s="95" t="inlineStr">
        <is>
          <t>Y</t>
        </is>
      </c>
      <c r="F11" s="95" t="inlineStr">
        <is>
          <t>Y</t>
        </is>
      </c>
      <c r="G11" s="95" t="inlineStr">
        <is>
          <t>Y</t>
        </is>
      </c>
      <c r="H11" s="95" t="inlineStr">
        <is>
          <t>Pages</t>
        </is>
      </c>
      <c r="I11" s="109" t="inlineStr">
        <is>
          <t>Architecture, component breakdown, data model, writing the SDD.</t>
        </is>
      </c>
    </row>
    <row r="12" ht="24" customHeight="1">
      <c r="A12" s="88" t="inlineStr">
        <is>
          <t>ITP</t>
        </is>
      </c>
      <c r="B12" s="85" t="inlineStr">
        <is>
          <t>Integration Test Plan</t>
        </is>
      </c>
      <c r="C12" s="95" t="inlineStr">
        <is>
          <t>S</t>
        </is>
      </c>
      <c r="D12" s="95" t="inlineStr">
        <is>
          <t>Y</t>
        </is>
      </c>
      <c r="E12" s="95" t="inlineStr">
        <is>
          <t>Y</t>
        </is>
      </c>
      <c r="F12" s="95" t="inlineStr">
        <is>
          <t>Y</t>
        </is>
      </c>
      <c r="G12" s="95" t="inlineStr">
        <is>
          <t>Y</t>
        </is>
      </c>
      <c r="H12" s="95" t="inlineStr">
        <is>
          <t>-</t>
        </is>
      </c>
      <c r="I12" s="109" t="inlineStr">
        <is>
          <t>Writing the integration test plan.</t>
        </is>
      </c>
    </row>
    <row r="13" ht="24" customHeight="1">
      <c r="A13" s="88" t="inlineStr">
        <is>
          <t>HLDINSP</t>
        </is>
      </c>
      <c r="B13" s="85" t="inlineStr">
        <is>
          <t>HLD Inspection</t>
        </is>
      </c>
      <c r="C13" s="95" t="inlineStr">
        <is>
          <t>S</t>
        </is>
      </c>
      <c r="D13" s="95" t="inlineStr">
        <is>
          <t>Y</t>
        </is>
      </c>
      <c r="E13" s="95" t="inlineStr">
        <is>
          <t>Y</t>
        </is>
      </c>
      <c r="F13" s="95" t="inlineStr">
        <is>
          <t>Y</t>
        </is>
      </c>
      <c r="G13" s="95" t="inlineStr">
        <is>
          <t>Y</t>
        </is>
      </c>
      <c r="H13" s="95" t="inlineStr">
        <is>
          <t>Pages</t>
        </is>
      </c>
      <c r="I13" s="109" t="inlineStr">
        <is>
          <t>Team inspection of the SDD.</t>
        </is>
      </c>
    </row>
    <row r="14" ht="24" customHeight="1">
      <c r="A14" s="88" t="inlineStr">
        <is>
          <t>DLD</t>
        </is>
      </c>
      <c r="B14" s="85" t="inlineStr">
        <is>
          <t>Detailed Design (screens, widgets, models)</t>
        </is>
      </c>
      <c r="C14" s="95" t="inlineStr">
        <is>
          <t>P</t>
        </is>
      </c>
      <c r="D14" s="95" t="inlineStr">
        <is>
          <t>Y</t>
        </is>
      </c>
      <c r="E14" s="95" t="inlineStr">
        <is>
          <t>Y</t>
        </is>
      </c>
      <c r="F14" s="95" t="inlineStr">
        <is>
          <t>Y</t>
        </is>
      </c>
      <c r="G14" s="95" t="inlineStr">
        <is>
          <t>Y</t>
        </is>
      </c>
      <c r="H14" s="95" t="inlineStr">
        <is>
          <t>LOC</t>
        </is>
      </c>
      <c r="I14" s="109" t="inlineStr">
        <is>
          <t>Designing a specific screen, widget, service or model before writing it.</t>
        </is>
      </c>
    </row>
    <row r="15" ht="24" customHeight="1">
      <c r="A15" s="88" t="inlineStr">
        <is>
          <t>DLDR</t>
        </is>
      </c>
      <c r="B15" s="85" t="inlineStr">
        <is>
          <t>Detailed Design Review</t>
        </is>
      </c>
      <c r="C15" s="95" t="inlineStr">
        <is>
          <t>P</t>
        </is>
      </c>
      <c r="D15" s="95" t="inlineStr">
        <is>
          <t>Y</t>
        </is>
      </c>
      <c r="E15" s="95" t="inlineStr">
        <is>
          <t>Y</t>
        </is>
      </c>
      <c r="F15" s="95" t="inlineStr">
        <is>
          <t>Y</t>
        </is>
      </c>
      <c r="G15" s="95" t="inlineStr">
        <is>
          <t>Y</t>
        </is>
      </c>
      <c r="H15" s="95" t="inlineStr">
        <is>
          <t>LOC</t>
        </is>
      </c>
      <c r="I15" s="109" t="inlineStr">
        <is>
          <t>Your own review of your detailed design, before anyone else sees it.</t>
        </is>
      </c>
    </row>
    <row r="16" ht="24" customHeight="1">
      <c r="A16" s="88" t="inlineStr">
        <is>
          <t>TD</t>
        </is>
      </c>
      <c r="B16" s="85" t="inlineStr">
        <is>
          <t>Test Development</t>
        </is>
      </c>
      <c r="C16" s="95" t="inlineStr">
        <is>
          <t>P</t>
        </is>
      </c>
      <c r="D16" s="95" t="inlineStr">
        <is>
          <t>Y</t>
        </is>
      </c>
      <c r="E16" s="95" t="inlineStr">
        <is>
          <t>Y</t>
        </is>
      </c>
      <c r="F16" s="95" t="inlineStr">
        <is>
          <t>Y</t>
        </is>
      </c>
      <c r="G16" s="95" t="inlineStr">
        <is>
          <t>Y</t>
        </is>
      </c>
      <c r="H16" s="95" t="inlineStr">
        <is>
          <t>-</t>
        </is>
      </c>
      <c r="I16" s="109" t="inlineStr">
        <is>
          <t>Writing test cases - the writing, not the running.</t>
        </is>
      </c>
    </row>
    <row r="17" ht="24" customHeight="1">
      <c r="A17" s="88" t="inlineStr">
        <is>
          <t>DLDINSP</t>
        </is>
      </c>
      <c r="B17" s="85" t="inlineStr">
        <is>
          <t>Detailed Design Inspection</t>
        </is>
      </c>
      <c r="C17" s="95" t="inlineStr">
        <is>
          <t>P</t>
        </is>
      </c>
      <c r="D17" s="95" t="inlineStr">
        <is>
          <t>Y</t>
        </is>
      </c>
      <c r="E17" s="95" t="inlineStr">
        <is>
          <t>Y</t>
        </is>
      </c>
      <c r="F17" s="95" t="inlineStr">
        <is>
          <t>Y</t>
        </is>
      </c>
      <c r="G17" s="95" t="inlineStr">
        <is>
          <t>Y</t>
        </is>
      </c>
      <c r="H17" s="95" t="inlineStr">
        <is>
          <t>LOC</t>
        </is>
      </c>
      <c r="I17" s="109" t="inlineStr">
        <is>
          <t>Team inspection of a detailed design.</t>
        </is>
      </c>
    </row>
    <row r="18" ht="24" customHeight="1">
      <c r="A18" s="88" t="inlineStr">
        <is>
          <t>CODE</t>
        </is>
      </c>
      <c r="B18" s="85" t="inlineStr">
        <is>
          <t>Code - hand-written Dart/Flutter</t>
        </is>
      </c>
      <c r="C18" s="95" t="inlineStr">
        <is>
          <t>P</t>
        </is>
      </c>
      <c r="D18" s="95" t="inlineStr">
        <is>
          <t>Y</t>
        </is>
      </c>
      <c r="E18" s="95" t="inlineStr">
        <is>
          <t>Y</t>
        </is>
      </c>
      <c r="F18" s="95" t="inlineStr">
        <is>
          <t>Y</t>
        </is>
      </c>
      <c r="G18" s="95" t="inlineStr">
        <is>
          <t>Y</t>
        </is>
      </c>
      <c r="H18" s="95" t="inlineStr">
        <is>
          <t>LOC</t>
        </is>
      </c>
      <c r="I18" s="109" t="inlineStr">
        <is>
          <t>Dart and Flutter you wrote yourself, keyboard to screen.</t>
        </is>
      </c>
    </row>
    <row r="19" ht="24" customHeight="1">
      <c r="A19" s="88" t="inlineStr">
        <is>
          <t>AIGEN</t>
        </is>
      </c>
      <c r="B19" s="85" t="inlineStr">
        <is>
          <t>Code - AI-assisted generation (Vibe)</t>
        </is>
      </c>
      <c r="C19" s="95" t="inlineStr">
        <is>
          <t>P</t>
        </is>
      </c>
      <c r="D19" s="95" t="inlineStr">
        <is>
          <t>Y</t>
        </is>
      </c>
      <c r="E19" s="95" t="inlineStr">
        <is>
          <t>Y</t>
        </is>
      </c>
      <c r="F19" s="95" t="inlineStr">
        <is>
          <t>Y</t>
        </is>
      </c>
      <c r="G19" s="95" t="inlineStr">
        <is>
          <t>Y</t>
        </is>
      </c>
      <c r="H19" s="95" t="inlineStr">
        <is>
          <t>LOC</t>
        </is>
      </c>
      <c r="I19" s="109" t="inlineStr">
        <is>
          <t>Prompting a generator and shaping its output. Every AIGEN session needs a LOGAI row.</t>
        </is>
      </c>
    </row>
    <row r="20" ht="24" customHeight="1">
      <c r="A20" s="88" t="inlineStr">
        <is>
          <t>CR</t>
        </is>
      </c>
      <c r="B20" s="85" t="inlineStr">
        <is>
          <t>Code Review / Pull-Request Review</t>
        </is>
      </c>
      <c r="C20" s="95" t="inlineStr">
        <is>
          <t>P</t>
        </is>
      </c>
      <c r="D20" s="95" t="inlineStr">
        <is>
          <t>Y</t>
        </is>
      </c>
      <c r="E20" s="95" t="inlineStr">
        <is>
          <t>Y</t>
        </is>
      </c>
      <c r="F20" s="95" t="inlineStr">
        <is>
          <t>Y</t>
        </is>
      </c>
      <c r="G20" s="95" t="inlineStr">
        <is>
          <t>Y</t>
        </is>
      </c>
      <c r="H20" s="95" t="inlineStr">
        <is>
          <t>LOC</t>
        </is>
      </c>
      <c r="I20" s="109" t="inlineStr">
        <is>
          <t>Reviewing someone's pull request, or them reviewing yours. Log it as CR either way.</t>
        </is>
      </c>
    </row>
    <row r="21" ht="24" customHeight="1">
      <c r="A21" s="88" t="inlineStr">
        <is>
          <t>BUILD</t>
        </is>
      </c>
      <c r="B21" s="85" t="inlineStr">
        <is>
          <t>Build &amp; Static Analysis (flutter analyze)</t>
        </is>
      </c>
      <c r="C21" s="95" t="inlineStr">
        <is>
          <t>P</t>
        </is>
      </c>
      <c r="D21" s="95" t="inlineStr">
        <is>
          <t>Y</t>
        </is>
      </c>
      <c r="E21" s="95" t="inlineStr">
        <is>
          <t>Y</t>
        </is>
      </c>
      <c r="F21" s="95" t="inlineStr">
        <is>
          <t>Y</t>
        </is>
      </c>
      <c r="G21" s="95" t="inlineStr">
        <is>
          <t>Y</t>
        </is>
      </c>
      <c r="H21" s="95" t="inlineStr">
        <is>
          <t>LOC</t>
        </is>
      </c>
      <c r="I21" s="109" t="inlineStr">
        <is>
          <t>flutter analyze, flutter build, fixing what they report, dependency and signing problems.</t>
        </is>
      </c>
    </row>
    <row r="22" ht="24" customHeight="1">
      <c r="A22" s="88" t="inlineStr">
        <is>
          <t>CODEINSP</t>
        </is>
      </c>
      <c r="B22" s="85" t="inlineStr">
        <is>
          <t>Code Inspection</t>
        </is>
      </c>
      <c r="C22" s="95" t="inlineStr">
        <is>
          <t>P</t>
        </is>
      </c>
      <c r="D22" s="95" t="inlineStr">
        <is>
          <t>Y</t>
        </is>
      </c>
      <c r="E22" s="95" t="inlineStr">
        <is>
          <t>Y</t>
        </is>
      </c>
      <c r="F22" s="95" t="inlineStr">
        <is>
          <t>Y</t>
        </is>
      </c>
      <c r="G22" s="95" t="inlineStr">
        <is>
          <t>Y</t>
        </is>
      </c>
      <c r="H22" s="95" t="inlineStr">
        <is>
          <t>LOC</t>
        </is>
      </c>
      <c r="I22" s="109" t="inlineStr">
        <is>
          <t>Team code inspection - several people reading the same code together.</t>
        </is>
      </c>
    </row>
    <row r="23" ht="24" customHeight="1">
      <c r="A23" s="88" t="inlineStr">
        <is>
          <t>UT</t>
        </is>
      </c>
      <c r="B23" s="85" t="inlineStr">
        <is>
          <t>Unit Test</t>
        </is>
      </c>
      <c r="C23" s="95" t="inlineStr">
        <is>
          <t>P</t>
        </is>
      </c>
      <c r="D23" s="95" t="inlineStr">
        <is>
          <t>Y</t>
        </is>
      </c>
      <c r="E23" s="95" t="inlineStr">
        <is>
          <t>Y</t>
        </is>
      </c>
      <c r="F23" s="95" t="inlineStr">
        <is>
          <t>Y</t>
        </is>
      </c>
      <c r="G23" s="95" t="inlineStr">
        <is>
          <t>Y</t>
        </is>
      </c>
      <c r="H23" s="95" t="inlineStr">
        <is>
          <t>LOC</t>
        </is>
      </c>
      <c r="I23" s="109" t="inlineStr">
        <is>
          <t>Running and fixing unit tests.</t>
        </is>
      </c>
    </row>
    <row r="24" ht="24" customHeight="1">
      <c r="A24" s="88" t="inlineStr">
        <is>
          <t>WT</t>
        </is>
      </c>
      <c r="B24" s="85" t="inlineStr">
        <is>
          <t>Widget Test</t>
        </is>
      </c>
      <c r="C24" s="95" t="inlineStr">
        <is>
          <t>P</t>
        </is>
      </c>
      <c r="D24" s="95" t="inlineStr">
        <is>
          <t>Y</t>
        </is>
      </c>
      <c r="E24" s="95" t="inlineStr">
        <is>
          <t>Y</t>
        </is>
      </c>
      <c r="F24" s="95" t="inlineStr">
        <is>
          <t>Y</t>
        </is>
      </c>
      <c r="G24" s="95" t="inlineStr">
        <is>
          <t>Y</t>
        </is>
      </c>
      <c r="H24" s="95" t="inlineStr">
        <is>
          <t>LOC</t>
        </is>
      </c>
      <c r="I24" s="109" t="inlineStr">
        <is>
          <t>Running and fixing Flutter widget tests.</t>
        </is>
      </c>
    </row>
    <row r="25" ht="24" customHeight="1">
      <c r="A25" s="88" t="inlineStr">
        <is>
          <t>IT</t>
        </is>
      </c>
      <c r="B25" s="85" t="inlineStr">
        <is>
          <t>Build &amp; Integration Test</t>
        </is>
      </c>
      <c r="C25" s="95" t="inlineStr">
        <is>
          <t>S</t>
        </is>
      </c>
      <c r="D25" s="95" t="inlineStr">
        <is>
          <t>Y</t>
        </is>
      </c>
      <c r="E25" s="95" t="inlineStr">
        <is>
          <t>Y</t>
        </is>
      </c>
      <c r="F25" s="95" t="inlineStr">
        <is>
          <t>Y</t>
        </is>
      </c>
      <c r="G25" s="95" t="inlineStr">
        <is>
          <t>Y</t>
        </is>
      </c>
      <c r="H25" s="95" t="inlineStr">
        <is>
          <t>LOC</t>
        </is>
      </c>
      <c r="I25" s="109" t="inlineStr">
        <is>
          <t>Building the whole app and testing components together.</t>
        </is>
      </c>
    </row>
    <row r="26" ht="24" customHeight="1">
      <c r="A26" s="88" t="inlineStr">
        <is>
          <t>CICD</t>
        </is>
      </c>
      <c r="B26" s="85" t="inlineStr">
        <is>
          <t>CI/CD Pipeline (GitHub Actions)</t>
        </is>
      </c>
      <c r="C26" s="95" t="inlineStr">
        <is>
          <t>S</t>
        </is>
      </c>
      <c r="D26" s="95" t="inlineStr">
        <is>
          <t>Y</t>
        </is>
      </c>
      <c r="E26" s="95" t="inlineStr">
        <is>
          <t>Y</t>
        </is>
      </c>
      <c r="F26" s="95" t="inlineStr">
        <is>
          <t>Y</t>
        </is>
      </c>
      <c r="G26" s="95" t="inlineStr">
        <is>
          <t>Y</t>
        </is>
      </c>
      <c r="H26" s="95" t="inlineStr">
        <is>
          <t>-</t>
        </is>
      </c>
      <c r="I26" s="109" t="inlineStr">
        <is>
          <t>GitHub Actions workflows, the coverage job, release automation.</t>
        </is>
      </c>
    </row>
    <row r="27" ht="24" customHeight="1">
      <c r="A27" s="88" t="inlineStr">
        <is>
          <t>ST</t>
        </is>
      </c>
      <c r="B27" s="85" t="inlineStr">
        <is>
          <t>System Test</t>
        </is>
      </c>
      <c r="C27" s="95" t="inlineStr">
        <is>
          <t>S</t>
        </is>
      </c>
      <c r="D27" s="95" t="inlineStr">
        <is>
          <t>Y</t>
        </is>
      </c>
      <c r="E27" s="95" t="inlineStr">
        <is>
          <t>Y</t>
        </is>
      </c>
      <c r="F27" s="95" t="inlineStr">
        <is>
          <t>Y</t>
        </is>
      </c>
      <c r="G27" s="95" t="inlineStr">
        <is>
          <t>Y</t>
        </is>
      </c>
      <c r="H27" s="95" t="inlineStr">
        <is>
          <t>LOC</t>
        </is>
      </c>
      <c r="I27" s="109" t="inlineStr">
        <is>
          <t>Testing the finished app against the SRS, end to end.</t>
        </is>
      </c>
    </row>
    <row r="28" ht="24" customHeight="1">
      <c r="A28" s="88" t="inlineStr">
        <is>
          <t>UAT</t>
        </is>
      </c>
      <c r="B28" s="85" t="inlineStr">
        <is>
          <t>Client Acceptance Test</t>
        </is>
      </c>
      <c r="C28" s="95" t="inlineStr">
        <is>
          <t>S</t>
        </is>
      </c>
      <c r="D28" s="95" t="inlineStr">
        <is>
          <t>Y</t>
        </is>
      </c>
      <c r="E28" s="95" t="inlineStr">
        <is>
          <t>Y</t>
        </is>
      </c>
      <c r="F28" s="95" t="inlineStr">
        <is>
          <t>Y</t>
        </is>
      </c>
      <c r="G28" s="95" t="inlineStr">
        <is>
          <t>N</t>
        </is>
      </c>
      <c r="H28" s="95" t="inlineStr">
        <is>
          <t>LOC</t>
        </is>
      </c>
      <c r="I28" s="109" t="inlineStr">
        <is>
          <t>The client or their staff using the app and telling you what is wrong.</t>
        </is>
      </c>
    </row>
    <row r="29" ht="24" customHeight="1">
      <c r="A29" s="88" t="inlineStr">
        <is>
          <t>DOC</t>
        </is>
      </c>
      <c r="B29" s="85" t="inlineStr">
        <is>
          <t>Documentation &amp; User Manual</t>
        </is>
      </c>
      <c r="C29" s="95" t="inlineStr">
        <is>
          <t>S</t>
        </is>
      </c>
      <c r="D29" s="95" t="inlineStr">
        <is>
          <t>Y</t>
        </is>
      </c>
      <c r="E29" s="95" t="inlineStr">
        <is>
          <t>N</t>
        </is>
      </c>
      <c r="F29" s="95" t="inlineStr">
        <is>
          <t>N</t>
        </is>
      </c>
      <c r="G29" s="95" t="inlineStr">
        <is>
          <t>N</t>
        </is>
      </c>
      <c r="H29" s="95" t="inlineStr">
        <is>
          <t>Pages</t>
        </is>
      </c>
      <c r="I29" s="109" t="inlineStr">
        <is>
          <t>User manual, final report, API documentation, deployment guide.</t>
        </is>
      </c>
    </row>
    <row r="30" ht="24" customHeight="1">
      <c r="A30" s="88" t="inlineStr">
        <is>
          <t>PM</t>
        </is>
      </c>
      <c r="B30" s="85" t="inlineStr">
        <is>
          <t>Postmortem</t>
        </is>
      </c>
      <c r="C30" s="95" t="inlineStr">
        <is>
          <t>S</t>
        </is>
      </c>
      <c r="D30" s="95" t="inlineStr">
        <is>
          <t>Y</t>
        </is>
      </c>
      <c r="E30" s="95" t="inlineStr">
        <is>
          <t>N</t>
        </is>
      </c>
      <c r="F30" s="95" t="inlineStr">
        <is>
          <t>N</t>
        </is>
      </c>
      <c r="G30" s="95" t="inlineStr">
        <is>
          <t>N</t>
        </is>
      </c>
      <c r="H30" s="95" t="inlineStr">
        <is>
          <t>-</t>
        </is>
      </c>
      <c r="I30" s="109" t="inlineStr">
        <is>
          <t>The postmortem: reading your own data and agreeing what changes next cycle.</t>
        </is>
      </c>
    </row>
    <row r="31" ht="24" customHeight="1">
      <c r="A31" s="88" t="inlineStr">
        <is>
          <t>PL</t>
        </is>
      </c>
      <c r="B31" s="85" t="inlineStr">
        <is>
          <t>Product Life (post-release)</t>
        </is>
      </c>
      <c r="C31" s="95" t="inlineStr">
        <is>
          <t>N</t>
        </is>
      </c>
      <c r="D31" s="95" t="inlineStr">
        <is>
          <t>N</t>
        </is>
      </c>
      <c r="E31" s="95" t="inlineStr">
        <is>
          <t>Y</t>
        </is>
      </c>
      <c r="F31" s="95" t="inlineStr">
        <is>
          <t>Y</t>
        </is>
      </c>
      <c r="G31" s="95" t="inlineStr">
        <is>
          <t>N</t>
        </is>
      </c>
      <c r="H31" s="95" t="inlineStr">
        <is>
          <t>LOC</t>
        </is>
      </c>
      <c r="I31" s="109" t="inlineStr">
        <is>
          <t>Anything after the release is handed over.</t>
        </is>
      </c>
    </row>
    <row r="33" ht="19" customHeight="1">
      <c r="A33" s="5" t="inlineStr">
        <is>
          <t>Reading the columns</t>
        </is>
      </c>
    </row>
    <row r="34">
      <c r="A34" s="110" t="inlineStr">
        <is>
          <t>Scope:  S = the phase applies to the system as a whole.  P = it applies to one component.  N = neither.</t>
        </is>
      </c>
    </row>
    <row r="35">
      <c r="A35" s="110" t="inlineStr">
        <is>
          <t>Log time:  Y means sessions in this phase belong in LOGT.</t>
        </is>
      </c>
    </row>
    <row r="36">
      <c r="A36" s="110" t="inlineStr">
        <is>
          <t>Log injected / removed:  Y means LOGD may name this phase in the Injected in or Removed in column.</t>
        </is>
      </c>
    </row>
    <row r="37">
      <c r="A37" s="110" t="inlineStr">
        <is>
          <t>Counts as development:  Y means the phase feeds the development defect totals on SUMP and the yields on SUMQ.</t>
        </is>
      </c>
    </row>
    <row r="38">
      <c r="A38" s="110" t="inlineStr">
        <is>
          <t>Size basis:  what the phase's rate is measured against when SUMQ computes review rates.</t>
        </is>
      </c>
    </row>
  </sheetData>
  <mergeCells count="8">
    <mergeCell ref="A33:I33"/>
    <mergeCell ref="A2:I2"/>
    <mergeCell ref="A37:I37"/>
    <mergeCell ref="A36:I36"/>
    <mergeCell ref="A1:I1"/>
    <mergeCell ref="A34:I34"/>
    <mergeCell ref="A35:I35"/>
    <mergeCell ref="A38:I38"/>
  </mergeCell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32.xml><?xml version="1.0" encoding="utf-8"?>
<worksheet xmlns="http://schemas.openxmlformats.org/spreadsheetml/2006/main">
  <sheetPr>
    <tabColor rgb="006B7A7E"/>
    <outlinePr summaryBelow="1" summaryRight="1"/>
    <pageSetUpPr fitToPage="1"/>
  </sheetPr>
  <dimension ref="A1:D22"/>
  <sheetViews>
    <sheetView showGridLines="0" workbookViewId="0">
      <selection activeCell="A1" sqref="A1"/>
    </sheetView>
  </sheetViews>
  <sheetFormatPr baseColWidth="8" defaultRowHeight="15" outlineLevelCol="0"/>
  <cols>
    <col width="10" customWidth="1" min="1" max="1"/>
    <col width="26" customWidth="1" min="2" max="2"/>
    <col width="66" customWidth="1" min="3" max="3"/>
    <col width="40" customWidth="1" min="4" max="4"/>
  </cols>
  <sheetData>
    <row r="1" ht="30" customHeight="1">
      <c r="A1" s="1" t="inlineStr">
        <is>
          <t>Defect Type Standard</t>
        </is>
      </c>
    </row>
    <row r="2" ht="16" customHeight="1">
      <c r="A2" s="2" t="inlineStr">
        <is>
          <t>The types you may choose in LOGD. Types 10-100 are the TSP standard; 110-150 were added for this course.</t>
        </is>
      </c>
    </row>
    <row r="4" ht="22" customHeight="1">
      <c r="A4" s="6" t="inlineStr">
        <is>
          <t>Type</t>
        </is>
      </c>
      <c r="B4" s="6" t="inlineStr">
        <is>
          <t>Name</t>
        </is>
      </c>
      <c r="C4" s="6" t="inlineStr">
        <is>
          <t>What it covers</t>
        </is>
      </c>
      <c r="D4" s="6" t="inlineStr">
        <is>
          <t>A Flutter example</t>
        </is>
      </c>
    </row>
    <row r="5" ht="26" customHeight="1">
      <c r="A5" s="111" t="n">
        <v>10</v>
      </c>
      <c r="B5" s="112" t="inlineStr">
        <is>
          <t>Documentation</t>
        </is>
      </c>
      <c r="C5" s="8" t="inlineStr">
        <is>
          <t>Comments, README, API docs, user manual</t>
        </is>
      </c>
      <c r="D5" s="109" t="inlineStr">
        <is>
          <t>A widget's doc comment describes the old behaviour after a refactor.</t>
        </is>
      </c>
    </row>
    <row r="6" ht="26" customHeight="1">
      <c r="A6" s="111" t="n">
        <v>20</v>
      </c>
      <c r="B6" s="112" t="inlineStr">
        <is>
          <t>Syntax</t>
        </is>
      </c>
      <c r="C6" s="8" t="inlineStr">
        <is>
          <t>Dart syntax, spelling, punctuation, typos</t>
        </is>
      </c>
      <c r="D6" s="109" t="inlineStr">
        <is>
          <t>Missing semicolon, misspelled identifier, wrong bracket.</t>
        </is>
      </c>
    </row>
    <row r="7" ht="26" customHeight="1">
      <c r="A7" s="111" t="n">
        <v>30</v>
      </c>
      <c r="B7" s="112" t="inlineStr">
        <is>
          <t>Build / Package</t>
        </is>
      </c>
      <c r="C7" s="8" t="inlineStr">
        <is>
          <t>pubspec, dependency conflict, Gradle, signing, build config</t>
        </is>
      </c>
      <c r="D7" s="109" t="inlineStr">
        <is>
          <t>pubspec version conflict; Gradle or signing config breaks the release build.</t>
        </is>
      </c>
    </row>
    <row r="8" ht="26" customHeight="1">
      <c r="A8" s="111" t="n">
        <v>40</v>
      </c>
      <c r="B8" s="112" t="inlineStr">
        <is>
          <t>Assignment</t>
        </is>
      </c>
      <c r="C8" s="8" t="inlineStr">
        <is>
          <t>Declaration, duplicate names, scope, null-safety misuse</t>
        </is>
      </c>
      <c r="D8" s="109" t="inlineStr">
        <is>
          <t>A nullable field used without a null check; two widgets sharing a class name.</t>
        </is>
      </c>
    </row>
    <row r="9" ht="26" customHeight="1">
      <c r="A9" s="111" t="n">
        <v>50</v>
      </c>
      <c r="B9" s="112" t="inlineStr">
        <is>
          <t>Interface</t>
        </is>
      </c>
      <c r="C9" s="8" t="inlineStr">
        <is>
          <t>Procedure calls, REST/API contract, parameters, serialization</t>
        </is>
      </c>
      <c r="D9" s="109" t="inlineStr">
        <is>
          <t>A repository returns a List where the caller awaits a Stream; JSON key mismatch.</t>
        </is>
      </c>
    </row>
    <row r="10" ht="26" customHeight="1">
      <c r="A10" s="111" t="n">
        <v>60</v>
      </c>
      <c r="B10" s="112" t="inlineStr">
        <is>
          <t>Checking</t>
        </is>
      </c>
      <c r="C10" s="8" t="inlineStr">
        <is>
          <t>Error messages, input validation, inadequate checks</t>
        </is>
      </c>
      <c r="D10" s="109" t="inlineStr">
        <is>
          <t>No validation on a quantity field; an empty list shows a spinner forever.</t>
        </is>
      </c>
    </row>
    <row r="11" ht="26" customHeight="1">
      <c r="A11" s="111" t="n">
        <v>70</v>
      </c>
      <c r="B11" s="112" t="inlineStr">
        <is>
          <t>Data</t>
        </is>
      </c>
      <c r="C11" s="8" t="inlineStr">
        <is>
          <t>Structure, content, persistence, local DB / Firestore schema</t>
        </is>
      </c>
      <c r="D11" s="109" t="inlineStr">
        <is>
          <t>Dates stored local but compared as UTC; a schema missing a sync-status column.</t>
        </is>
      </c>
    </row>
    <row r="12" ht="26" customHeight="1">
      <c r="A12" s="111" t="n">
        <v>80</v>
      </c>
      <c r="B12" s="112" t="inlineStr">
        <is>
          <t>Function</t>
        </is>
      </c>
      <c r="C12" s="8" t="inlineStr">
        <is>
          <t>Logic, pointers, loops, recursion, computation, business rules</t>
        </is>
      </c>
      <c r="D12" s="109" t="inlineStr">
        <is>
          <t>A total recalculated on add but not on edit; discount applied before tax.</t>
        </is>
      </c>
    </row>
    <row r="13" ht="26" customHeight="1">
      <c r="A13" s="111" t="n">
        <v>90</v>
      </c>
      <c r="B13" s="112" t="inlineStr">
        <is>
          <t>System</t>
        </is>
      </c>
      <c r="C13" s="8" t="inlineStr">
        <is>
          <t>Configuration, timing, memory, platform (iOS/Android) differences</t>
        </is>
      </c>
      <c r="D13" s="109" t="inlineStr">
        <is>
          <t>Works on Android, fails on iOS; a timing problem only under slow network.</t>
        </is>
      </c>
    </row>
    <row r="14" ht="26" customHeight="1">
      <c r="A14" s="111" t="n">
        <v>100</v>
      </c>
      <c r="B14" s="112" t="inlineStr">
        <is>
          <t>Environment</t>
        </is>
      </c>
      <c r="C14" s="8" t="inlineStr">
        <is>
          <t>Design, compile, test or other support system problems</t>
        </is>
      </c>
      <c r="D14" s="109" t="inlineStr">
        <is>
          <t>The emulator, the CI runner or the toolchain itself is the problem.</t>
        </is>
      </c>
    </row>
    <row r="15" ht="26" customHeight="1">
      <c r="A15" s="113" t="n">
        <v>110</v>
      </c>
      <c r="B15" s="114" t="inlineStr">
        <is>
          <t>UI / Layout</t>
        </is>
      </c>
      <c r="C15" s="115" t="inlineStr">
        <is>
          <t>Overflow, responsiveness, theming, accessibility, Material 3 misuse</t>
        </is>
      </c>
      <c r="D15" s="116" t="inlineStr">
        <is>
          <t>RenderFlex overflow on a small screen; text unreadable at the counter's font setting.</t>
        </is>
      </c>
    </row>
    <row r="16" ht="26" customHeight="1">
      <c r="A16" s="113" t="n">
        <v>120</v>
      </c>
      <c r="B16" s="114" t="inlineStr">
        <is>
          <t>State Management</t>
        </is>
      </c>
      <c r="C16" s="115" t="inlineStr">
        <is>
          <t>Provider/Riverpod/GetX misuse, rebuild storms, stale or lost state</t>
        </is>
      </c>
      <c r="D16" s="116" t="inlineStr">
        <is>
          <t>setState after dispose; a filter that does not clear when a screen is reopened.</t>
        </is>
      </c>
    </row>
    <row r="17" ht="26" customHeight="1">
      <c r="A17" s="113" t="n">
        <v>130</v>
      </c>
      <c r="B17" s="114" t="inlineStr">
        <is>
          <t>Performance</t>
        </is>
      </c>
      <c r="C17" s="115" t="inlineStr">
        <is>
          <t>Jank, frame drops, oversized images, unbounded list builds</t>
        </is>
      </c>
      <c r="D17" s="116" t="inlineStr">
        <is>
          <t>A long list janks; an oversized image decoded on every rebuild.</t>
        </is>
      </c>
    </row>
    <row r="18" ht="26" customHeight="1">
      <c r="A18" s="113" t="n">
        <v>140</v>
      </c>
      <c r="B18" s="114" t="inlineStr">
        <is>
          <t>Security</t>
        </is>
      </c>
      <c r="C18" s="115" t="inlineStr">
        <is>
          <t>Hard-coded API key, missing auth check, unsafe storage, leaked PII</t>
        </is>
      </c>
      <c r="D18" s="116" t="inlineStr">
        <is>
          <t>An API key committed in source; a screen reachable without an auth check.</t>
        </is>
      </c>
    </row>
    <row r="19" ht="26" customHeight="1">
      <c r="A19" s="113" t="n">
        <v>150</v>
      </c>
      <c r="B19" s="114" t="inlineStr">
        <is>
          <t>AI-Generated</t>
        </is>
      </c>
      <c r="C19" s="115" t="inlineStr">
        <is>
          <t>Defect traced to AI-generated code that passed review unverified</t>
        </is>
      </c>
      <c r="D19" s="116" t="inlineStr">
        <is>
          <t>Generated code that passed review but was wrong - a validator accepting negatives.</t>
        </is>
      </c>
    </row>
    <row r="21" ht="19" customHeight="1">
      <c r="A21" s="5" t="inlineStr">
        <is>
          <t>Choosing a type</t>
        </is>
      </c>
    </row>
    <row r="22" ht="50" customHeight="1">
      <c r="A22" s="60" t="inlineStr">
        <is>
          <t>Pick the type that describes the mistake, not the symptom. A crash caused by a missing null check is Assignment, not System. If a defect genuinely spans two types, choose the earlier one in the list - that is where the fix belongs. Type 150 is for a defect that reached the repository inside generated code: use it alongside the From AI code column in LOGD, because together they show whether the review rule is working.</t>
        </is>
      </c>
    </row>
  </sheetData>
  <mergeCells count="4">
    <mergeCell ref="A22:D22"/>
    <mergeCell ref="A1:D1"/>
    <mergeCell ref="A21:D21"/>
    <mergeCell ref="A2:D2"/>
  </mergeCell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worksheet>
</file>

<file path=xl/worksheets/sheet33.xml><?xml version="1.0" encoding="utf-8"?>
<worksheet xmlns="http://schemas.openxmlformats.org/spreadsheetml/2006/main">
  <sheetPr>
    <tabColor rgb="006B7A7E"/>
    <outlinePr summaryBelow="1" summaryRight="1"/>
    <pageSetUpPr fitToPage="1"/>
  </sheetPr>
  <dimension ref="A1:E34"/>
  <sheetViews>
    <sheetView showGridLines="0" workbookViewId="0">
      <selection activeCell="A1" sqref="A1"/>
    </sheetView>
  </sheetViews>
  <sheetFormatPr baseColWidth="8" defaultRowHeight="15" outlineLevelCol="0"/>
  <cols>
    <col width="4" customWidth="1" min="1" max="1"/>
    <col width="30" customWidth="1" min="2" max="2"/>
    <col width="90" customWidth="1" min="3" max="3"/>
    <col width="46" customWidth="1" min="4" max="4"/>
    <col width="3" customWidth="1" min="5" max="5"/>
  </cols>
  <sheetData>
    <row r="1" ht="30" customHeight="1">
      <c r="A1" s="1" t="inlineStr">
        <is>
          <t>Planning Guidelines</t>
        </is>
      </c>
    </row>
    <row r="2" ht="16" customHeight="1">
      <c r="A2" s="2" t="inlineStr">
        <is>
          <t>Use these only until you have your own data. After the first cycle, your own numbers beat any guideline.</t>
        </is>
      </c>
    </row>
    <row r="4" ht="19" customHeight="1">
      <c r="A4" s="5" t="inlineStr">
        <is>
          <t>Before you have any data</t>
        </is>
      </c>
    </row>
    <row r="5" ht="35" customHeight="1">
      <c r="B5" s="3" t="inlineStr">
        <is>
          <t>The first plan is a guess</t>
        </is>
      </c>
      <c r="C5" s="4" t="inlineStr">
        <is>
          <t>Your first cycle has no history, so the estimates below are a starting point, not a standard. Record what actually happens and the second plan will be built on your own numbers instead of someone else's.</t>
        </is>
      </c>
    </row>
    <row r="6" ht="46.5" customHeight="1">
      <c r="B6" s="3" t="inlineStr">
        <is>
          <t>Effort per member</t>
        </is>
      </c>
      <c r="C6" s="4" t="inlineStr">
        <is>
          <t>Budget about 10 hours per member per week across a 13-week semester. For a five-person team that is roughly 600 team-hours for the whole project. If your plan totals far more than that, you are planning work the team cannot do.</t>
        </is>
      </c>
    </row>
    <row r="7" ht="35" customHeight="1">
      <c r="B7" s="3" t="inlineStr">
        <is>
          <t>Task size</t>
        </is>
      </c>
      <c r="C7" s="4" t="inlineStr">
        <is>
          <t>Break work into tasks of 2 to 10 hours. Anything larger hides its own progress - you cannot tell a 20-hour task that is half done from one that has barely started.</t>
        </is>
      </c>
    </row>
    <row r="9" ht="19" customHeight="1">
      <c r="A9" s="5" t="inlineStr">
        <is>
          <t>Splitting the effort across phases</t>
        </is>
      </c>
    </row>
    <row r="10" ht="46.5" customHeight="1">
      <c r="B10" s="3" t="inlineStr">
        <is>
          <t>Rough shape of a cycle</t>
        </is>
      </c>
      <c r="C10" s="4" t="inlineStr">
        <is>
          <t>Requirements and design together should be about a third of the effort, implementation about a third, and test, documentation and management the rest. A plan that spends 70% on coding is a plan that will spend its last three weeks in test.</t>
        </is>
      </c>
    </row>
    <row r="11" ht="18" customHeight="1">
      <c r="A11" s="6" t="inlineStr"/>
      <c r="B11" s="6" t="inlineStr">
        <is>
          <t>Phase group</t>
        </is>
      </c>
      <c r="C11" s="6" t="inlineStr">
        <is>
          <t>Share of cycle effort</t>
        </is>
      </c>
      <c r="D11" s="6" t="inlineStr">
        <is>
          <t>Guide</t>
        </is>
      </c>
    </row>
    <row r="12">
      <c r="B12" s="43" t="inlineStr">
        <is>
          <t>Launch, strategy and planning</t>
        </is>
      </c>
      <c r="C12" s="48" t="inlineStr">
        <is>
          <t>8%</t>
        </is>
      </c>
      <c r="D12" s="117" t="inlineStr">
        <is>
          <t>STRAT + PLAN + MGMT</t>
        </is>
      </c>
    </row>
    <row r="13">
      <c r="B13" s="43" t="inlineStr">
        <is>
          <t>Requirements and inspection</t>
        </is>
      </c>
      <c r="C13" s="48" t="inlineStr">
        <is>
          <t>14%</t>
        </is>
      </c>
      <c r="D13" s="117" t="inlineStr">
        <is>
          <t>REQ + REQINSP + STP</t>
        </is>
      </c>
    </row>
    <row r="14">
      <c r="B14" s="43" t="inlineStr">
        <is>
          <t>Architecture and inspection</t>
        </is>
      </c>
      <c r="C14" s="48" t="inlineStr">
        <is>
          <t>12%</t>
        </is>
      </c>
      <c r="D14" s="117" t="inlineStr">
        <is>
          <t>HLD + HLDINSP + ITP</t>
        </is>
      </c>
    </row>
    <row r="15">
      <c r="B15" s="43" t="inlineStr">
        <is>
          <t>Detailed design and review</t>
        </is>
      </c>
      <c r="C15" s="48" t="inlineStr">
        <is>
          <t>16%</t>
        </is>
      </c>
      <c r="D15" s="117" t="inlineStr">
        <is>
          <t>DLD + DLDR + DLDINSP</t>
        </is>
      </c>
    </row>
    <row r="16">
      <c r="B16" s="43" t="inlineStr">
        <is>
          <t>Implementation</t>
        </is>
      </c>
      <c r="C16" s="48" t="inlineStr">
        <is>
          <t>22%</t>
        </is>
      </c>
      <c r="D16" s="117" t="inlineStr">
        <is>
          <t>CODE + AIGEN</t>
        </is>
      </c>
    </row>
    <row r="17">
      <c r="B17" s="43" t="inlineStr">
        <is>
          <t>Review and inspection of code</t>
        </is>
      </c>
      <c r="C17" s="48" t="inlineStr">
        <is>
          <t>10%</t>
        </is>
      </c>
      <c r="D17" s="117" t="inlineStr">
        <is>
          <t>CR + CODEINSP</t>
        </is>
      </c>
    </row>
    <row r="18">
      <c r="B18" s="43" t="inlineStr">
        <is>
          <t>Test development and testing</t>
        </is>
      </c>
      <c r="C18" s="48" t="inlineStr">
        <is>
          <t>13%</t>
        </is>
      </c>
      <c r="D18" s="117" t="inlineStr">
        <is>
          <t>TD + BUILD + UT + WT + IT + ST</t>
        </is>
      </c>
    </row>
    <row r="19">
      <c r="B19" s="43" t="inlineStr">
        <is>
          <t>CI/CD and release</t>
        </is>
      </c>
      <c r="C19" s="48" t="inlineStr">
        <is>
          <t>2%</t>
        </is>
      </c>
      <c r="D19" s="117" t="inlineStr">
        <is>
          <t>CICD</t>
        </is>
      </c>
    </row>
    <row r="20">
      <c r="B20" s="43" t="inlineStr">
        <is>
          <t>Documentation and postmortem</t>
        </is>
      </c>
      <c r="C20" s="48" t="inlineStr">
        <is>
          <t>3%</t>
        </is>
      </c>
      <c r="D20" s="117" t="inlineStr">
        <is>
          <t>DOC + PM</t>
        </is>
      </c>
    </row>
    <row r="22" ht="19" customHeight="1">
      <c r="A22" s="5" t="inlineStr">
        <is>
          <t>Rates to plan against</t>
        </is>
      </c>
    </row>
    <row r="23" ht="18" customHeight="1">
      <c r="A23" s="6" t="inlineStr"/>
      <c r="B23" s="6" t="inlineStr">
        <is>
          <t>Activity</t>
        </is>
      </c>
      <c r="C23" s="6" t="inlineStr">
        <is>
          <t>Planning rate</t>
        </is>
      </c>
      <c r="D23" s="6" t="inlineStr">
        <is>
          <t>Why this number</t>
        </is>
      </c>
    </row>
    <row r="24">
      <c r="B24" s="43" t="inlineStr">
        <is>
          <t>Writing requirements</t>
        </is>
      </c>
      <c r="C24" s="48" t="inlineStr">
        <is>
          <t>2 - 4 SRS pages per hour</t>
        </is>
      </c>
      <c r="D24" s="117" t="inlineStr">
        <is>
          <t>Includes the thinking, not just the typing.</t>
        </is>
      </c>
    </row>
    <row r="25">
      <c r="B25" s="43" t="inlineStr">
        <is>
          <t>Requirements inspection</t>
        </is>
      </c>
      <c r="C25" s="48" t="inlineStr">
        <is>
          <t>no faster than 10 pages per hour</t>
        </is>
      </c>
      <c r="D25" s="117" t="inlineStr">
        <is>
          <t>Faster than this and you stop finding defects.</t>
        </is>
      </c>
    </row>
    <row r="26">
      <c r="B26" s="43" t="inlineStr">
        <is>
          <t>Writing a design</t>
        </is>
      </c>
      <c r="C26" s="48" t="inlineStr">
        <is>
          <t>3 - 5 SDD pages per hour</t>
        </is>
      </c>
      <c r="D26" s="117" t="inlineStr">
        <is>
          <t>Diagrams take longer than prose.</t>
        </is>
      </c>
    </row>
    <row r="27">
      <c r="B27" s="43" t="inlineStr">
        <is>
          <t>Design inspection</t>
        </is>
      </c>
      <c r="C27" s="48" t="inlineStr">
        <is>
          <t>no faster than 10 pages per hour</t>
        </is>
      </c>
      <c r="D27" s="117" t="inlineStr">
        <is>
          <t>Same reason as the SRS.</t>
        </is>
      </c>
    </row>
    <row r="28">
      <c r="B28" s="43" t="inlineStr">
        <is>
          <t>Writing Dart by hand</t>
        </is>
      </c>
      <c r="C28" s="48" t="inlineStr">
        <is>
          <t>20 - 40 LOC per hour</t>
        </is>
      </c>
      <c r="D28" s="117" t="inlineStr">
        <is>
          <t>New and changed lines, including the thinking.</t>
        </is>
      </c>
    </row>
    <row r="29">
      <c r="B29" s="43" t="inlineStr">
        <is>
          <t>AI-assisted generation</t>
        </is>
      </c>
      <c r="C29" s="48" t="inlineStr">
        <is>
          <t>60 - 120 LOC per hour kept</t>
        </is>
      </c>
      <c r="D29" s="117" t="inlineStr">
        <is>
          <t>Faster to produce, but the review is the real cost.</t>
        </is>
      </c>
    </row>
    <row r="30">
      <c r="B30" s="43" t="inlineStr">
        <is>
          <t>Design or code review</t>
        </is>
      </c>
      <c r="C30" s="48" t="inlineStr">
        <is>
          <t>no faster than 200 LOC per hour</t>
        </is>
      </c>
      <c r="D30" s="117" t="inlineStr">
        <is>
          <t>The single most reliable number in TSP.</t>
        </is>
      </c>
    </row>
    <row r="31">
      <c r="B31" s="43" t="inlineStr">
        <is>
          <t>Writing test cases</t>
        </is>
      </c>
      <c r="C31" s="48" t="inlineStr">
        <is>
          <t>4 - 8 cases per hour</t>
        </is>
      </c>
      <c r="D31" s="117" t="inlineStr">
        <is>
          <t>A case is a scenario, not a line of code.</t>
        </is>
      </c>
    </row>
    <row r="33" ht="19" customHeight="1">
      <c r="A33" s="5" t="inlineStr">
        <is>
          <t>A warning about the AI rate</t>
        </is>
      </c>
    </row>
    <row r="34" ht="46" customHeight="1">
      <c r="B34" s="118" t="inlineStr">
        <is>
          <t>Generated code arrives faster than written code, and teams plan as though that speed carries through to delivery. It does not. The generator moves the work from writing to reviewing, and a team that plans for the first saving without planning for the second cost finds its defects in system test instead of in review. Plan AIGEN at a high rate and plan CR high to match it.</t>
        </is>
      </c>
    </row>
  </sheetData>
  <mergeCells count="7">
    <mergeCell ref="A4:E4"/>
    <mergeCell ref="A2:E2"/>
    <mergeCell ref="A33:E33"/>
    <mergeCell ref="A1:E1"/>
    <mergeCell ref="A22:E22"/>
    <mergeCell ref="A9:E9"/>
    <mergeCell ref="B34:D34"/>
  </mergeCell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worksheet>
</file>

<file path=xl/worksheets/sheet34.xml><?xml version="1.0" encoding="utf-8"?>
<worksheet xmlns="http://schemas.openxmlformats.org/spreadsheetml/2006/main">
  <sheetPr>
    <tabColor rgb="006B7A7E"/>
    <outlinePr summaryBelow="1" summaryRight="1"/>
    <pageSetUpPr fitToPage="1"/>
  </sheetPr>
  <dimension ref="A1:E24"/>
  <sheetViews>
    <sheetView showGridLines="0" workbookViewId="0">
      <selection activeCell="A1" sqref="A1"/>
    </sheetView>
  </sheetViews>
  <sheetFormatPr baseColWidth="8" defaultRowHeight="15" outlineLevelCol="0"/>
  <cols>
    <col width="4" customWidth="1" min="1" max="1"/>
    <col width="34" customWidth="1" min="2" max="2"/>
    <col width="22" customWidth="1" min="3" max="3"/>
    <col width="74" customWidth="1" min="4" max="4"/>
    <col width="3" customWidth="1" min="5" max="5"/>
  </cols>
  <sheetData>
    <row r="1" ht="30" customHeight="1">
      <c r="A1" s="1" t="inlineStr">
        <is>
          <t>Quality Guidelines</t>
        </is>
      </c>
    </row>
    <row r="2" ht="16" customHeight="1">
      <c r="A2" s="2" t="inlineStr">
        <is>
          <t>What good looks like on each SUMQ measure, and what it means when yours is below it.</t>
        </is>
      </c>
    </row>
    <row r="4" ht="19" customHeight="1">
      <c r="A4" s="5" t="inlineStr">
        <is>
          <t>The idea behind all of it</t>
        </is>
      </c>
    </row>
    <row r="5" ht="46" customHeight="1">
      <c r="B5" s="119" t="inlineStr">
        <is>
          <t>A defect costs more the later you find it. One caught in a design review costs minutes; the same defect caught in system test costs hours; caught by the client it costs their trust. Every measure on SUMQ exists to answer one question: are you finding your defects early, or is the machine finding them for you late?</t>
        </is>
      </c>
    </row>
    <row r="7" ht="18" customHeight="1">
      <c r="A7" s="6" t="inlineStr"/>
      <c r="B7" s="6" t="inlineStr">
        <is>
          <t>Measure</t>
        </is>
      </c>
      <c r="C7" s="6" t="inlineStr">
        <is>
          <t>Aim for</t>
        </is>
      </c>
      <c r="D7" s="6" t="inlineStr">
        <is>
          <t>If yours is below it</t>
        </is>
      </c>
    </row>
    <row r="8" ht="35" customHeight="1">
      <c r="B8" s="13" t="inlineStr">
        <is>
          <t>Review rate</t>
        </is>
      </c>
      <c r="C8" s="120" t="inlineStr">
        <is>
          <t>&lt;= 200 LOC/hour</t>
        </is>
      </c>
      <c r="D8" s="57" t="inlineStr">
        <is>
          <t>You read too fast to find anything. The rate, not the hours, is what predicts how many defects a review catches - halve the rate before you add more reviewers.</t>
        </is>
      </c>
    </row>
    <row r="9" ht="35" customHeight="1">
      <c r="B9" s="13" t="inlineStr">
        <is>
          <t>Inspection rate</t>
        </is>
      </c>
      <c r="C9" s="120" t="inlineStr">
        <is>
          <t>&lt;= 10 pages/hour</t>
        </is>
      </c>
      <c r="D9" s="57" t="inlineStr">
        <is>
          <t>Same problem on documents. An SRS inspection at 30 pages an hour finds typos, not missing requirements.</t>
        </is>
      </c>
    </row>
    <row r="10" ht="35" customHeight="1">
      <c r="B10" s="13" t="inlineStr">
        <is>
          <t>A/FR  (appraisal / failure)</t>
        </is>
      </c>
      <c r="C10" s="120" t="inlineStr">
        <is>
          <t>&gt;= 2.0</t>
        </is>
      </c>
      <c r="D10" s="57" t="inlineStr">
        <is>
          <t>You are spending more time fixing in test than reviewing before it. This is the earliest reliable warning that system test will hurt.</t>
        </is>
      </c>
    </row>
    <row r="11" ht="35" customHeight="1">
      <c r="B11" s="13" t="inlineStr">
        <is>
          <t>Design review / design time</t>
        </is>
      </c>
      <c r="C11" s="120" t="inlineStr">
        <is>
          <t>&gt;= 0.5</t>
        </is>
      </c>
      <c r="D11" s="57" t="inlineStr">
        <is>
          <t>Designs are going to code unreviewed. Defects injected in design are the expensive ones - they survive until integration.</t>
        </is>
      </c>
    </row>
    <row r="12" ht="35" customHeight="1">
      <c r="B12" s="13" t="inlineStr">
        <is>
          <t>Code review / code time</t>
        </is>
      </c>
      <c r="C12" s="120" t="inlineStr">
        <is>
          <t>&gt;= 0.5</t>
        </is>
      </c>
      <c r="D12" s="57" t="inlineStr">
        <is>
          <t>Code is being merged on a glance. With AI-generated code in the repository this matters more, not less.</t>
        </is>
      </c>
    </row>
    <row r="13" ht="26" customHeight="1">
      <c r="B13" s="13" t="inlineStr">
        <is>
          <t>Design time / code time</t>
        </is>
      </c>
      <c r="C13" s="120" t="inlineStr">
        <is>
          <t>&gt;= 1.0</t>
        </is>
      </c>
      <c r="D13" s="57" t="inlineStr">
        <is>
          <t>The team is typing before it is thinking. Expect rework.</t>
        </is>
      </c>
    </row>
    <row r="14" ht="35" customHeight="1">
      <c r="B14" s="13" t="inlineStr">
        <is>
          <t>Yield before unit test</t>
        </is>
      </c>
      <c r="C14" s="120" t="inlineStr">
        <is>
          <t>&gt;= 70%</t>
        </is>
      </c>
      <c r="D14" s="57" t="inlineStr">
        <is>
          <t>Most of your defects are reaching test. Each one there costs several times what it would have cost in review.</t>
        </is>
      </c>
    </row>
    <row r="15" ht="35" customHeight="1">
      <c r="B15" s="13" t="inlineStr">
        <is>
          <t>Yield before system test</t>
        </is>
      </c>
      <c r="C15" s="120" t="inlineStr">
        <is>
          <t>&gt;= 85%</t>
        </is>
      </c>
      <c r="D15" s="57" t="inlineStr">
        <is>
          <t>Integration will be slow and unpredictable, because you are still finding unit-level defects there.</t>
        </is>
      </c>
    </row>
    <row r="16" ht="35" customHeight="1">
      <c r="B16" s="13" t="inlineStr">
        <is>
          <t>Yield before acceptance test</t>
        </is>
      </c>
      <c r="C16" s="120" t="inlineStr">
        <is>
          <t>&gt;= 95%</t>
        </is>
      </c>
      <c r="D16" s="57" t="inlineStr">
        <is>
          <t>The client is about to become your tester. This is the number that decides whether handover goes well.</t>
        </is>
      </c>
    </row>
    <row r="17" ht="35" customHeight="1">
      <c r="B17" s="13" t="inlineStr">
        <is>
          <t>Defects / KLOC in test</t>
        </is>
      </c>
      <c r="C17" s="120" t="inlineStr">
        <is>
          <t>falling each cycle</t>
        </is>
      </c>
      <c r="D17" s="57" t="inlineStr">
        <is>
          <t>The absolute number matters less than the direction. A team whose test density rises cycle over cycle is reviewing less, not writing better.</t>
        </is>
      </c>
    </row>
    <row r="18" ht="35" customHeight="1">
      <c r="B18" s="13" t="inlineStr">
        <is>
          <t>Defects found in acceptance</t>
        </is>
      </c>
      <c r="C18" s="120" t="inlineStr">
        <is>
          <t>0 critical</t>
        </is>
      </c>
      <c r="D18" s="57" t="inlineStr">
        <is>
          <t>Anything critical here was missed by every check you have. Work backwards and find which one.</t>
        </is>
      </c>
    </row>
    <row r="19" ht="26" customHeight="1">
      <c r="B19" s="13" t="inlineStr">
        <is>
          <t>Code coverage</t>
        </is>
      </c>
      <c r="C19" s="120" t="inlineStr">
        <is>
          <t>&gt;= 60% on logic</t>
        </is>
      </c>
      <c r="D19" s="57" t="inlineStr">
        <is>
          <t>Untested logic is not working logic, it is logic nobody has contradicted yet.</t>
        </is>
      </c>
    </row>
    <row r="20" ht="35" customHeight="1">
      <c r="B20" s="13" t="inlineStr">
        <is>
          <t>Test pass rate</t>
        </is>
      </c>
      <c r="C20" s="120" t="inlineStr">
        <is>
          <t>&gt;= 95%</t>
        </is>
      </c>
      <c r="D20" s="57" t="inlineStr">
        <is>
          <t>A suite that is often red stops being read. Fix or delete failing tests - never ignore them.</t>
        </is>
      </c>
    </row>
    <row r="21" ht="35" customHeight="1">
      <c r="B21" s="13" t="inlineStr">
        <is>
          <t>AI entries without a reviewer</t>
        </is>
      </c>
      <c r="C21" s="120" t="inlineStr">
        <is>
          <t>0</t>
        </is>
      </c>
      <c r="D21" s="57" t="inlineStr">
        <is>
          <t>Every one of these is generated code merged on trust. This is the single rule most worth enforcing.</t>
        </is>
      </c>
    </row>
    <row r="23" ht="19" customHeight="1">
      <c r="A23" s="5" t="inlineStr">
        <is>
          <t>The order to fix things in</t>
        </is>
      </c>
    </row>
    <row r="24" ht="50" customHeight="1">
      <c r="B24" s="60" t="inlineStr">
        <is>
          <t>If several measures are red, fix them in this order: review rate first, because it is the cheapest change and it moves everything downstream; then design review time, because design defects are the costly ones; then coverage. Do not start by adding testers - testing finds defects later and more expensively than reviewing does, and a team that responds to poor quality by testing harder is paying the highest price available for the same information.</t>
        </is>
      </c>
    </row>
  </sheetData>
  <mergeCells count="6">
    <mergeCell ref="A4:E4"/>
    <mergeCell ref="B5:D5"/>
    <mergeCell ref="A2:E2"/>
    <mergeCell ref="A1:E1"/>
    <mergeCell ref="A23:E23"/>
    <mergeCell ref="B24:D24"/>
  </mergeCell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worksheet>
</file>

<file path=xl/worksheets/sheet35.xml><?xml version="1.0" encoding="utf-8"?>
<worksheet xmlns="http://schemas.openxmlformats.org/spreadsheetml/2006/main">
  <sheetPr>
    <tabColor rgb="006B7A7E"/>
    <outlinePr summaryBelow="1" summaryRight="1"/>
    <pageSetUpPr fitToPage="1"/>
  </sheetPr>
  <dimension ref="A1:E13"/>
  <sheetViews>
    <sheetView showGridLines="0" workbookViewId="0">
      <selection activeCell="A1" sqref="A1"/>
    </sheetView>
  </sheetViews>
  <sheetFormatPr baseColWidth="8" defaultRowHeight="15" outlineLevelCol="0"/>
  <cols>
    <col width="6" customWidth="1" min="1" max="1"/>
    <col width="32" customWidth="1" min="2" max="2"/>
    <col width="12" customWidth="1" min="3" max="3"/>
    <col width="58" customWidth="1" min="4" max="4"/>
    <col width="16" customWidth="1" min="5" max="5"/>
  </cols>
  <sheetData>
    <row r="1" ht="30" customHeight="1">
      <c r="A1" s="1" t="inlineStr">
        <is>
          <t>Quality Profile Parameters</t>
        </is>
      </c>
    </row>
    <row r="2" ht="16" customHeight="1">
      <c r="A2" s="2" t="inlineStr">
        <is>
          <t>The five targets behind the Quality Profile chart. Change them only if your instructor says so.</t>
        </is>
      </c>
    </row>
    <row r="5" ht="22" customHeight="1">
      <c r="A5" s="6" t="inlineStr">
        <is>
          <t>#</t>
        </is>
      </c>
      <c r="B5" s="6" t="inlineStr">
        <is>
          <t>Parameter</t>
        </is>
      </c>
      <c r="C5" s="6" t="inlineStr">
        <is>
          <t>Target</t>
        </is>
      </c>
      <c r="D5" s="6" t="inlineStr">
        <is>
          <t>What it means</t>
        </is>
      </c>
      <c r="E5" s="6" t="inlineStr">
        <is>
          <t>Direction</t>
        </is>
      </c>
    </row>
    <row r="6" ht="30" customHeight="1">
      <c r="A6" s="61" t="n">
        <v>1</v>
      </c>
      <c r="B6" s="112" t="inlineStr">
        <is>
          <t>Design / code time</t>
        </is>
      </c>
      <c r="C6" s="121" t="n">
        <v>1</v>
      </c>
      <c r="D6" s="109" t="inlineStr">
        <is>
          <t>Time in detailed design as a multiple of time spent coding. TSP says good work spends at least as long designing as typing.</t>
        </is>
      </c>
      <c r="E6" s="91" t="inlineStr">
        <is>
          <t>higher is better</t>
        </is>
      </c>
    </row>
    <row r="7" ht="30" customHeight="1">
      <c r="A7" s="61" t="n">
        <v>2</v>
      </c>
      <c r="B7" s="112" t="inlineStr">
        <is>
          <t>Design review time</t>
        </is>
      </c>
      <c r="C7" s="121" t="n">
        <v>0.5</v>
      </c>
      <c r="D7" s="109" t="inlineStr">
        <is>
          <t>Time reviewing your own design as a fraction of design time.</t>
        </is>
      </c>
      <c r="E7" s="91" t="inlineStr">
        <is>
          <t>higher is better</t>
        </is>
      </c>
    </row>
    <row r="8" ht="30" customHeight="1">
      <c r="A8" s="61" t="n">
        <v>3</v>
      </c>
      <c r="B8" s="112" t="inlineStr">
        <is>
          <t>Code review time</t>
        </is>
      </c>
      <c r="C8" s="121" t="n">
        <v>0.5</v>
      </c>
      <c r="D8" s="109" t="inlineStr">
        <is>
          <t>Time in code and pull-request review as a fraction of coding time.</t>
        </is>
      </c>
      <c r="E8" s="91" t="inlineStr">
        <is>
          <t>higher is better</t>
        </is>
      </c>
    </row>
    <row r="9" ht="30" customHeight="1">
      <c r="A9" s="61" t="n">
        <v>4</v>
      </c>
      <c r="B9" s="112" t="inlineStr">
        <is>
          <t>Build defects / KLOC</t>
        </is>
      </c>
      <c r="C9" s="121" t="n">
        <v>10</v>
      </c>
      <c r="D9" s="109" t="inlineStr">
        <is>
          <t>Defects found by flutter analyze and the build, per thousand new and changed lines.</t>
        </is>
      </c>
      <c r="E9" s="91" t="inlineStr">
        <is>
          <t>lower is better</t>
        </is>
      </c>
    </row>
    <row r="10" ht="30" customHeight="1">
      <c r="A10" s="61" t="n">
        <v>5</v>
      </c>
      <c r="B10" s="112" t="inlineStr">
        <is>
          <t>Unit test defects / KLOC</t>
        </is>
      </c>
      <c r="C10" s="121" t="n">
        <v>5</v>
      </c>
      <c r="D10" s="109" t="inlineStr">
        <is>
          <t>Defects found in unit test per thousand new and changed lines.</t>
        </is>
      </c>
      <c r="E10" s="91" t="inlineStr">
        <is>
          <t>lower is better</t>
        </is>
      </c>
    </row>
    <row r="12" ht="19" customHeight="1">
      <c r="A12" s="5" t="inlineStr">
        <is>
          <t>How the profile is scored</t>
        </is>
      </c>
    </row>
    <row r="13" ht="48" customHeight="1">
      <c r="A13" s="60" t="inlineStr">
        <is>
          <t>Each axis is scored from 0 to 1, where 1 means the target was met. For the first three, the score is your value divided by the target, capped at 1. For the two defect densities it is the target divided by your value, capped at 1, because fewer defects is better. A profile that reaches the edge on all five axes is a team reviewing enough to find its own defects before the machine does.</t>
        </is>
      </c>
    </row>
  </sheetData>
  <mergeCells count="4">
    <mergeCell ref="A2:E2"/>
    <mergeCell ref="A13:E13"/>
    <mergeCell ref="A1:E1"/>
    <mergeCell ref="A12:E12"/>
  </mergeCells>
  <printOptions horizontalCentered="1"/>
  <pageMargins left="0.75" right="0.75" top="1" bottom="1" header="0.5" footer="0.5"/>
  <pageSetup orientation="portrait" paperSize="9" fitToHeight="1" fitToWidth="1"/>
  <headerFooter>
    <oddHeader/>
    <oddFooter>&amp;R&amp;8 TMA3084 TSPi Workbook v3.0  -  &amp;P of &amp;N</oddFooter>
    <evenHeader/>
    <evenFooter/>
    <firstHeader/>
    <firstFooter/>
  </headerFooter>
</worksheet>
</file>

<file path=xl/worksheets/sheet36.xml><?xml version="1.0" encoding="utf-8"?>
<worksheet xmlns="http://schemas.openxmlformats.org/spreadsheetml/2006/main">
  <sheetPr>
    <tabColor rgb="006B7A7E"/>
    <outlinePr summaryBelow="1" summaryRight="1"/>
    <pageSetUpPr fitToPage="1"/>
  </sheetPr>
  <dimension ref="A1:N87"/>
  <sheetViews>
    <sheetView showGridLines="0" workbookViewId="0">
      <selection activeCell="A1" sqref="A1"/>
    </sheetView>
  </sheetViews>
  <sheetFormatPr baseColWidth="8" defaultRowHeight="15" outlineLevelCol="0"/>
  <cols>
    <col width="2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ht="30" customHeight="1">
      <c r="A1" s="1" t="inlineStr">
        <is>
          <t>Chart Data</t>
        </is>
      </c>
    </row>
    <row r="2" ht="16" customHeight="1">
      <c r="A2" s="2" t="inlineStr">
        <is>
          <t>Every chart on PROJECT and CHARTS reads from here. Calculated - never type in this sheet.</t>
        </is>
      </c>
    </row>
    <row r="4">
      <c r="A4" s="23" t="inlineStr">
        <is>
          <t>Current week (last week with logged hours)</t>
        </is>
      </c>
      <c r="D4" s="59">
        <f>IFERROR(MAX(3,SUMPRODUCT(MAX((SCHEDULE!$E$8:$E$20&gt;0)*SCHEDULE!$A$8:$A$20))),3)</f>
        <v/>
      </c>
      <c r="E4" s="23" t="inlineStr">
        <is>
          <t>Weeks worked</t>
        </is>
      </c>
      <c r="G4" s="59">
        <f>MAX(1,COUNTIF(SCHEDULE!$E$8:$E$20,"&gt;0"))</f>
        <v/>
      </c>
      <c r="H4" s="23" t="inlineStr">
        <is>
          <t>EV earned to date</t>
        </is>
      </c>
      <c r="K4" s="139">
        <f>IFERROR(INDEX($I$7:$I$19,MATCH($D$4,$A$7:$A$19,0)),0)</f>
        <v/>
      </c>
      <c r="L4" s="23" t="inlineStr">
        <is>
          <t>EV rate / week</t>
        </is>
      </c>
      <c r="N4" s="139">
        <f>IFERROR($K$4/$G$4,0)</f>
        <v/>
      </c>
    </row>
    <row r="5" ht="19" customHeight="1">
      <c r="A5" s="5" t="inlineStr">
        <is>
          <t>A.  Weekly series  (earned value and hours)</t>
        </is>
      </c>
    </row>
    <row r="6" ht="28" customHeight="1">
      <c r="A6" s="6" t="inlineStr">
        <is>
          <t>Week</t>
        </is>
      </c>
      <c r="B6" s="6" t="inlineStr">
        <is>
          <t>Plan hrs</t>
        </is>
      </c>
      <c r="C6" s="6" t="inlineStr">
        <is>
          <t>Cum plan hrs</t>
        </is>
      </c>
      <c r="D6" s="6" t="inlineStr">
        <is>
          <t>Actual hrs</t>
        </is>
      </c>
      <c r="E6" s="6" t="inlineStr">
        <is>
          <t>Cum actual hrs</t>
        </is>
      </c>
      <c r="F6" s="6" t="inlineStr">
        <is>
          <t>Plan value</t>
        </is>
      </c>
      <c r="G6" s="6" t="inlineStr">
        <is>
          <t>Cum planned value</t>
        </is>
      </c>
      <c r="H6" s="6" t="inlineStr">
        <is>
          <t>Earned value</t>
        </is>
      </c>
      <c r="I6" s="6" t="inlineStr">
        <is>
          <t>Cum earned value</t>
        </is>
      </c>
      <c r="J6" s="6" t="inlineStr">
        <is>
          <t>Cum predicted EV</t>
        </is>
      </c>
      <c r="K6" s="6" t="inlineStr"/>
      <c r="L6" s="6" t="inlineStr"/>
      <c r="M6" s="6" t="inlineStr"/>
      <c r="N6" s="6" t="inlineStr"/>
    </row>
    <row r="7">
      <c r="A7" s="71" t="n">
        <v>3</v>
      </c>
      <c r="B7" s="134">
        <f>IFERROR(N(SCHEDULE!$C8),0)</f>
        <v/>
      </c>
      <c r="C7" s="134">
        <f>IFERROR(N(SCHEDULE!$D8),0)</f>
        <v/>
      </c>
      <c r="D7" s="134">
        <f>IFERROR(N(SCHEDULE!$E8),0)</f>
        <v/>
      </c>
      <c r="E7" s="134">
        <f>IFERROR(N(SCHEDULE!$F8),0)</f>
        <v/>
      </c>
      <c r="F7" s="135">
        <f>IFERROR(N(SCHEDULE!$G8),0)</f>
        <v/>
      </c>
      <c r="G7" s="135">
        <f>IFERROR(N(SCHEDULE!$H8),0)</f>
        <v/>
      </c>
      <c r="H7" s="135">
        <f>IFERROR(N(SCHEDULE!$I8),0)</f>
        <v/>
      </c>
      <c r="I7" s="135">
        <f>IFERROR(N(SCHEDULE!$J8),0)</f>
        <v/>
      </c>
      <c r="J7" s="135">
        <f>IF($A7&lt;=$D$4,$I7,MIN(1,$K$4+$N$4*($A7-$D$4)))</f>
        <v/>
      </c>
    </row>
    <row r="8">
      <c r="A8" s="71" t="n">
        <v>4</v>
      </c>
      <c r="B8" s="134">
        <f>IFERROR(N(SCHEDULE!$C9),0)</f>
        <v/>
      </c>
      <c r="C8" s="134">
        <f>IFERROR(N(SCHEDULE!$D9),0)</f>
        <v/>
      </c>
      <c r="D8" s="134">
        <f>IFERROR(N(SCHEDULE!$E9),0)</f>
        <v/>
      </c>
      <c r="E8" s="134">
        <f>IFERROR(N(SCHEDULE!$F9),0)</f>
        <v/>
      </c>
      <c r="F8" s="135">
        <f>IFERROR(N(SCHEDULE!$G9),0)</f>
        <v/>
      </c>
      <c r="G8" s="135">
        <f>IFERROR(N(SCHEDULE!$H9),0)</f>
        <v/>
      </c>
      <c r="H8" s="135">
        <f>IFERROR(N(SCHEDULE!$I9),0)</f>
        <v/>
      </c>
      <c r="I8" s="135">
        <f>IFERROR(N(SCHEDULE!$J9),0)</f>
        <v/>
      </c>
      <c r="J8" s="135">
        <f>IF($A8&lt;=$D$4,$I8,MIN(1,$K$4+$N$4*($A8-$D$4)))</f>
        <v/>
      </c>
    </row>
    <row r="9">
      <c r="A9" s="71" t="n">
        <v>5</v>
      </c>
      <c r="B9" s="134">
        <f>IFERROR(N(SCHEDULE!$C10),0)</f>
        <v/>
      </c>
      <c r="C9" s="134">
        <f>IFERROR(N(SCHEDULE!$D10),0)</f>
        <v/>
      </c>
      <c r="D9" s="134">
        <f>IFERROR(N(SCHEDULE!$E10),0)</f>
        <v/>
      </c>
      <c r="E9" s="134">
        <f>IFERROR(N(SCHEDULE!$F10),0)</f>
        <v/>
      </c>
      <c r="F9" s="135">
        <f>IFERROR(N(SCHEDULE!$G10),0)</f>
        <v/>
      </c>
      <c r="G9" s="135">
        <f>IFERROR(N(SCHEDULE!$H10),0)</f>
        <v/>
      </c>
      <c r="H9" s="135">
        <f>IFERROR(N(SCHEDULE!$I10),0)</f>
        <v/>
      </c>
      <c r="I9" s="135">
        <f>IFERROR(N(SCHEDULE!$J10),0)</f>
        <v/>
      </c>
      <c r="J9" s="135">
        <f>IF($A9&lt;=$D$4,$I9,MIN(1,$K$4+$N$4*($A9-$D$4)))</f>
        <v/>
      </c>
    </row>
    <row r="10">
      <c r="A10" s="71" t="n">
        <v>6</v>
      </c>
      <c r="B10" s="134">
        <f>IFERROR(N(SCHEDULE!$C11),0)</f>
        <v/>
      </c>
      <c r="C10" s="134">
        <f>IFERROR(N(SCHEDULE!$D11),0)</f>
        <v/>
      </c>
      <c r="D10" s="134">
        <f>IFERROR(N(SCHEDULE!$E11),0)</f>
        <v/>
      </c>
      <c r="E10" s="134">
        <f>IFERROR(N(SCHEDULE!$F11),0)</f>
        <v/>
      </c>
      <c r="F10" s="135">
        <f>IFERROR(N(SCHEDULE!$G11),0)</f>
        <v/>
      </c>
      <c r="G10" s="135">
        <f>IFERROR(N(SCHEDULE!$H11),0)</f>
        <v/>
      </c>
      <c r="H10" s="135">
        <f>IFERROR(N(SCHEDULE!$I11),0)</f>
        <v/>
      </c>
      <c r="I10" s="135">
        <f>IFERROR(N(SCHEDULE!$J11),0)</f>
        <v/>
      </c>
      <c r="J10" s="135">
        <f>IF($A10&lt;=$D$4,$I10,MIN(1,$K$4+$N$4*($A10-$D$4)))</f>
        <v/>
      </c>
    </row>
    <row r="11">
      <c r="A11" s="71" t="n">
        <v>7</v>
      </c>
      <c r="B11" s="134">
        <f>IFERROR(N(SCHEDULE!$C12),0)</f>
        <v/>
      </c>
      <c r="C11" s="134">
        <f>IFERROR(N(SCHEDULE!$D12),0)</f>
        <v/>
      </c>
      <c r="D11" s="134">
        <f>IFERROR(N(SCHEDULE!$E12),0)</f>
        <v/>
      </c>
      <c r="E11" s="134">
        <f>IFERROR(N(SCHEDULE!$F12),0)</f>
        <v/>
      </c>
      <c r="F11" s="135">
        <f>IFERROR(N(SCHEDULE!$G12),0)</f>
        <v/>
      </c>
      <c r="G11" s="135">
        <f>IFERROR(N(SCHEDULE!$H12),0)</f>
        <v/>
      </c>
      <c r="H11" s="135">
        <f>IFERROR(N(SCHEDULE!$I12),0)</f>
        <v/>
      </c>
      <c r="I11" s="135">
        <f>IFERROR(N(SCHEDULE!$J12),0)</f>
        <v/>
      </c>
      <c r="J11" s="135">
        <f>IF($A11&lt;=$D$4,$I11,MIN(1,$K$4+$N$4*($A11-$D$4)))</f>
        <v/>
      </c>
    </row>
    <row r="12">
      <c r="A12" s="71" t="n">
        <v>8</v>
      </c>
      <c r="B12" s="134">
        <f>IFERROR(N(SCHEDULE!$C13),0)</f>
        <v/>
      </c>
      <c r="C12" s="134">
        <f>IFERROR(N(SCHEDULE!$D13),0)</f>
        <v/>
      </c>
      <c r="D12" s="134">
        <f>IFERROR(N(SCHEDULE!$E13),0)</f>
        <v/>
      </c>
      <c r="E12" s="134">
        <f>IFERROR(N(SCHEDULE!$F13),0)</f>
        <v/>
      </c>
      <c r="F12" s="135">
        <f>IFERROR(N(SCHEDULE!$G13),0)</f>
        <v/>
      </c>
      <c r="G12" s="135">
        <f>IFERROR(N(SCHEDULE!$H13),0)</f>
        <v/>
      </c>
      <c r="H12" s="135">
        <f>IFERROR(N(SCHEDULE!$I13),0)</f>
        <v/>
      </c>
      <c r="I12" s="135">
        <f>IFERROR(N(SCHEDULE!$J13),0)</f>
        <v/>
      </c>
      <c r="J12" s="135">
        <f>IF($A12&lt;=$D$4,$I12,MIN(1,$K$4+$N$4*($A12-$D$4)))</f>
        <v/>
      </c>
    </row>
    <row r="13">
      <c r="A13" s="71" t="n">
        <v>9</v>
      </c>
      <c r="B13" s="134">
        <f>IFERROR(N(SCHEDULE!$C14),0)</f>
        <v/>
      </c>
      <c r="C13" s="134">
        <f>IFERROR(N(SCHEDULE!$D14),0)</f>
        <v/>
      </c>
      <c r="D13" s="134">
        <f>IFERROR(N(SCHEDULE!$E14),0)</f>
        <v/>
      </c>
      <c r="E13" s="134">
        <f>IFERROR(N(SCHEDULE!$F14),0)</f>
        <v/>
      </c>
      <c r="F13" s="135">
        <f>IFERROR(N(SCHEDULE!$G14),0)</f>
        <v/>
      </c>
      <c r="G13" s="135">
        <f>IFERROR(N(SCHEDULE!$H14),0)</f>
        <v/>
      </c>
      <c r="H13" s="135">
        <f>IFERROR(N(SCHEDULE!$I14),0)</f>
        <v/>
      </c>
      <c r="I13" s="135">
        <f>IFERROR(N(SCHEDULE!$J14),0)</f>
        <v/>
      </c>
      <c r="J13" s="135">
        <f>IF($A13&lt;=$D$4,$I13,MIN(1,$K$4+$N$4*($A13-$D$4)))</f>
        <v/>
      </c>
    </row>
    <row r="14">
      <c r="A14" s="71" t="n">
        <v>10</v>
      </c>
      <c r="B14" s="134">
        <f>IFERROR(N(SCHEDULE!$C15),0)</f>
        <v/>
      </c>
      <c r="C14" s="134">
        <f>IFERROR(N(SCHEDULE!$D15),0)</f>
        <v/>
      </c>
      <c r="D14" s="134">
        <f>IFERROR(N(SCHEDULE!$E15),0)</f>
        <v/>
      </c>
      <c r="E14" s="134">
        <f>IFERROR(N(SCHEDULE!$F15),0)</f>
        <v/>
      </c>
      <c r="F14" s="135">
        <f>IFERROR(N(SCHEDULE!$G15),0)</f>
        <v/>
      </c>
      <c r="G14" s="135">
        <f>IFERROR(N(SCHEDULE!$H15),0)</f>
        <v/>
      </c>
      <c r="H14" s="135">
        <f>IFERROR(N(SCHEDULE!$I15),0)</f>
        <v/>
      </c>
      <c r="I14" s="135">
        <f>IFERROR(N(SCHEDULE!$J15),0)</f>
        <v/>
      </c>
      <c r="J14" s="135">
        <f>IF($A14&lt;=$D$4,$I14,MIN(1,$K$4+$N$4*($A14-$D$4)))</f>
        <v/>
      </c>
    </row>
    <row r="15">
      <c r="A15" s="71" t="n">
        <v>11</v>
      </c>
      <c r="B15" s="134">
        <f>IFERROR(N(SCHEDULE!$C16),0)</f>
        <v/>
      </c>
      <c r="C15" s="134">
        <f>IFERROR(N(SCHEDULE!$D16),0)</f>
        <v/>
      </c>
      <c r="D15" s="134">
        <f>IFERROR(N(SCHEDULE!$E16),0)</f>
        <v/>
      </c>
      <c r="E15" s="134">
        <f>IFERROR(N(SCHEDULE!$F16),0)</f>
        <v/>
      </c>
      <c r="F15" s="135">
        <f>IFERROR(N(SCHEDULE!$G16),0)</f>
        <v/>
      </c>
      <c r="G15" s="135">
        <f>IFERROR(N(SCHEDULE!$H16),0)</f>
        <v/>
      </c>
      <c r="H15" s="135">
        <f>IFERROR(N(SCHEDULE!$I16),0)</f>
        <v/>
      </c>
      <c r="I15" s="135">
        <f>IFERROR(N(SCHEDULE!$J16),0)</f>
        <v/>
      </c>
      <c r="J15" s="135">
        <f>IF($A15&lt;=$D$4,$I15,MIN(1,$K$4+$N$4*($A15-$D$4)))</f>
        <v/>
      </c>
    </row>
    <row r="16">
      <c r="A16" s="71" t="n">
        <v>12</v>
      </c>
      <c r="B16" s="134">
        <f>IFERROR(N(SCHEDULE!$C17),0)</f>
        <v/>
      </c>
      <c r="C16" s="134">
        <f>IFERROR(N(SCHEDULE!$D17),0)</f>
        <v/>
      </c>
      <c r="D16" s="134">
        <f>IFERROR(N(SCHEDULE!$E17),0)</f>
        <v/>
      </c>
      <c r="E16" s="134">
        <f>IFERROR(N(SCHEDULE!$F17),0)</f>
        <v/>
      </c>
      <c r="F16" s="135">
        <f>IFERROR(N(SCHEDULE!$G17),0)</f>
        <v/>
      </c>
      <c r="G16" s="135">
        <f>IFERROR(N(SCHEDULE!$H17),0)</f>
        <v/>
      </c>
      <c r="H16" s="135">
        <f>IFERROR(N(SCHEDULE!$I17),0)</f>
        <v/>
      </c>
      <c r="I16" s="135">
        <f>IFERROR(N(SCHEDULE!$J17),0)</f>
        <v/>
      </c>
      <c r="J16" s="135">
        <f>IF($A16&lt;=$D$4,$I16,MIN(1,$K$4+$N$4*($A16-$D$4)))</f>
        <v/>
      </c>
    </row>
    <row r="17">
      <c r="A17" s="71" t="n">
        <v>13</v>
      </c>
      <c r="B17" s="134">
        <f>IFERROR(N(SCHEDULE!$C18),0)</f>
        <v/>
      </c>
      <c r="C17" s="134">
        <f>IFERROR(N(SCHEDULE!$D18),0)</f>
        <v/>
      </c>
      <c r="D17" s="134">
        <f>IFERROR(N(SCHEDULE!$E18),0)</f>
        <v/>
      </c>
      <c r="E17" s="134">
        <f>IFERROR(N(SCHEDULE!$F18),0)</f>
        <v/>
      </c>
      <c r="F17" s="135">
        <f>IFERROR(N(SCHEDULE!$G18),0)</f>
        <v/>
      </c>
      <c r="G17" s="135">
        <f>IFERROR(N(SCHEDULE!$H18),0)</f>
        <v/>
      </c>
      <c r="H17" s="135">
        <f>IFERROR(N(SCHEDULE!$I18),0)</f>
        <v/>
      </c>
      <c r="I17" s="135">
        <f>IFERROR(N(SCHEDULE!$J18),0)</f>
        <v/>
      </c>
      <c r="J17" s="135">
        <f>IF($A17&lt;=$D$4,$I17,MIN(1,$K$4+$N$4*($A17-$D$4)))</f>
        <v/>
      </c>
    </row>
    <row r="18">
      <c r="A18" s="71" t="n">
        <v>14</v>
      </c>
      <c r="B18" s="134">
        <f>IFERROR(N(SCHEDULE!$C19),0)</f>
        <v/>
      </c>
      <c r="C18" s="134">
        <f>IFERROR(N(SCHEDULE!$D19),0)</f>
        <v/>
      </c>
      <c r="D18" s="134">
        <f>IFERROR(N(SCHEDULE!$E19),0)</f>
        <v/>
      </c>
      <c r="E18" s="134">
        <f>IFERROR(N(SCHEDULE!$F19),0)</f>
        <v/>
      </c>
      <c r="F18" s="135">
        <f>IFERROR(N(SCHEDULE!$G19),0)</f>
        <v/>
      </c>
      <c r="G18" s="135">
        <f>IFERROR(N(SCHEDULE!$H19),0)</f>
        <v/>
      </c>
      <c r="H18" s="135">
        <f>IFERROR(N(SCHEDULE!$I19),0)</f>
        <v/>
      </c>
      <c r="I18" s="135">
        <f>IFERROR(N(SCHEDULE!$J19),0)</f>
        <v/>
      </c>
      <c r="J18" s="135">
        <f>IF($A18&lt;=$D$4,$I18,MIN(1,$K$4+$N$4*($A18-$D$4)))</f>
        <v/>
      </c>
    </row>
    <row r="19">
      <c r="A19" s="71" t="n">
        <v>15</v>
      </c>
      <c r="B19" s="134">
        <f>IFERROR(N(SCHEDULE!$C20),0)</f>
        <v/>
      </c>
      <c r="C19" s="134">
        <f>IFERROR(N(SCHEDULE!$D20),0)</f>
        <v/>
      </c>
      <c r="D19" s="134">
        <f>IFERROR(N(SCHEDULE!$E20),0)</f>
        <v/>
      </c>
      <c r="E19" s="134">
        <f>IFERROR(N(SCHEDULE!$F20),0)</f>
        <v/>
      </c>
      <c r="F19" s="135">
        <f>IFERROR(N(SCHEDULE!$G20),0)</f>
        <v/>
      </c>
      <c r="G19" s="135">
        <f>IFERROR(N(SCHEDULE!$H20),0)</f>
        <v/>
      </c>
      <c r="H19" s="135">
        <f>IFERROR(N(SCHEDULE!$I20),0)</f>
        <v/>
      </c>
      <c r="I19" s="135">
        <f>IFERROR(N(SCHEDULE!$J20),0)</f>
        <v/>
      </c>
      <c r="J19" s="135">
        <f>IF($A19&lt;=$D$4,$I19,MIN(1,$K$4+$N$4*($A19-$D$4)))</f>
        <v/>
      </c>
    </row>
    <row r="20" ht="19" customHeight="1">
      <c r="A20" s="5" t="inlineStr">
        <is>
          <t>B.  By development phase  (defects, density, yield, time)</t>
        </is>
      </c>
    </row>
    <row r="21" ht="28" customHeight="1">
      <c r="A21" s="6" t="inlineStr">
        <is>
          <t>Phase</t>
        </is>
      </c>
      <c r="B21" s="6" t="inlineStr">
        <is>
          <t>Injected</t>
        </is>
      </c>
      <c r="C21" s="6" t="inlineStr">
        <is>
          <t>Removed</t>
        </is>
      </c>
      <c r="D21" s="6" t="inlineStr">
        <is>
          <t>Cum removed</t>
        </is>
      </c>
      <c r="E21" s="6" t="inlineStr">
        <is>
          <t>Defects / KLOC</t>
        </is>
      </c>
      <c r="F21" s="6" t="inlineStr">
        <is>
          <t>Phase yield</t>
        </is>
      </c>
      <c r="G21" s="6" t="inlineStr">
        <is>
          <t>Plan hrs</t>
        </is>
      </c>
      <c r="H21" s="6" t="inlineStr">
        <is>
          <t>Actual hrs</t>
        </is>
      </c>
      <c r="I21" s="6" t="inlineStr"/>
      <c r="J21" s="6" t="inlineStr"/>
      <c r="K21" s="6" t="inlineStr"/>
      <c r="L21" s="6" t="inlineStr"/>
      <c r="M21" s="6" t="inlineStr"/>
      <c r="N21" s="6" t="inlineStr"/>
    </row>
    <row r="22">
      <c r="A22" s="88" t="inlineStr">
        <is>
          <t>PLAN</t>
        </is>
      </c>
      <c r="B22" s="26">
        <f>IFERROR(N(SUMP!$C$48),0)</f>
        <v/>
      </c>
      <c r="C22" s="26">
        <f>IFERROR(N(SUMP!$C$75),0)</f>
        <v/>
      </c>
      <c r="D22" s="26">
        <f>SUM($C$22:$C22)</f>
        <v/>
      </c>
      <c r="E22" s="77">
        <f>IFERROR($C22/(SUMP!$C$10/1000),0)</f>
        <v/>
      </c>
      <c r="F22" s="135">
        <f>IFERROR(IF((SUM($B$22:$B22))-(SUM($C$22:$C22)-$C22)&lt;=0,0,$C22/((SUM($B$22:$B22))-(SUM($C$22:$C22)-$C22))),0)</f>
        <v/>
      </c>
      <c r="G22" s="134">
        <f>IFERROR(N(SUMP!$B$20),0)</f>
        <v/>
      </c>
      <c r="H22" s="134">
        <f>IFERROR(N(SUMP!$C$20),0)</f>
        <v/>
      </c>
    </row>
    <row r="23">
      <c r="A23" s="88" t="inlineStr">
        <is>
          <t>REQ</t>
        </is>
      </c>
      <c r="B23" s="26">
        <f>IFERROR(N(SUMP!$C$49),0)</f>
        <v/>
      </c>
      <c r="C23" s="26">
        <f>IFERROR(N(SUMP!$C$76),0)</f>
        <v/>
      </c>
      <c r="D23" s="26">
        <f>SUM($C$22:$C23)</f>
        <v/>
      </c>
      <c r="E23" s="77">
        <f>IFERROR($C23/(SUMP!$C$10/1000),0)</f>
        <v/>
      </c>
      <c r="F23" s="135">
        <f>IFERROR(IF((SUM($B$22:$B23))-(SUM($C$22:$C23)-$C23)&lt;=0,0,$C23/((SUM($B$22:$B23))-(SUM($C$22:$C23)-$C23))),0)</f>
        <v/>
      </c>
      <c r="G23" s="134">
        <f>IFERROR(N(SUMP!$B$21),0)</f>
        <v/>
      </c>
      <c r="H23" s="134">
        <f>IFERROR(N(SUMP!$C$21),0)</f>
        <v/>
      </c>
    </row>
    <row r="24">
      <c r="A24" s="88" t="inlineStr">
        <is>
          <t>STP</t>
        </is>
      </c>
      <c r="B24" s="26">
        <f>IFERROR(N(SUMP!$C$50),0)</f>
        <v/>
      </c>
      <c r="C24" s="26">
        <f>IFERROR(N(SUMP!$C$77),0)</f>
        <v/>
      </c>
      <c r="D24" s="26">
        <f>SUM($C$22:$C24)</f>
        <v/>
      </c>
      <c r="E24" s="77">
        <f>IFERROR($C24/(SUMP!$C$10/1000),0)</f>
        <v/>
      </c>
      <c r="F24" s="135">
        <f>IFERROR(IF((SUM($B$22:$B24))-(SUM($C$22:$C24)-$C24)&lt;=0,0,$C24/((SUM($B$22:$B24))-(SUM($C$22:$C24)-$C24))),0)</f>
        <v/>
      </c>
      <c r="G24" s="134">
        <f>IFERROR(N(SUMP!$B$22),0)</f>
        <v/>
      </c>
      <c r="H24" s="134">
        <f>IFERROR(N(SUMP!$C$22),0)</f>
        <v/>
      </c>
    </row>
    <row r="25">
      <c r="A25" s="88" t="inlineStr">
        <is>
          <t>REQINSP</t>
        </is>
      </c>
      <c r="B25" s="26">
        <f>IFERROR(N(SUMP!$C$51),0)</f>
        <v/>
      </c>
      <c r="C25" s="26">
        <f>IFERROR(N(SUMP!$C$78),0)</f>
        <v/>
      </c>
      <c r="D25" s="26">
        <f>SUM($C$22:$C25)</f>
        <v/>
      </c>
      <c r="E25" s="77">
        <f>IFERROR($C25/(SUMP!$C$10/1000),0)</f>
        <v/>
      </c>
      <c r="F25" s="135">
        <f>IFERROR(IF((SUM($B$22:$B25))-(SUM($C$22:$C25)-$C25)&lt;=0,0,$C25/((SUM($B$22:$B25))-(SUM($C$22:$C25)-$C25))),0)</f>
        <v/>
      </c>
      <c r="G25" s="134">
        <f>IFERROR(N(SUMP!$B$23),0)</f>
        <v/>
      </c>
      <c r="H25" s="134">
        <f>IFERROR(N(SUMP!$C$23),0)</f>
        <v/>
      </c>
    </row>
    <row r="26">
      <c r="A26" s="88" t="inlineStr">
        <is>
          <t>HLD</t>
        </is>
      </c>
      <c r="B26" s="26">
        <f>IFERROR(N(SUMP!$C$52),0)</f>
        <v/>
      </c>
      <c r="C26" s="26">
        <f>IFERROR(N(SUMP!$C$79),0)</f>
        <v/>
      </c>
      <c r="D26" s="26">
        <f>SUM($C$22:$C26)</f>
        <v/>
      </c>
      <c r="E26" s="77">
        <f>IFERROR($C26/(SUMP!$C$10/1000),0)</f>
        <v/>
      </c>
      <c r="F26" s="135">
        <f>IFERROR(IF((SUM($B$22:$B26))-(SUM($C$22:$C26)-$C26)&lt;=0,0,$C26/((SUM($B$22:$B26))-(SUM($C$22:$C26)-$C26))),0)</f>
        <v/>
      </c>
      <c r="G26" s="134">
        <f>IFERROR(N(SUMP!$B$24),0)</f>
        <v/>
      </c>
      <c r="H26" s="134">
        <f>IFERROR(N(SUMP!$C$24),0)</f>
        <v/>
      </c>
    </row>
    <row r="27">
      <c r="A27" s="88" t="inlineStr">
        <is>
          <t>ITP</t>
        </is>
      </c>
      <c r="B27" s="26">
        <f>IFERROR(N(SUMP!$C$53),0)</f>
        <v/>
      </c>
      <c r="C27" s="26">
        <f>IFERROR(N(SUMP!$C$80),0)</f>
        <v/>
      </c>
      <c r="D27" s="26">
        <f>SUM($C$22:$C27)</f>
        <v/>
      </c>
      <c r="E27" s="77">
        <f>IFERROR($C27/(SUMP!$C$10/1000),0)</f>
        <v/>
      </c>
      <c r="F27" s="135">
        <f>IFERROR(IF((SUM($B$22:$B27))-(SUM($C$22:$C27)-$C27)&lt;=0,0,$C27/((SUM($B$22:$B27))-(SUM($C$22:$C27)-$C27))),0)</f>
        <v/>
      </c>
      <c r="G27" s="134">
        <f>IFERROR(N(SUMP!$B$25),0)</f>
        <v/>
      </c>
      <c r="H27" s="134">
        <f>IFERROR(N(SUMP!$C$25),0)</f>
        <v/>
      </c>
    </row>
    <row r="28">
      <c r="A28" s="88" t="inlineStr">
        <is>
          <t>HLDINSP</t>
        </is>
      </c>
      <c r="B28" s="26">
        <f>IFERROR(N(SUMP!$C$54),0)</f>
        <v/>
      </c>
      <c r="C28" s="26">
        <f>IFERROR(N(SUMP!$C$81),0)</f>
        <v/>
      </c>
      <c r="D28" s="26">
        <f>SUM($C$22:$C28)</f>
        <v/>
      </c>
      <c r="E28" s="77">
        <f>IFERROR($C28/(SUMP!$C$10/1000),0)</f>
        <v/>
      </c>
      <c r="F28" s="135">
        <f>IFERROR(IF((SUM($B$22:$B28))-(SUM($C$22:$C28)-$C28)&lt;=0,0,$C28/((SUM($B$22:$B28))-(SUM($C$22:$C28)-$C28))),0)</f>
        <v/>
      </c>
      <c r="G28" s="134">
        <f>IFERROR(N(SUMP!$B$26),0)</f>
        <v/>
      </c>
      <c r="H28" s="134">
        <f>IFERROR(N(SUMP!$C$26),0)</f>
        <v/>
      </c>
    </row>
    <row r="29">
      <c r="A29" s="88" t="inlineStr">
        <is>
          <t>DLD</t>
        </is>
      </c>
      <c r="B29" s="26">
        <f>IFERROR(N(SUMP!$C$55),0)</f>
        <v/>
      </c>
      <c r="C29" s="26">
        <f>IFERROR(N(SUMP!$C$82),0)</f>
        <v/>
      </c>
      <c r="D29" s="26">
        <f>SUM($C$22:$C29)</f>
        <v/>
      </c>
      <c r="E29" s="77">
        <f>IFERROR($C29/(SUMP!$C$10/1000),0)</f>
        <v/>
      </c>
      <c r="F29" s="135">
        <f>IFERROR(IF((SUM($B$22:$B29))-(SUM($C$22:$C29)-$C29)&lt;=0,0,$C29/((SUM($B$22:$B29))-(SUM($C$22:$C29)-$C29))),0)</f>
        <v/>
      </c>
      <c r="G29" s="134">
        <f>IFERROR(N(SUMP!$B$27),0)</f>
        <v/>
      </c>
      <c r="H29" s="134">
        <f>IFERROR(N(SUMP!$C$27),0)</f>
        <v/>
      </c>
    </row>
    <row r="30">
      <c r="A30" s="88" t="inlineStr">
        <is>
          <t>DLDR</t>
        </is>
      </c>
      <c r="B30" s="26">
        <f>IFERROR(N(SUMP!$C$56),0)</f>
        <v/>
      </c>
      <c r="C30" s="26">
        <f>IFERROR(N(SUMP!$C$83),0)</f>
        <v/>
      </c>
      <c r="D30" s="26">
        <f>SUM($C$22:$C30)</f>
        <v/>
      </c>
      <c r="E30" s="77">
        <f>IFERROR($C30/(SUMP!$C$10/1000),0)</f>
        <v/>
      </c>
      <c r="F30" s="135">
        <f>IFERROR(IF((SUM($B$22:$B30))-(SUM($C$22:$C30)-$C30)&lt;=0,0,$C30/((SUM($B$22:$B30))-(SUM($C$22:$C30)-$C30))),0)</f>
        <v/>
      </c>
      <c r="G30" s="134">
        <f>IFERROR(N(SUMP!$B$28),0)</f>
        <v/>
      </c>
      <c r="H30" s="134">
        <f>IFERROR(N(SUMP!$C$28),0)</f>
        <v/>
      </c>
    </row>
    <row r="31">
      <c r="A31" s="88" t="inlineStr">
        <is>
          <t>TD</t>
        </is>
      </c>
      <c r="B31" s="26">
        <f>IFERROR(N(SUMP!$C$57),0)</f>
        <v/>
      </c>
      <c r="C31" s="26">
        <f>IFERROR(N(SUMP!$C$84),0)</f>
        <v/>
      </c>
      <c r="D31" s="26">
        <f>SUM($C$22:$C31)</f>
        <v/>
      </c>
      <c r="E31" s="77">
        <f>IFERROR($C31/(SUMP!$C$10/1000),0)</f>
        <v/>
      </c>
      <c r="F31" s="135">
        <f>IFERROR(IF((SUM($B$22:$B31))-(SUM($C$22:$C31)-$C31)&lt;=0,0,$C31/((SUM($B$22:$B31))-(SUM($C$22:$C31)-$C31))),0)</f>
        <v/>
      </c>
      <c r="G31" s="134">
        <f>IFERROR(N(SUMP!$B$29),0)</f>
        <v/>
      </c>
      <c r="H31" s="134">
        <f>IFERROR(N(SUMP!$C$29),0)</f>
        <v/>
      </c>
    </row>
    <row r="32">
      <c r="A32" s="88" t="inlineStr">
        <is>
          <t>DLDINSP</t>
        </is>
      </c>
      <c r="B32" s="26">
        <f>IFERROR(N(SUMP!$C$58),0)</f>
        <v/>
      </c>
      <c r="C32" s="26">
        <f>IFERROR(N(SUMP!$C$85),0)</f>
        <v/>
      </c>
      <c r="D32" s="26">
        <f>SUM($C$22:$C32)</f>
        <v/>
      </c>
      <c r="E32" s="77">
        <f>IFERROR($C32/(SUMP!$C$10/1000),0)</f>
        <v/>
      </c>
      <c r="F32" s="135">
        <f>IFERROR(IF((SUM($B$22:$B32))-(SUM($C$22:$C32)-$C32)&lt;=0,0,$C32/((SUM($B$22:$B32))-(SUM($C$22:$C32)-$C32))),0)</f>
        <v/>
      </c>
      <c r="G32" s="134">
        <f>IFERROR(N(SUMP!$B$30),0)</f>
        <v/>
      </c>
      <c r="H32" s="134">
        <f>IFERROR(N(SUMP!$C$30),0)</f>
        <v/>
      </c>
    </row>
    <row r="33">
      <c r="A33" s="88" t="inlineStr">
        <is>
          <t>CODE</t>
        </is>
      </c>
      <c r="B33" s="26">
        <f>IFERROR(N(SUMP!$C$59),0)</f>
        <v/>
      </c>
      <c r="C33" s="26">
        <f>IFERROR(N(SUMP!$C$86),0)</f>
        <v/>
      </c>
      <c r="D33" s="26">
        <f>SUM($C$22:$C33)</f>
        <v/>
      </c>
      <c r="E33" s="77">
        <f>IFERROR($C33/(SUMP!$C$10/1000),0)</f>
        <v/>
      </c>
      <c r="F33" s="135">
        <f>IFERROR(IF((SUM($B$22:$B33))-(SUM($C$22:$C33)-$C33)&lt;=0,0,$C33/((SUM($B$22:$B33))-(SUM($C$22:$C33)-$C33))),0)</f>
        <v/>
      </c>
      <c r="G33" s="134">
        <f>IFERROR(N(SUMP!$B$31),0)</f>
        <v/>
      </c>
      <c r="H33" s="134">
        <f>IFERROR(N(SUMP!$C$31),0)</f>
        <v/>
      </c>
    </row>
    <row r="34">
      <c r="A34" s="88" t="inlineStr">
        <is>
          <t>AIGEN</t>
        </is>
      </c>
      <c r="B34" s="26">
        <f>IFERROR(N(SUMP!$C$60),0)</f>
        <v/>
      </c>
      <c r="C34" s="26">
        <f>IFERROR(N(SUMP!$C$87),0)</f>
        <v/>
      </c>
      <c r="D34" s="26">
        <f>SUM($C$22:$C34)</f>
        <v/>
      </c>
      <c r="E34" s="77">
        <f>IFERROR($C34/(SUMP!$C$10/1000),0)</f>
        <v/>
      </c>
      <c r="F34" s="135">
        <f>IFERROR(IF((SUM($B$22:$B34))-(SUM($C$22:$C34)-$C34)&lt;=0,0,$C34/((SUM($B$22:$B34))-(SUM($C$22:$C34)-$C34))),0)</f>
        <v/>
      </c>
      <c r="G34" s="134">
        <f>IFERROR(N(SUMP!$B$32),0)</f>
        <v/>
      </c>
      <c r="H34" s="134">
        <f>IFERROR(N(SUMP!$C$32),0)</f>
        <v/>
      </c>
    </row>
    <row r="35">
      <c r="A35" s="88" t="inlineStr">
        <is>
          <t>CR</t>
        </is>
      </c>
      <c r="B35" s="26">
        <f>IFERROR(N(SUMP!$C$61),0)</f>
        <v/>
      </c>
      <c r="C35" s="26">
        <f>IFERROR(N(SUMP!$C$88),0)</f>
        <v/>
      </c>
      <c r="D35" s="26">
        <f>SUM($C$22:$C35)</f>
        <v/>
      </c>
      <c r="E35" s="77">
        <f>IFERROR($C35/(SUMP!$C$10/1000),0)</f>
        <v/>
      </c>
      <c r="F35" s="135">
        <f>IFERROR(IF((SUM($B$22:$B35))-(SUM($C$22:$C35)-$C35)&lt;=0,0,$C35/((SUM($B$22:$B35))-(SUM($C$22:$C35)-$C35))),0)</f>
        <v/>
      </c>
      <c r="G35" s="134">
        <f>IFERROR(N(SUMP!$B$33),0)</f>
        <v/>
      </c>
      <c r="H35" s="134">
        <f>IFERROR(N(SUMP!$C$33),0)</f>
        <v/>
      </c>
    </row>
    <row r="36">
      <c r="A36" s="88" t="inlineStr">
        <is>
          <t>BUILD</t>
        </is>
      </c>
      <c r="B36" s="26">
        <f>IFERROR(N(SUMP!$C$62),0)</f>
        <v/>
      </c>
      <c r="C36" s="26">
        <f>IFERROR(N(SUMP!$C$89),0)</f>
        <v/>
      </c>
      <c r="D36" s="26">
        <f>SUM($C$22:$C36)</f>
        <v/>
      </c>
      <c r="E36" s="77">
        <f>IFERROR($C36/(SUMP!$C$10/1000),0)</f>
        <v/>
      </c>
      <c r="F36" s="135">
        <f>IFERROR(IF((SUM($B$22:$B36))-(SUM($C$22:$C36)-$C36)&lt;=0,0,$C36/((SUM($B$22:$B36))-(SUM($C$22:$C36)-$C36))),0)</f>
        <v/>
      </c>
      <c r="G36" s="134">
        <f>IFERROR(N(SUMP!$B$34),0)</f>
        <v/>
      </c>
      <c r="H36" s="134">
        <f>IFERROR(N(SUMP!$C$34),0)</f>
        <v/>
      </c>
    </row>
    <row r="37">
      <c r="A37" s="88" t="inlineStr">
        <is>
          <t>CODEINSP</t>
        </is>
      </c>
      <c r="B37" s="26">
        <f>IFERROR(N(SUMP!$C$63),0)</f>
        <v/>
      </c>
      <c r="C37" s="26">
        <f>IFERROR(N(SUMP!$C$90),0)</f>
        <v/>
      </c>
      <c r="D37" s="26">
        <f>SUM($C$22:$C37)</f>
        <v/>
      </c>
      <c r="E37" s="77">
        <f>IFERROR($C37/(SUMP!$C$10/1000),0)</f>
        <v/>
      </c>
      <c r="F37" s="135">
        <f>IFERROR(IF((SUM($B$22:$B37))-(SUM($C$22:$C37)-$C37)&lt;=0,0,$C37/((SUM($B$22:$B37))-(SUM($C$22:$C37)-$C37))),0)</f>
        <v/>
      </c>
      <c r="G37" s="134">
        <f>IFERROR(N(SUMP!$B$35),0)</f>
        <v/>
      </c>
      <c r="H37" s="134">
        <f>IFERROR(N(SUMP!$C$35),0)</f>
        <v/>
      </c>
    </row>
    <row r="38">
      <c r="A38" s="88" t="inlineStr">
        <is>
          <t>UT</t>
        </is>
      </c>
      <c r="B38" s="26">
        <f>IFERROR(N(SUMP!$C$64),0)</f>
        <v/>
      </c>
      <c r="C38" s="26">
        <f>IFERROR(N(SUMP!$C$91),0)</f>
        <v/>
      </c>
      <c r="D38" s="26">
        <f>SUM($C$22:$C38)</f>
        <v/>
      </c>
      <c r="E38" s="77">
        <f>IFERROR($C38/(SUMP!$C$10/1000),0)</f>
        <v/>
      </c>
      <c r="F38" s="135">
        <f>IFERROR(IF((SUM($B$22:$B38))-(SUM($C$22:$C38)-$C38)&lt;=0,0,$C38/((SUM($B$22:$B38))-(SUM($C$22:$C38)-$C38))),0)</f>
        <v/>
      </c>
      <c r="G38" s="134">
        <f>IFERROR(N(SUMP!$B$36),0)</f>
        <v/>
      </c>
      <c r="H38" s="134">
        <f>IFERROR(N(SUMP!$C$36),0)</f>
        <v/>
      </c>
    </row>
    <row r="39">
      <c r="A39" s="88" t="inlineStr">
        <is>
          <t>WT</t>
        </is>
      </c>
      <c r="B39" s="26">
        <f>IFERROR(N(SUMP!$C$65),0)</f>
        <v/>
      </c>
      <c r="C39" s="26">
        <f>IFERROR(N(SUMP!$C$92),0)</f>
        <v/>
      </c>
      <c r="D39" s="26">
        <f>SUM($C$22:$C39)</f>
        <v/>
      </c>
      <c r="E39" s="77">
        <f>IFERROR($C39/(SUMP!$C$10/1000),0)</f>
        <v/>
      </c>
      <c r="F39" s="135">
        <f>IFERROR(IF((SUM($B$22:$B39))-(SUM($C$22:$C39)-$C39)&lt;=0,0,$C39/((SUM($B$22:$B39))-(SUM($C$22:$C39)-$C39))),0)</f>
        <v/>
      </c>
      <c r="G39" s="134">
        <f>IFERROR(N(SUMP!$B$37),0)</f>
        <v/>
      </c>
      <c r="H39" s="134">
        <f>IFERROR(N(SUMP!$C$37),0)</f>
        <v/>
      </c>
    </row>
    <row r="40">
      <c r="A40" s="88" t="inlineStr">
        <is>
          <t>IT</t>
        </is>
      </c>
      <c r="B40" s="26">
        <f>IFERROR(N(SUMP!$C$66),0)</f>
        <v/>
      </c>
      <c r="C40" s="26">
        <f>IFERROR(N(SUMP!$C$93),0)</f>
        <v/>
      </c>
      <c r="D40" s="26">
        <f>SUM($C$22:$C40)</f>
        <v/>
      </c>
      <c r="E40" s="77">
        <f>IFERROR($C40/(SUMP!$C$10/1000),0)</f>
        <v/>
      </c>
      <c r="F40" s="135">
        <f>IFERROR(IF((SUM($B$22:$B40))-(SUM($C$22:$C40)-$C40)&lt;=0,0,$C40/((SUM($B$22:$B40))-(SUM($C$22:$C40)-$C40))),0)</f>
        <v/>
      </c>
      <c r="G40" s="134">
        <f>IFERROR(N(SUMP!$B$38),0)</f>
        <v/>
      </c>
      <c r="H40" s="134">
        <f>IFERROR(N(SUMP!$C$38),0)</f>
        <v/>
      </c>
    </row>
    <row r="41">
      <c r="A41" s="88" t="inlineStr">
        <is>
          <t>CICD</t>
        </is>
      </c>
      <c r="B41" s="26">
        <f>IFERROR(N(SUMP!$C$67),0)</f>
        <v/>
      </c>
      <c r="C41" s="26">
        <f>IFERROR(N(SUMP!$C$94),0)</f>
        <v/>
      </c>
      <c r="D41" s="26">
        <f>SUM($C$22:$C41)</f>
        <v/>
      </c>
      <c r="E41" s="77">
        <f>IFERROR($C41/(SUMP!$C$10/1000),0)</f>
        <v/>
      </c>
      <c r="F41" s="135">
        <f>IFERROR(IF((SUM($B$22:$B41))-(SUM($C$22:$C41)-$C41)&lt;=0,0,$C41/((SUM($B$22:$B41))-(SUM($C$22:$C41)-$C41))),0)</f>
        <v/>
      </c>
      <c r="G41" s="134">
        <f>IFERROR(N(SUMP!$B$39),0)</f>
        <v/>
      </c>
      <c r="H41" s="134">
        <f>IFERROR(N(SUMP!$C$39),0)</f>
        <v/>
      </c>
    </row>
    <row r="42">
      <c r="A42" s="88" t="inlineStr">
        <is>
          <t>ST</t>
        </is>
      </c>
      <c r="B42" s="26">
        <f>IFERROR(N(SUMP!$C$68),0)</f>
        <v/>
      </c>
      <c r="C42" s="26">
        <f>IFERROR(N(SUMP!$C$95),0)</f>
        <v/>
      </c>
      <c r="D42" s="26">
        <f>SUM($C$22:$C42)</f>
        <v/>
      </c>
      <c r="E42" s="77">
        <f>IFERROR($C42/(SUMP!$C$10/1000),0)</f>
        <v/>
      </c>
      <c r="F42" s="135">
        <f>IFERROR(IF((SUM($B$22:$B42))-(SUM($C$22:$C42)-$C42)&lt;=0,0,$C42/((SUM($B$22:$B42))-(SUM($C$22:$C42)-$C42))),0)</f>
        <v/>
      </c>
      <c r="G42" s="134">
        <f>IFERROR(N(SUMP!$B$40),0)</f>
        <v/>
      </c>
      <c r="H42" s="134">
        <f>IFERROR(N(SUMP!$C$40),0)</f>
        <v/>
      </c>
    </row>
    <row r="43" ht="19" customHeight="1">
      <c r="A43" s="5" t="inlineStr">
        <is>
          <t>C.  Review and inspection rates  (LOC per hour, guideline 200)</t>
        </is>
      </c>
    </row>
    <row r="44" ht="18" customHeight="1">
      <c r="A44" s="6" t="inlineStr">
        <is>
          <t>Review</t>
        </is>
      </c>
      <c r="B44" s="6" t="inlineStr">
        <is>
          <t>Actual rate</t>
        </is>
      </c>
      <c r="C44" s="6" t="inlineStr">
        <is>
          <t>Guideline</t>
        </is>
      </c>
      <c r="D44" s="6" t="inlineStr"/>
      <c r="E44" s="6" t="inlineStr"/>
      <c r="F44" s="6" t="inlineStr"/>
      <c r="G44" s="6" t="inlineStr"/>
      <c r="H44" s="6" t="inlineStr"/>
      <c r="I44" s="6" t="inlineStr"/>
      <c r="J44" s="6" t="inlineStr"/>
      <c r="K44" s="6" t="inlineStr"/>
      <c r="L44" s="6" t="inlineStr"/>
      <c r="M44" s="6" t="inlineStr"/>
      <c r="N44" s="6" t="inlineStr"/>
    </row>
    <row r="45">
      <c r="A45" s="122" t="inlineStr">
        <is>
          <t>Design review</t>
        </is>
      </c>
      <c r="B45" s="134">
        <f>IFERROR(IF(N(SUMP!$C$28)=0,0,SUMP!$C$10/SUMP!$C$28),0)</f>
        <v/>
      </c>
      <c r="C45" s="26">
        <f>200</f>
        <v/>
      </c>
    </row>
    <row r="46">
      <c r="A46" s="122" t="inlineStr">
        <is>
          <t>Design inspection</t>
        </is>
      </c>
      <c r="B46" s="134">
        <f>IFERROR(IF(N(SUMP!$C$30)=0,0,SUMP!$C$10/SUMP!$C$30),0)</f>
        <v/>
      </c>
      <c r="C46" s="26">
        <f>200</f>
        <v/>
      </c>
    </row>
    <row r="47">
      <c r="A47" s="122" t="inlineStr">
        <is>
          <t>Code / PR review</t>
        </is>
      </c>
      <c r="B47" s="134">
        <f>IFERROR(IF(N(SUMP!$C$33)=0,0,SUMP!$C$10/SUMP!$C$33),0)</f>
        <v/>
      </c>
      <c r="C47" s="26">
        <f>200</f>
        <v/>
      </c>
    </row>
    <row r="48">
      <c r="A48" s="122" t="inlineStr">
        <is>
          <t>Code inspection</t>
        </is>
      </c>
      <c r="B48" s="134">
        <f>IFERROR(IF(N(SUMP!$C$35)=0,0,SUMP!$C$10/SUMP!$C$35),0)</f>
        <v/>
      </c>
      <c r="C48" s="26">
        <f>200</f>
        <v/>
      </c>
    </row>
    <row r="49" ht="19" customHeight="1">
      <c r="A49" s="5" t="inlineStr">
        <is>
          <t>D.  Process yield  (% of defects removed before entering the phase)</t>
        </is>
      </c>
    </row>
    <row r="50" ht="18" customHeight="1">
      <c r="A50" s="6" t="inlineStr">
        <is>
          <t>Before</t>
        </is>
      </c>
      <c r="B50" s="6" t="inlineStr">
        <is>
          <t>Process yield</t>
        </is>
      </c>
      <c r="C50" s="6" t="inlineStr">
        <is>
          <t>Guideline</t>
        </is>
      </c>
      <c r="D50" s="6" t="inlineStr"/>
      <c r="E50" s="6" t="inlineStr"/>
      <c r="F50" s="6" t="inlineStr"/>
      <c r="G50" s="6" t="inlineStr"/>
      <c r="H50" s="6" t="inlineStr"/>
      <c r="I50" s="6" t="inlineStr"/>
      <c r="J50" s="6" t="inlineStr"/>
      <c r="K50" s="6" t="inlineStr"/>
      <c r="L50" s="6" t="inlineStr"/>
      <c r="M50" s="6" t="inlineStr"/>
      <c r="N50" s="6" t="inlineStr"/>
    </row>
    <row r="51">
      <c r="A51" s="122" t="inlineStr">
        <is>
          <t>Build</t>
        </is>
      </c>
      <c r="B51" s="135">
        <f>IFERROR(IF(SUM(SUMP!$C$48:$C$61)=0,0,SUM(SUMP!$C$75:$C$88)/SUM(SUMP!$C$48:$C$61)),0)</f>
        <v/>
      </c>
      <c r="C51" s="76">
        <f>0.7</f>
        <v/>
      </c>
    </row>
    <row r="52">
      <c r="A52" s="122" t="inlineStr">
        <is>
          <t>Unit test</t>
        </is>
      </c>
      <c r="B52" s="135">
        <f>IFERROR(IF(SUM(SUMP!$C$48:$C$63)=0,0,SUM(SUMP!$C$75:$C$90)/SUM(SUMP!$C$48:$C$63)),0)</f>
        <v/>
      </c>
      <c r="C52" s="76">
        <f>0.7</f>
        <v/>
      </c>
    </row>
    <row r="53">
      <c r="A53" s="122" t="inlineStr">
        <is>
          <t>Widget test</t>
        </is>
      </c>
      <c r="B53" s="135">
        <f>IFERROR(IF(SUM(SUMP!$C$48:$C$64)=0,0,SUM(SUMP!$C$75:$C$91)/SUM(SUMP!$C$48:$C$64)),0)</f>
        <v/>
      </c>
      <c r="C53" s="76">
        <f>0.85</f>
        <v/>
      </c>
    </row>
    <row r="54">
      <c r="A54" s="122" t="inlineStr">
        <is>
          <t>Integration test</t>
        </is>
      </c>
      <c r="B54" s="135">
        <f>IFERROR(IF(SUM(SUMP!$C$48:$C$65)=0,0,SUM(SUMP!$C$75:$C$92)/SUM(SUMP!$C$48:$C$65)),0)</f>
        <v/>
      </c>
      <c r="C54" s="76">
        <f>0.85</f>
        <v/>
      </c>
    </row>
    <row r="55">
      <c r="A55" s="122" t="inlineStr">
        <is>
          <t>System test</t>
        </is>
      </c>
      <c r="B55" s="135">
        <f>IFERROR(IF(SUM(SUMP!$C$48:$C$67)=0,0,SUM(SUMP!$C$75:$C$94)/SUM(SUMP!$C$48:$C$67)),0)</f>
        <v/>
      </c>
      <c r="C55" s="76">
        <f>0.85</f>
        <v/>
      </c>
    </row>
    <row r="56">
      <c r="A56" s="122" t="inlineStr">
        <is>
          <t>Acceptance test</t>
        </is>
      </c>
      <c r="B56" s="135">
        <f>IFERROR(IF(SUM(SUMP!$C$48:$C$68)=0,0,SUM(SUMP!$C$75:$C$95)/SUM(SUMP!$C$48:$C$68)),0)</f>
        <v/>
      </c>
      <c r="C56" s="76">
        <f>0.95</f>
        <v/>
      </c>
    </row>
    <row r="57" ht="19" customHeight="1">
      <c r="A57" s="5" t="inlineStr">
        <is>
          <t>E.  Percent defect free  (share of components with no defect found in that phase)</t>
        </is>
      </c>
    </row>
    <row r="58" ht="18" customHeight="1">
      <c r="A58" s="6" t="inlineStr">
        <is>
          <t>Component</t>
        </is>
      </c>
      <c r="B58" s="6" t="inlineStr">
        <is>
          <t>Build</t>
        </is>
      </c>
      <c r="C58" s="6" t="inlineStr">
        <is>
          <t>Unit test</t>
        </is>
      </c>
      <c r="D58" s="6" t="inlineStr">
        <is>
          <t>Integration test</t>
        </is>
      </c>
      <c r="E58" s="6" t="inlineStr">
        <is>
          <t>System test</t>
        </is>
      </c>
      <c r="F58" s="6" t="inlineStr">
        <is>
          <t>Acceptance test</t>
        </is>
      </c>
      <c r="G58" s="6" t="inlineStr"/>
      <c r="H58" s="6" t="inlineStr"/>
      <c r="I58" s="6" t="inlineStr"/>
      <c r="J58" s="6" t="inlineStr"/>
      <c r="K58" s="6" t="inlineStr"/>
      <c r="L58" s="6" t="inlineStr"/>
      <c r="M58" s="6" t="inlineStr"/>
      <c r="N58" s="6" t="inlineStr"/>
    </row>
    <row r="59">
      <c r="A59" s="24">
        <f>IF(SUMS!$B$8="","",SUMS!$B$8)</f>
        <v/>
      </c>
      <c r="B59" s="26">
        <f>IF($A59="","",COUNTIFS(LOGD!$F$7:$F$306,$A59,LOGD!$H$7:$H$306,"BUILD"))</f>
        <v/>
      </c>
      <c r="C59" s="26">
        <f>IF($A59="","",COUNTIFS(LOGD!$F$7:$F$306,$A59,LOGD!$H$7:$H$306,"UT"))</f>
        <v/>
      </c>
      <c r="D59" s="26">
        <f>IF($A59="","",COUNTIFS(LOGD!$F$7:$F$306,$A59,LOGD!$H$7:$H$306,"IT"))</f>
        <v/>
      </c>
      <c r="E59" s="26">
        <f>IF($A59="","",COUNTIFS(LOGD!$F$7:$F$306,$A59,LOGD!$H$7:$H$306,"ST"))</f>
        <v/>
      </c>
      <c r="F59" s="26">
        <f>IF($A59="","",COUNTIFS(LOGD!$F$7:$F$306,$A59,LOGD!$H$7:$H$306,"UAT"))</f>
        <v/>
      </c>
    </row>
    <row r="60">
      <c r="A60" s="24">
        <f>IF(SUMS!$B$9="","",SUMS!$B$9)</f>
        <v/>
      </c>
      <c r="B60" s="26">
        <f>IF($A60="","",COUNTIFS(LOGD!$F$7:$F$306,$A60,LOGD!$H$7:$H$306,"BUILD"))</f>
        <v/>
      </c>
      <c r="C60" s="26">
        <f>IF($A60="","",COUNTIFS(LOGD!$F$7:$F$306,$A60,LOGD!$H$7:$H$306,"UT"))</f>
        <v/>
      </c>
      <c r="D60" s="26">
        <f>IF($A60="","",COUNTIFS(LOGD!$F$7:$F$306,$A60,LOGD!$H$7:$H$306,"IT"))</f>
        <v/>
      </c>
      <c r="E60" s="26">
        <f>IF($A60="","",COUNTIFS(LOGD!$F$7:$F$306,$A60,LOGD!$H$7:$H$306,"ST"))</f>
        <v/>
      </c>
      <c r="F60" s="26">
        <f>IF($A60="","",COUNTIFS(LOGD!$F$7:$F$306,$A60,LOGD!$H$7:$H$306,"UAT"))</f>
        <v/>
      </c>
    </row>
    <row r="61">
      <c r="A61" s="24">
        <f>IF(SUMS!$B$10="","",SUMS!$B$10)</f>
        <v/>
      </c>
      <c r="B61" s="26">
        <f>IF($A61="","",COUNTIFS(LOGD!$F$7:$F$306,$A61,LOGD!$H$7:$H$306,"BUILD"))</f>
        <v/>
      </c>
      <c r="C61" s="26">
        <f>IF($A61="","",COUNTIFS(LOGD!$F$7:$F$306,$A61,LOGD!$H$7:$H$306,"UT"))</f>
        <v/>
      </c>
      <c r="D61" s="26">
        <f>IF($A61="","",COUNTIFS(LOGD!$F$7:$F$306,$A61,LOGD!$H$7:$H$306,"IT"))</f>
        <v/>
      </c>
      <c r="E61" s="26">
        <f>IF($A61="","",COUNTIFS(LOGD!$F$7:$F$306,$A61,LOGD!$H$7:$H$306,"ST"))</f>
        <v/>
      </c>
      <c r="F61" s="26">
        <f>IF($A61="","",COUNTIFS(LOGD!$F$7:$F$306,$A61,LOGD!$H$7:$H$306,"UAT"))</f>
        <v/>
      </c>
    </row>
    <row r="62">
      <c r="A62" s="24">
        <f>IF(SUMS!$B$11="","",SUMS!$B$11)</f>
        <v/>
      </c>
      <c r="B62" s="26">
        <f>IF($A62="","",COUNTIFS(LOGD!$F$7:$F$306,$A62,LOGD!$H$7:$H$306,"BUILD"))</f>
        <v/>
      </c>
      <c r="C62" s="26">
        <f>IF($A62="","",COUNTIFS(LOGD!$F$7:$F$306,$A62,LOGD!$H$7:$H$306,"UT"))</f>
        <v/>
      </c>
      <c r="D62" s="26">
        <f>IF($A62="","",COUNTIFS(LOGD!$F$7:$F$306,$A62,LOGD!$H$7:$H$306,"IT"))</f>
        <v/>
      </c>
      <c r="E62" s="26">
        <f>IF($A62="","",COUNTIFS(LOGD!$F$7:$F$306,$A62,LOGD!$H$7:$H$306,"ST"))</f>
        <v/>
      </c>
      <c r="F62" s="26">
        <f>IF($A62="","",COUNTIFS(LOGD!$F$7:$F$306,$A62,LOGD!$H$7:$H$306,"UAT"))</f>
        <v/>
      </c>
    </row>
    <row r="63">
      <c r="A63" s="24">
        <f>IF(SUMS!$B$12="","",SUMS!$B$12)</f>
        <v/>
      </c>
      <c r="B63" s="26">
        <f>IF($A63="","",COUNTIFS(LOGD!$F$7:$F$306,$A63,LOGD!$H$7:$H$306,"BUILD"))</f>
        <v/>
      </c>
      <c r="C63" s="26">
        <f>IF($A63="","",COUNTIFS(LOGD!$F$7:$F$306,$A63,LOGD!$H$7:$H$306,"UT"))</f>
        <v/>
      </c>
      <c r="D63" s="26">
        <f>IF($A63="","",COUNTIFS(LOGD!$F$7:$F$306,$A63,LOGD!$H$7:$H$306,"IT"))</f>
        <v/>
      </c>
      <c r="E63" s="26">
        <f>IF($A63="","",COUNTIFS(LOGD!$F$7:$F$306,$A63,LOGD!$H$7:$H$306,"ST"))</f>
        <v/>
      </c>
      <c r="F63" s="26">
        <f>IF($A63="","",COUNTIFS(LOGD!$F$7:$F$306,$A63,LOGD!$H$7:$H$306,"UAT"))</f>
        <v/>
      </c>
    </row>
    <row r="64">
      <c r="A64" s="24">
        <f>IF(SUMS!$B$13="","",SUMS!$B$13)</f>
        <v/>
      </c>
      <c r="B64" s="26">
        <f>IF($A64="","",COUNTIFS(LOGD!$F$7:$F$306,$A64,LOGD!$H$7:$H$306,"BUILD"))</f>
        <v/>
      </c>
      <c r="C64" s="26">
        <f>IF($A64="","",COUNTIFS(LOGD!$F$7:$F$306,$A64,LOGD!$H$7:$H$306,"UT"))</f>
        <v/>
      </c>
      <c r="D64" s="26">
        <f>IF($A64="","",COUNTIFS(LOGD!$F$7:$F$306,$A64,LOGD!$H$7:$H$306,"IT"))</f>
        <v/>
      </c>
      <c r="E64" s="26">
        <f>IF($A64="","",COUNTIFS(LOGD!$F$7:$F$306,$A64,LOGD!$H$7:$H$306,"ST"))</f>
        <v/>
      </c>
      <c r="F64" s="26">
        <f>IF($A64="","",COUNTIFS(LOGD!$F$7:$F$306,$A64,LOGD!$H$7:$H$306,"UAT"))</f>
        <v/>
      </c>
    </row>
    <row r="65">
      <c r="A65" s="58" t="inlineStr">
        <is>
          <t>% defect free</t>
        </is>
      </c>
      <c r="B65" s="139">
        <f>IFERROR(COUNTIFS($A$59:$A$64,"&lt;&gt;",B$59:B$64,0)/COUNTIF($A$59:$A$64,"&lt;&gt;"),0)</f>
        <v/>
      </c>
      <c r="C65" s="139">
        <f>IFERROR(COUNTIFS($A$59:$A$64,"&lt;&gt;",C$59:C$64,0)/COUNTIF($A$59:$A$64,"&lt;&gt;"),0)</f>
        <v/>
      </c>
      <c r="D65" s="139">
        <f>IFERROR(COUNTIFS($A$59:$A$64,"&lt;&gt;",D$59:D$64,0)/COUNTIF($A$59:$A$64,"&lt;&gt;"),0)</f>
        <v/>
      </c>
      <c r="E65" s="139">
        <f>IFERROR(COUNTIFS($A$59:$A$64,"&lt;&gt;",E$59:E$64,0)/COUNTIF($A$59:$A$64,"&lt;&gt;"),0)</f>
        <v/>
      </c>
      <c r="F65" s="139">
        <f>IFERROR(COUNTIFS($A$59:$A$64,"&lt;&gt;",F$59:F$64,0)/COUNTIF($A$59:$A$64,"&lt;&gt;"),0)</f>
        <v/>
      </c>
    </row>
    <row r="66" ht="19" customHeight="1">
      <c r="A66" s="5" t="inlineStr">
        <is>
          <t>E2.  Percent defect free by phase  (chart series)</t>
        </is>
      </c>
    </row>
    <row r="67" ht="18" customHeight="1">
      <c r="A67" s="6" t="inlineStr">
        <is>
          <t>Phase</t>
        </is>
      </c>
      <c r="B67" s="6" t="inlineStr">
        <is>
          <t>% defect free</t>
        </is>
      </c>
      <c r="C67" s="6" t="inlineStr"/>
      <c r="D67" s="6" t="inlineStr"/>
      <c r="E67" s="6" t="inlineStr"/>
      <c r="F67" s="6" t="inlineStr"/>
      <c r="G67" s="6" t="inlineStr"/>
      <c r="H67" s="6" t="inlineStr"/>
      <c r="I67" s="6" t="inlineStr"/>
      <c r="J67" s="6" t="inlineStr"/>
      <c r="K67" s="6" t="inlineStr"/>
      <c r="L67" s="6" t="inlineStr"/>
      <c r="M67" s="6" t="inlineStr"/>
      <c r="N67" s="6" t="inlineStr"/>
    </row>
    <row r="68">
      <c r="A68" s="122" t="inlineStr">
        <is>
          <t>Build</t>
        </is>
      </c>
      <c r="B68" s="135">
        <f>B65</f>
        <v/>
      </c>
    </row>
    <row r="69">
      <c r="A69" s="122" t="inlineStr">
        <is>
          <t>Unit test</t>
        </is>
      </c>
      <c r="B69" s="135">
        <f>C65</f>
        <v/>
      </c>
    </row>
    <row r="70">
      <c r="A70" s="122" t="inlineStr">
        <is>
          <t>Integration test</t>
        </is>
      </c>
      <c r="B70" s="135">
        <f>D65</f>
        <v/>
      </c>
    </row>
    <row r="71">
      <c r="A71" s="122" t="inlineStr">
        <is>
          <t>System test</t>
        </is>
      </c>
      <c r="B71" s="135">
        <f>E65</f>
        <v/>
      </c>
    </row>
    <row r="72">
      <c r="A72" s="122" t="inlineStr">
        <is>
          <t>Acceptance test</t>
        </is>
      </c>
      <c r="B72" s="135">
        <f>F65</f>
        <v/>
      </c>
    </row>
    <row r="73" ht="19" customHeight="1">
      <c r="A73" s="5" t="inlineStr">
        <is>
          <t>F.  Quality profile  (five axes normalised against QPROFPARAM, 1.0 is the target)</t>
        </is>
      </c>
    </row>
    <row r="74" ht="18" customHeight="1">
      <c r="A74" s="6" t="inlineStr">
        <is>
          <t>Axis</t>
        </is>
      </c>
      <c r="B74" s="6" t="inlineStr">
        <is>
          <t>Actual</t>
        </is>
      </c>
      <c r="C74" s="6" t="inlineStr">
        <is>
          <t>Target</t>
        </is>
      </c>
      <c r="D74" s="6" t="inlineStr"/>
      <c r="E74" s="6" t="inlineStr"/>
      <c r="F74" s="6" t="inlineStr"/>
      <c r="G74" s="6" t="inlineStr"/>
      <c r="H74" s="6" t="inlineStr"/>
      <c r="I74" s="6" t="inlineStr"/>
      <c r="J74" s="6" t="inlineStr"/>
      <c r="K74" s="6" t="inlineStr"/>
      <c r="L74" s="6" t="inlineStr"/>
      <c r="M74" s="6" t="inlineStr"/>
      <c r="N74" s="6" t="inlineStr"/>
    </row>
    <row r="75">
      <c r="A75" s="122" t="inlineStr">
        <is>
          <t>Design / code time</t>
        </is>
      </c>
      <c r="B75" s="77">
        <f>IFERROR(MIN(1,$D75/$E75),0)</f>
        <v/>
      </c>
      <c r="C75" s="77">
        <f>1</f>
        <v/>
      </c>
      <c r="D75" s="77">
        <f>IFERROR(IF(N(SUMP!$C$31)=0,0,(SUMP!$C$27)/SUMP!$C$31),0)</f>
        <v/>
      </c>
      <c r="E75" s="77">
        <f>QPROFPARAM!$C$6</f>
        <v/>
      </c>
    </row>
    <row r="76">
      <c r="A76" s="122" t="inlineStr">
        <is>
          <t>Design review time</t>
        </is>
      </c>
      <c r="B76" s="77">
        <f>IFERROR(MIN(1,$D76/$E76),0)</f>
        <v/>
      </c>
      <c r="C76" s="77">
        <f>1</f>
        <v/>
      </c>
      <c r="D76" s="77">
        <f>IFERROR(IF(N(SUMP!$C$27)=0,0,SUMP!$C$28/SUMP!$C$27),0)</f>
        <v/>
      </c>
      <c r="E76" s="77">
        <f>QPROFPARAM!$C$7</f>
        <v/>
      </c>
    </row>
    <row r="77">
      <c r="A77" s="122" t="inlineStr">
        <is>
          <t>Code review time</t>
        </is>
      </c>
      <c r="B77" s="77">
        <f>IFERROR(MIN(1,$D77/$E77),0)</f>
        <v/>
      </c>
      <c r="C77" s="77">
        <f>1</f>
        <v/>
      </c>
      <c r="D77" s="77">
        <f>IFERROR(IF(N(SUMP!$C$31)=0,0,SUMP!$C$33/SUMP!$C$31),0)</f>
        <v/>
      </c>
      <c r="E77" s="77">
        <f>QPROFPARAM!$C$8</f>
        <v/>
      </c>
    </row>
    <row r="78">
      <c r="A78" s="122" t="inlineStr">
        <is>
          <t>Build defect density</t>
        </is>
      </c>
      <c r="B78" s="77">
        <f>IFERROR(IF($D78&lt;=0,1,MIN(1,$E78/$D78)),0)</f>
        <v/>
      </c>
      <c r="C78" s="77">
        <f>1</f>
        <v/>
      </c>
      <c r="D78" s="77">
        <f>IFERROR(IF(N(SUMP!$C$10)=0,0,SUMP!$C$89/(SUMP!$C$10/1000)),0)</f>
        <v/>
      </c>
      <c r="E78" s="77">
        <f>QPROFPARAM!$C$9</f>
        <v/>
      </c>
    </row>
    <row r="79">
      <c r="A79" s="122" t="inlineStr">
        <is>
          <t>Unit test defect density</t>
        </is>
      </c>
      <c r="B79" s="77">
        <f>IFERROR(IF($D79&lt;=0,1,MIN(1,$E79/$D79)),0)</f>
        <v/>
      </c>
      <c r="C79" s="77">
        <f>1</f>
        <v/>
      </c>
      <c r="D79" s="77">
        <f>IFERROR(IF(N(SUMP!$C$10)=0,0,SUMP!$C$91/(SUMP!$C$10/1000)),0)</f>
        <v/>
      </c>
      <c r="E79" s="77">
        <f>QPROFPARAM!$C$10</f>
        <v/>
      </c>
    </row>
    <row r="80" ht="19" customHeight="1">
      <c r="A80" s="5" t="inlineStr">
        <is>
          <t>G.  Contribution by member</t>
        </is>
      </c>
    </row>
    <row r="81" ht="18" customHeight="1">
      <c r="A81" s="6" t="inlineStr">
        <is>
          <t>Member</t>
        </is>
      </c>
      <c r="B81" s="6" t="inlineStr">
        <is>
          <t>Hours</t>
        </is>
      </c>
      <c r="C81" s="6" t="inlineStr">
        <is>
          <t>Commits</t>
        </is>
      </c>
      <c r="D81" s="6" t="inlineStr">
        <is>
          <t>AI entries</t>
        </is>
      </c>
      <c r="E81" s="6" t="inlineStr"/>
      <c r="F81" s="6" t="inlineStr"/>
      <c r="G81" s="6" t="inlineStr"/>
      <c r="H81" s="6" t="inlineStr"/>
      <c r="I81" s="6" t="inlineStr"/>
      <c r="J81" s="6" t="inlineStr"/>
      <c r="K81" s="6" t="inlineStr"/>
      <c r="L81" s="6" t="inlineStr"/>
      <c r="M81" s="6" t="inlineStr"/>
      <c r="N81" s="6" t="inlineStr"/>
    </row>
    <row r="82">
      <c r="A82" s="24">
        <f>IF('FORM-SI'!$C$9="","",'FORM-SI'!$C$9)</f>
        <v/>
      </c>
      <c r="B82" s="134">
        <f>IFERROR(N('FORM-SI'!$J$9),0)</f>
        <v/>
      </c>
      <c r="C82" s="26">
        <f>IF($A82="",0,SUMIFS(LOGGIT!$D$7:$D$86,LOGGIT!$C$7:$C$86,$A82))</f>
        <v/>
      </c>
      <c r="D82" s="26">
        <f>IF($A82="",0,COUNTIFS(LOGAI!$B$7:$B$256,$A82))</f>
        <v/>
      </c>
    </row>
    <row r="83">
      <c r="A83" s="24">
        <f>IF('FORM-SI'!$C$10="","",'FORM-SI'!$C$10)</f>
        <v/>
      </c>
      <c r="B83" s="134">
        <f>IFERROR(N('FORM-SI'!$J$10),0)</f>
        <v/>
      </c>
      <c r="C83" s="26">
        <f>IF($A83="",0,SUMIFS(LOGGIT!$D$7:$D$86,LOGGIT!$C$7:$C$86,$A83))</f>
        <v/>
      </c>
      <c r="D83" s="26">
        <f>IF($A83="",0,COUNTIFS(LOGAI!$B$7:$B$256,$A83))</f>
        <v/>
      </c>
    </row>
    <row r="84">
      <c r="A84" s="24">
        <f>IF('FORM-SI'!$C$11="","",'FORM-SI'!$C$11)</f>
        <v/>
      </c>
      <c r="B84" s="134">
        <f>IFERROR(N('FORM-SI'!$J$11),0)</f>
        <v/>
      </c>
      <c r="C84" s="26">
        <f>IF($A84="",0,SUMIFS(LOGGIT!$D$7:$D$86,LOGGIT!$C$7:$C$86,$A84))</f>
        <v/>
      </c>
      <c r="D84" s="26">
        <f>IF($A84="",0,COUNTIFS(LOGAI!$B$7:$B$256,$A84))</f>
        <v/>
      </c>
    </row>
    <row r="85">
      <c r="A85" s="24">
        <f>IF('FORM-SI'!$C$12="","",'FORM-SI'!$C$12)</f>
        <v/>
      </c>
      <c r="B85" s="134">
        <f>IFERROR(N('FORM-SI'!$J$12),0)</f>
        <v/>
      </c>
      <c r="C85" s="26">
        <f>IF($A85="",0,SUMIFS(LOGGIT!$D$7:$D$86,LOGGIT!$C$7:$C$86,$A85))</f>
        <v/>
      </c>
      <c r="D85" s="26">
        <f>IF($A85="",0,COUNTIFS(LOGAI!$B$7:$B$256,$A85))</f>
        <v/>
      </c>
    </row>
    <row r="86">
      <c r="A86" s="24">
        <f>IF('FORM-SI'!$C$13="","",'FORM-SI'!$C$13)</f>
        <v/>
      </c>
      <c r="B86" s="134">
        <f>IFERROR(N('FORM-SI'!$J$13),0)</f>
        <v/>
      </c>
      <c r="C86" s="26">
        <f>IF($A86="",0,SUMIFS(LOGGIT!$D$7:$D$86,LOGGIT!$C$7:$C$86,$A86))</f>
        <v/>
      </c>
      <c r="D86" s="26">
        <f>IF($A86="",0,COUNTIFS(LOGAI!$B$7:$B$256,$A86))</f>
        <v/>
      </c>
    </row>
    <row r="87">
      <c r="A87" s="24">
        <f>IF('FORM-SI'!$C$14="","",'FORM-SI'!$C$14)</f>
        <v/>
      </c>
      <c r="B87" s="134">
        <f>IFERROR(N('FORM-SI'!$J$14),0)</f>
        <v/>
      </c>
      <c r="C87" s="26">
        <f>IF($A87="",0,SUMIFS(LOGGIT!$D$7:$D$86,LOGGIT!$C$7:$C$86,$A87))</f>
        <v/>
      </c>
      <c r="D87" s="26">
        <f>IF($A87="",0,COUNTIFS(LOGAI!$B$7:$B$256,$A87))</f>
        <v/>
      </c>
    </row>
  </sheetData>
  <mergeCells count="10">
    <mergeCell ref="A80:N80"/>
    <mergeCell ref="A20:N20"/>
    <mergeCell ref="A2:N2"/>
    <mergeCell ref="A43:N43"/>
    <mergeCell ref="A57:N57"/>
    <mergeCell ref="A73:N73"/>
    <mergeCell ref="A49:N49"/>
    <mergeCell ref="A5:N5"/>
    <mergeCell ref="A66:N66"/>
    <mergeCell ref="A1:N1"/>
  </mergeCells>
  <printOptions horizontalCentered="1"/>
  <pageMargins left="0.75" right="0.75" top="1" bottom="1" header="0.5" footer="0.5"/>
  <pageSetup orientation="landscape" paperSize="9" fitToHeight="0" fitToWidth="1"/>
  <headerFooter>
    <oddHeader/>
    <oddFooter>&amp;R&amp;8 TMA3084 TSPi Workbook v3.0  -  &amp;P of &amp;N</oddFooter>
    <evenHeader/>
    <evenFooter/>
    <firstHeader/>
    <firstFooter/>
  </headerFooter>
</worksheet>
</file>

<file path=xl/worksheets/sheet37.xml><?xml version="1.0" encoding="utf-8"?>
<worksheet xmlns="http://schemas.openxmlformats.org/spreadsheetml/2006/main">
  <sheetPr>
    <tabColor rgb="006B7A7E"/>
    <outlinePr summaryBelow="1" summaryRight="1"/>
    <pageSetUpPr fitToPage="1"/>
  </sheetPr>
  <dimension ref="A1:T31"/>
  <sheetViews>
    <sheetView showGridLines="0" workbookViewId="0">
      <selection activeCell="A1" sqref="A1"/>
    </sheetView>
  </sheetViews>
  <sheetFormatPr baseColWidth="8" defaultRowHeight="15" outlineLevelCol="0"/>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s>
  <sheetData>
    <row r="1" ht="30" customHeight="1">
      <c r="A1" s="1" t="inlineStr">
        <is>
          <t>Validation Lists</t>
        </is>
      </c>
    </row>
    <row r="2" ht="16" customHeight="1">
      <c r="A2" s="2" t="inlineStr">
        <is>
          <t>Source lists for every drop-down in this workbook. Edit only the Roles and Size Measure columns.</t>
        </is>
      </c>
    </row>
    <row r="4" ht="28" customHeight="1">
      <c r="A4" s="6" t="inlineStr">
        <is>
          <t>Phase Code</t>
        </is>
      </c>
      <c r="B4" s="6" t="inlineStr">
        <is>
          <t>Phase Description</t>
        </is>
      </c>
      <c r="C4" s="6" t="inlineStr">
        <is>
          <t>Defect Type</t>
        </is>
      </c>
      <c r="D4" s="6" t="inlineStr">
        <is>
          <t>Milestone</t>
        </is>
      </c>
      <c r="E4" s="6" t="inlineStr">
        <is>
          <t>Role</t>
        </is>
      </c>
      <c r="F4" s="6" t="inlineStr">
        <is>
          <t>Size Measure</t>
        </is>
      </c>
      <c r="G4" s="6" t="inlineStr">
        <is>
          <t>AI Tool</t>
        </is>
      </c>
      <c r="H4" s="6" t="inlineStr">
        <is>
          <t>Team Member</t>
        </is>
      </c>
      <c r="I4" s="6" t="inlineStr">
        <is>
          <t>Yes/No</t>
        </is>
      </c>
      <c r="J4" s="6" t="inlineStr">
        <is>
          <t>Status</t>
        </is>
      </c>
      <c r="K4" s="6" t="inlineStr">
        <is>
          <t>Week</t>
        </is>
      </c>
      <c r="L4" s="6" t="inlineStr">
        <is>
          <t>Test Type</t>
        </is>
      </c>
      <c r="M4" s="6" t="inlineStr">
        <is>
          <t>Severity</t>
        </is>
      </c>
      <c r="N4" s="6" t="inlineStr">
        <is>
          <t>Issue or Risk</t>
        </is>
      </c>
      <c r="O4" s="6" t="inlineStr">
        <is>
          <t>Priority</t>
        </is>
      </c>
      <c r="P4" s="6" t="inlineStr">
        <is>
          <t>Meeting Mode</t>
        </is>
      </c>
      <c r="Q4" s="6" t="inlineStr">
        <is>
          <t>Task Status</t>
        </is>
      </c>
      <c r="R4" s="6" t="inlineStr">
        <is>
          <t>Review Verdict</t>
        </is>
      </c>
      <c r="S4" s="6" t="inlineStr">
        <is>
          <t>Change Type</t>
        </is>
      </c>
      <c r="T4" s="6" t="inlineStr">
        <is>
          <t>Component Type</t>
        </is>
      </c>
    </row>
    <row r="5">
      <c r="A5" s="123" t="inlineStr">
        <is>
          <t>MGMT</t>
        </is>
      </c>
      <c r="B5" s="123" t="inlineStr">
        <is>
          <t>Management &amp; Miscellaneous</t>
        </is>
      </c>
      <c r="C5" s="123" t="inlineStr">
        <is>
          <t>10 - Documentation</t>
        </is>
      </c>
      <c r="D5" s="123" t="inlineStr">
        <is>
          <t>M1</t>
        </is>
      </c>
      <c r="E5" s="123" t="inlineStr">
        <is>
          <t>Team Leader</t>
        </is>
      </c>
      <c r="F5" s="123" t="inlineStr">
        <is>
          <t>Dart LOC</t>
        </is>
      </c>
      <c r="G5" s="123" t="inlineStr">
        <is>
          <t>GitHub Copilot</t>
        </is>
      </c>
      <c r="H5" s="123">
        <f>IF('FORM-SI'!$C$9="","",'FORM-SI'!$C$9)</f>
        <v/>
      </c>
      <c r="I5" s="123" t="inlineStr">
        <is>
          <t>Yes</t>
        </is>
      </c>
      <c r="J5" s="123" t="inlineStr">
        <is>
          <t>Not started</t>
        </is>
      </c>
      <c r="K5" s="123" t="n">
        <v>3</v>
      </c>
      <c r="L5" s="123" t="inlineStr">
        <is>
          <t>Unit</t>
        </is>
      </c>
      <c r="M5" s="123" t="inlineStr">
        <is>
          <t>Critical</t>
        </is>
      </c>
      <c r="N5" s="123" t="inlineStr">
        <is>
          <t>Risk</t>
        </is>
      </c>
      <c r="O5" s="123" t="inlineStr">
        <is>
          <t>High</t>
        </is>
      </c>
      <c r="P5" s="123" t="inlineStr">
        <is>
          <t>Face-to-face</t>
        </is>
      </c>
      <c r="Q5" s="123" t="inlineStr">
        <is>
          <t>Planned</t>
        </is>
      </c>
      <c r="R5" s="123" t="inlineStr">
        <is>
          <t>Approved</t>
        </is>
      </c>
      <c r="S5" s="123" t="inlineStr">
        <is>
          <t>Requirement</t>
        </is>
      </c>
      <c r="T5" s="123" t="inlineStr">
        <is>
          <t>Assembly</t>
        </is>
      </c>
    </row>
    <row r="6">
      <c r="A6" s="123" t="inlineStr">
        <is>
          <t>STRAT</t>
        </is>
      </c>
      <c r="B6" s="123" t="inlineStr">
        <is>
          <t>Launch &amp; Strategy</t>
        </is>
      </c>
      <c r="C6" s="123" t="inlineStr">
        <is>
          <t>20 - Syntax</t>
        </is>
      </c>
      <c r="D6" s="123" t="inlineStr">
        <is>
          <t>M2</t>
        </is>
      </c>
      <c r="E6" s="123" t="inlineStr">
        <is>
          <t>Product Owner</t>
        </is>
      </c>
      <c r="F6" s="123" t="inlineStr">
        <is>
          <t>Screens</t>
        </is>
      </c>
      <c r="G6" s="123" t="inlineStr">
        <is>
          <t>Claude</t>
        </is>
      </c>
      <c r="H6" s="123">
        <f>IF('FORM-SI'!$C$10="","",'FORM-SI'!$C$10)</f>
        <v/>
      </c>
      <c r="I6" s="123" t="inlineStr">
        <is>
          <t>No</t>
        </is>
      </c>
      <c r="J6" s="123" t="inlineStr">
        <is>
          <t>In progress</t>
        </is>
      </c>
      <c r="K6" s="123" t="n">
        <v>4</v>
      </c>
      <c r="L6" s="123" t="inlineStr">
        <is>
          <t>Widget</t>
        </is>
      </c>
      <c r="M6" s="123" t="inlineStr">
        <is>
          <t>Major</t>
        </is>
      </c>
      <c r="N6" s="123" t="inlineStr">
        <is>
          <t>Issue</t>
        </is>
      </c>
      <c r="O6" s="123" t="inlineStr">
        <is>
          <t>Medium</t>
        </is>
      </c>
      <c r="P6" s="123" t="inlineStr">
        <is>
          <t>Online (Zoom/Meet)</t>
        </is>
      </c>
      <c r="Q6" s="123" t="inlineStr">
        <is>
          <t>In progress</t>
        </is>
      </c>
      <c r="R6" s="123" t="inlineStr">
        <is>
          <t>Approved with changes</t>
        </is>
      </c>
      <c r="S6" s="123" t="inlineStr">
        <is>
          <t>Design</t>
        </is>
      </c>
      <c r="T6" s="123" t="inlineStr">
        <is>
          <t>Part</t>
        </is>
      </c>
    </row>
    <row r="7">
      <c r="A7" s="123" t="inlineStr">
        <is>
          <t>PLAN</t>
        </is>
      </c>
      <c r="B7" s="123" t="inlineStr">
        <is>
          <t>Planning</t>
        </is>
      </c>
      <c r="C7" s="123" t="inlineStr">
        <is>
          <t>30 - Build / Package</t>
        </is>
      </c>
      <c r="D7" s="123" t="inlineStr">
        <is>
          <t>M3</t>
        </is>
      </c>
      <c r="E7" s="123" t="inlineStr">
        <is>
          <t>Development Manager</t>
        </is>
      </c>
      <c r="F7" s="123" t="inlineStr">
        <is>
          <t>Widgets</t>
        </is>
      </c>
      <c r="G7" s="123" t="inlineStr">
        <is>
          <t>ChatGPT / GPT-4</t>
        </is>
      </c>
      <c r="H7" s="123">
        <f>IF('FORM-SI'!$C$11="","",'FORM-SI'!$C$11)</f>
        <v/>
      </c>
      <c r="J7" s="123" t="inlineStr">
        <is>
          <t>Blocked</t>
        </is>
      </c>
      <c r="K7" s="123" t="n">
        <v>5</v>
      </c>
      <c r="L7" s="123" t="inlineStr">
        <is>
          <t>Integration</t>
        </is>
      </c>
      <c r="M7" s="123" t="inlineStr">
        <is>
          <t>Minor</t>
        </is>
      </c>
      <c r="O7" s="123" t="inlineStr">
        <is>
          <t>Low</t>
        </is>
      </c>
      <c r="P7" s="123" t="inlineStr">
        <is>
          <t>Phone</t>
        </is>
      </c>
      <c r="Q7" s="123" t="inlineStr">
        <is>
          <t>Complete</t>
        </is>
      </c>
      <c r="R7" s="123" t="inlineStr">
        <is>
          <t>Changes requested</t>
        </is>
      </c>
      <c r="S7" s="123" t="inlineStr">
        <is>
          <t>Code</t>
        </is>
      </c>
    </row>
    <row r="8">
      <c r="A8" s="123" t="inlineStr">
        <is>
          <t>REQ</t>
        </is>
      </c>
      <c r="B8" s="123" t="inlineStr">
        <is>
          <t>Requirements / SRS</t>
        </is>
      </c>
      <c r="C8" s="123" t="inlineStr">
        <is>
          <t>40 - Assignment</t>
        </is>
      </c>
      <c r="D8" s="123" t="inlineStr">
        <is>
          <t>M4</t>
        </is>
      </c>
      <c r="E8" s="123" t="inlineStr">
        <is>
          <t>Planning Manager</t>
        </is>
      </c>
      <c r="F8" s="123" t="inlineStr">
        <is>
          <t>API Endpoints</t>
        </is>
      </c>
      <c r="G8" s="123" t="inlineStr">
        <is>
          <t>Google Gemini</t>
        </is>
      </c>
      <c r="H8" s="123">
        <f>IF('FORM-SI'!$C$12="","",'FORM-SI'!$C$12)</f>
        <v/>
      </c>
      <c r="J8" s="123" t="inlineStr">
        <is>
          <t>Complete</t>
        </is>
      </c>
      <c r="K8" s="123" t="n">
        <v>6</v>
      </c>
      <c r="L8" s="123" t="inlineStr">
        <is>
          <t>Manual</t>
        </is>
      </c>
      <c r="M8" s="123" t="inlineStr">
        <is>
          <t>Cosmetic</t>
        </is>
      </c>
      <c r="P8" s="123" t="inlineStr">
        <is>
          <t>Email / async</t>
        </is>
      </c>
      <c r="Q8" s="123" t="inlineStr">
        <is>
          <t>Carried over</t>
        </is>
      </c>
      <c r="R8" s="123" t="inlineStr">
        <is>
          <t>Rejected</t>
        </is>
      </c>
      <c r="S8" s="123" t="inlineStr">
        <is>
          <t>Test</t>
        </is>
      </c>
    </row>
    <row r="9">
      <c r="A9" s="123" t="inlineStr">
        <is>
          <t>STP</t>
        </is>
      </c>
      <c r="B9" s="123" t="inlineStr">
        <is>
          <t>System Test Plan</t>
        </is>
      </c>
      <c r="C9" s="123" t="inlineStr">
        <is>
          <t>50 - Interface</t>
        </is>
      </c>
      <c r="E9" s="123" t="inlineStr">
        <is>
          <t>Quality &amp; Test Manager</t>
        </is>
      </c>
      <c r="F9" s="123" t="inlineStr">
        <is>
          <t>Test Cases</t>
        </is>
      </c>
      <c r="G9" s="123" t="inlineStr">
        <is>
          <t>Cursor</t>
        </is>
      </c>
      <c r="H9" s="123">
        <f>IF('FORM-SI'!$C$13="","",'FORM-SI'!$C$13)</f>
        <v/>
      </c>
      <c r="J9" s="123" t="inlineStr">
        <is>
          <t>Dropped</t>
        </is>
      </c>
      <c r="K9" s="123" t="n">
        <v>7</v>
      </c>
      <c r="L9" s="123" t="inlineStr">
        <is>
          <t>Acceptance</t>
        </is>
      </c>
      <c r="Q9" s="123" t="inlineStr">
        <is>
          <t>Cancelled</t>
        </is>
      </c>
      <c r="R9" s="123" t="inlineStr">
        <is>
          <t>Pending</t>
        </is>
      </c>
      <c r="S9" s="123" t="inlineStr">
        <is>
          <t>Document</t>
        </is>
      </c>
    </row>
    <row r="10">
      <c r="A10" s="123" t="inlineStr">
        <is>
          <t>REQINSP</t>
        </is>
      </c>
      <c r="B10" s="123" t="inlineStr">
        <is>
          <t>Requirements Inspection</t>
        </is>
      </c>
      <c r="C10" s="123" t="inlineStr">
        <is>
          <t>60 - Checking</t>
        </is>
      </c>
      <c r="E10" s="123" t="inlineStr">
        <is>
          <t>Support Manager</t>
        </is>
      </c>
      <c r="F10" s="123" t="inlineStr">
        <is>
          <t>SRS Pages</t>
        </is>
      </c>
      <c r="G10" s="123" t="inlineStr">
        <is>
          <t>Other</t>
        </is>
      </c>
      <c r="H10" s="123">
        <f>IF('FORM-SI'!$C$14="","",'FORM-SI'!$C$14)</f>
        <v/>
      </c>
      <c r="K10" s="123" t="n">
        <v>8</v>
      </c>
      <c r="L10" s="123" t="inlineStr">
        <is>
          <t>Regression</t>
        </is>
      </c>
      <c r="S10" s="123" t="inlineStr">
        <is>
          <t>Build / CI</t>
        </is>
      </c>
    </row>
    <row r="11">
      <c r="A11" s="123" t="inlineStr">
        <is>
          <t>HLD</t>
        </is>
      </c>
      <c r="B11" s="123" t="inlineStr">
        <is>
          <t>High-Level Design / Architecture (SDD)</t>
        </is>
      </c>
      <c r="C11" s="123" t="inlineStr">
        <is>
          <t>70 - Data</t>
        </is>
      </c>
      <c r="F11" s="123" t="inlineStr">
        <is>
          <t>SDD Pages</t>
        </is>
      </c>
      <c r="G11" s="123" t="inlineStr">
        <is>
          <t>None</t>
        </is>
      </c>
      <c r="K11" s="123" t="n">
        <v>9</v>
      </c>
      <c r="L11" s="123" t="inlineStr">
        <is>
          <t>Performance</t>
        </is>
      </c>
    </row>
    <row r="12">
      <c r="A12" s="123" t="inlineStr">
        <is>
          <t>ITP</t>
        </is>
      </c>
      <c r="B12" s="123" t="inlineStr">
        <is>
          <t>Integration Test Plan</t>
        </is>
      </c>
      <c r="C12" s="123" t="inlineStr">
        <is>
          <t>80 - Function</t>
        </is>
      </c>
      <c r="F12" s="123" t="inlineStr">
        <is>
          <t>Documents</t>
        </is>
      </c>
      <c r="K12" s="123" t="n">
        <v>10</v>
      </c>
      <c r="L12" s="123" t="inlineStr">
        <is>
          <t>Security</t>
        </is>
      </c>
    </row>
    <row r="13">
      <c r="A13" s="123" t="inlineStr">
        <is>
          <t>HLDINSP</t>
        </is>
      </c>
      <c r="B13" s="123" t="inlineStr">
        <is>
          <t>HLD Inspection</t>
        </is>
      </c>
      <c r="C13" s="123" t="inlineStr">
        <is>
          <t>90 - System</t>
        </is>
      </c>
      <c r="K13" s="123" t="n">
        <v>11</v>
      </c>
    </row>
    <row r="14">
      <c r="A14" s="123" t="inlineStr">
        <is>
          <t>DLD</t>
        </is>
      </c>
      <c r="B14" s="123" t="inlineStr">
        <is>
          <t>Detailed Design (screens, widgets, models)</t>
        </is>
      </c>
      <c r="C14" s="123" t="inlineStr">
        <is>
          <t>100 - Environment</t>
        </is>
      </c>
      <c r="K14" s="123" t="n">
        <v>12</v>
      </c>
    </row>
    <row r="15">
      <c r="A15" s="123" t="inlineStr">
        <is>
          <t>DLDR</t>
        </is>
      </c>
      <c r="B15" s="123" t="inlineStr">
        <is>
          <t>Detailed Design Review</t>
        </is>
      </c>
      <c r="C15" s="123" t="inlineStr">
        <is>
          <t>110 - UI / Layout</t>
        </is>
      </c>
      <c r="K15" s="123" t="n">
        <v>13</v>
      </c>
    </row>
    <row r="16">
      <c r="A16" s="123" t="inlineStr">
        <is>
          <t>TD</t>
        </is>
      </c>
      <c r="B16" s="123" t="inlineStr">
        <is>
          <t>Test Development</t>
        </is>
      </c>
      <c r="C16" s="123" t="inlineStr">
        <is>
          <t>120 - State Management</t>
        </is>
      </c>
      <c r="K16" s="123" t="n">
        <v>14</v>
      </c>
    </row>
    <row r="17">
      <c r="A17" s="123" t="inlineStr">
        <is>
          <t>DLDINSP</t>
        </is>
      </c>
      <c r="B17" s="123" t="inlineStr">
        <is>
          <t>Detailed Design Inspection</t>
        </is>
      </c>
      <c r="C17" s="123" t="inlineStr">
        <is>
          <t>130 - Performance</t>
        </is>
      </c>
      <c r="K17" s="123" t="n">
        <v>15</v>
      </c>
    </row>
    <row r="18">
      <c r="A18" s="123" t="inlineStr">
        <is>
          <t>CODE</t>
        </is>
      </c>
      <c r="B18" s="123" t="inlineStr">
        <is>
          <t>Code - hand-written Dart/Flutter</t>
        </is>
      </c>
      <c r="C18" s="123" t="inlineStr">
        <is>
          <t>140 - Security</t>
        </is>
      </c>
    </row>
    <row r="19">
      <c r="A19" s="123" t="inlineStr">
        <is>
          <t>AIGEN</t>
        </is>
      </c>
      <c r="B19" s="123" t="inlineStr">
        <is>
          <t>Code - AI-assisted generation (Vibe)</t>
        </is>
      </c>
      <c r="C19" s="123" t="inlineStr">
        <is>
          <t>150 - AI-Generated</t>
        </is>
      </c>
    </row>
    <row r="20">
      <c r="A20" s="123" t="inlineStr">
        <is>
          <t>CR</t>
        </is>
      </c>
      <c r="B20" s="123" t="inlineStr">
        <is>
          <t>Code Review / Pull-Request Review</t>
        </is>
      </c>
    </row>
    <row r="21">
      <c r="A21" s="123" t="inlineStr">
        <is>
          <t>BUILD</t>
        </is>
      </c>
      <c r="B21" s="123" t="inlineStr">
        <is>
          <t>Build &amp; Static Analysis (flutter analyze)</t>
        </is>
      </c>
    </row>
    <row r="22">
      <c r="A22" s="123" t="inlineStr">
        <is>
          <t>CODEINSP</t>
        </is>
      </c>
      <c r="B22" s="123" t="inlineStr">
        <is>
          <t>Code Inspection</t>
        </is>
      </c>
    </row>
    <row r="23">
      <c r="A23" s="123" t="inlineStr">
        <is>
          <t>UT</t>
        </is>
      </c>
      <c r="B23" s="123" t="inlineStr">
        <is>
          <t>Unit Test</t>
        </is>
      </c>
    </row>
    <row r="24">
      <c r="A24" s="123" t="inlineStr">
        <is>
          <t>WT</t>
        </is>
      </c>
      <c r="B24" s="123" t="inlineStr">
        <is>
          <t>Widget Test</t>
        </is>
      </c>
    </row>
    <row r="25">
      <c r="A25" s="123" t="inlineStr">
        <is>
          <t>IT</t>
        </is>
      </c>
      <c r="B25" s="123" t="inlineStr">
        <is>
          <t>Build &amp; Integration Test</t>
        </is>
      </c>
    </row>
    <row r="26">
      <c r="A26" s="123" t="inlineStr">
        <is>
          <t>CICD</t>
        </is>
      </c>
      <c r="B26" s="123" t="inlineStr">
        <is>
          <t>CI/CD Pipeline (GitHub Actions)</t>
        </is>
      </c>
    </row>
    <row r="27">
      <c r="A27" s="123" t="inlineStr">
        <is>
          <t>ST</t>
        </is>
      </c>
      <c r="B27" s="123" t="inlineStr">
        <is>
          <t>System Test</t>
        </is>
      </c>
    </row>
    <row r="28">
      <c r="A28" s="123" t="inlineStr">
        <is>
          <t>UAT</t>
        </is>
      </c>
      <c r="B28" s="123" t="inlineStr">
        <is>
          <t>Client Acceptance Test</t>
        </is>
      </c>
    </row>
    <row r="29">
      <c r="A29" s="123" t="inlineStr">
        <is>
          <t>DOC</t>
        </is>
      </c>
      <c r="B29" s="123" t="inlineStr">
        <is>
          <t>Documentation &amp; User Manual</t>
        </is>
      </c>
    </row>
    <row r="30">
      <c r="A30" s="123" t="inlineStr">
        <is>
          <t>PM</t>
        </is>
      </c>
      <c r="B30" s="123" t="inlineStr">
        <is>
          <t>Postmortem</t>
        </is>
      </c>
    </row>
    <row r="31">
      <c r="A31" s="123" t="inlineStr">
        <is>
          <t>PL</t>
        </is>
      </c>
      <c r="B31" s="123" t="inlineStr">
        <is>
          <t>Product Life (post-release)</t>
        </is>
      </c>
    </row>
  </sheetData>
  <mergeCells count="2">
    <mergeCell ref="A1:T1"/>
    <mergeCell ref="A2:T2"/>
  </mergeCells>
  <printOptions horizontalCentered="1"/>
  <pageMargins left="0.75" right="0.75" top="1" bottom="1" header="0.5" footer="0.5"/>
  <pageSetup orientation="portrait" paperSize="9" fitToHeight="0" fitToWidth="1"/>
  <headerFooter>
    <oddHeader/>
    <oddFooter>&amp;R&amp;8 TMA3084 TSPi Workbook v3.0  -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Ts. Nurfauza Jali, FCSIT UNIMAS</dc:creator>
  <dc:title xmlns:dc="http://purl.org/dc/elements/1.1/">TMA3084 TSPi Team Workbook v3.0 - WORKED SAMPLE</dc:title>
  <dc:description xmlns:dc="http://purl.org/dc/elements/1.1/">Worked sample of the TMA3084 TSPi workbook. Identities are fictional; effort and defect data migrated from an anonymised past team.</dc:description>
  <dc:subject xmlns:dc="http://purl.org/dc/elements/1.1/">Team Software Process workbook for TMA3084 Software Engineering Laboratory</dc:subject>
  <dcterms:created xmlns:dcterms="http://purl.org/dc/terms/" xmlns:xsi="http://www.w3.org/2001/XMLSchema-instance" xsi:type="dcterms:W3CDTF">2026-10-30T03:02:09Z</dcterms:created>
  <dcterms:modified xmlns:dcterms="http://purl.org/dc/terms/" xmlns:xsi="http://www.w3.org/2001/XMLSchema-instance" xsi:type="dcterms:W3CDTF">2026-10-30T03:02:12Z</dcterms:modified>
</cp:coreProperties>
</file>